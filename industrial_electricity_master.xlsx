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1.xml" ContentType="application/vnd.openxmlformats-officedocument.drawing+xml"/>
  <Override PartName="/xl/worksheets/sheet20.xml" ContentType="application/vnd.openxmlformats-officedocument.spreadsheetml.worksheet+xml"/>
  <Override PartName="/xl/drawings/drawing2.xml" ContentType="application/vnd.openxmlformats-officedocument.drawing+xml"/>
  <Override PartName="/xl/worksheets/sheet21.xml" ContentType="application/vnd.openxmlformats-officedocument.spreadsheetml.worksheet+xml"/>
  <Override PartName="/xl/drawings/drawing3.xml" ContentType="application/vnd.openxmlformats-officedocument.drawing+xml"/>
  <Override PartName="/xl/worksheets/sheet22.xml" ContentType="application/vnd.openxmlformats-officedocument.spreadsheetml.worksheet+xml"/>
  <Override PartName="/xl/drawings/drawing4.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tage10_integration" sheetId="1" state="visible" r:id="rId1"/>
    <sheet xmlns:r="http://schemas.openxmlformats.org/officeDocument/2006/relationships" name="assumptions" sheetId="2" state="visible" r:id="rId2"/>
    <sheet xmlns:r="http://schemas.openxmlformats.org/officeDocument/2006/relationships" name="fx_deflator" sheetId="3" state="visible" r:id="rId3"/>
    <sheet xmlns:r="http://schemas.openxmlformats.org/officeDocument/2006/relationships" name="golden_numbers" sheetId="4" state="visible" r:id="rId4"/>
    <sheet xmlns:r="http://schemas.openxmlformats.org/officeDocument/2006/relationships" name="lcoe" sheetId="5" state="visible" r:id="rId5"/>
    <sheet xmlns:r="http://schemas.openxmlformats.org/officeDocument/2006/relationships" name="cn_td" sheetId="6" state="visible" r:id="rId6"/>
    <sheet xmlns:r="http://schemas.openxmlformats.org/officeDocument/2006/relationships" name="timeseries" sheetId="7" state="visible" r:id="rId7"/>
    <sheet xmlns:r="http://schemas.openxmlformats.org/officeDocument/2006/relationships" name="data_lineitems" sheetId="8" state="visible" r:id="rId8"/>
    <sheet xmlns:r="http://schemas.openxmlformats.org/officeDocument/2006/relationships" name="sources" sheetId="9" state="visible" r:id="rId9"/>
    <sheet xmlns:r="http://schemas.openxmlformats.org/officeDocument/2006/relationships" name="decisions" sheetId="10" state="visible" r:id="rId10"/>
    <sheet xmlns:r="http://schemas.openxmlformats.org/officeDocument/2006/relationships" name="qc" sheetId="11" state="visible" r:id="rId11"/>
    <sheet xmlns:r="http://schemas.openxmlformats.org/officeDocument/2006/relationships" name="stage4_uk" sheetId="12" state="visible" r:id="rId12"/>
    <sheet xmlns:r="http://schemas.openxmlformats.org/officeDocument/2006/relationships" name="stage4_de" sheetId="13" state="visible" r:id="rId13"/>
    <sheet xmlns:r="http://schemas.openxmlformats.org/officeDocument/2006/relationships" name="stage4_cn" sheetId="14" state="visible" r:id="rId14"/>
    <sheet xmlns:r="http://schemas.openxmlformats.org/officeDocument/2006/relationships" name="stage5_output" sheetId="15" state="visible" r:id="rId15"/>
    <sheet xmlns:r="http://schemas.openxmlformats.org/officeDocument/2006/relationships" name="carbon" sheetId="16" state="visible" r:id="rId16"/>
    <sheet xmlns:r="http://schemas.openxmlformats.org/officeDocument/2006/relationships" name="stage6_decomp" sheetId="17" state="visible" r:id="rId17"/>
    <sheet xmlns:r="http://schemas.openxmlformats.org/officeDocument/2006/relationships" name="stage7_network" sheetId="18" state="visible" r:id="rId18"/>
    <sheet xmlns:r="http://schemas.openxmlformats.org/officeDocument/2006/relationships" name="north_sea_og" sheetId="19" state="visible" r:id="rId19"/>
    <sheet xmlns:r="http://schemas.openxmlformats.org/officeDocument/2006/relationships" name="nuclear_global" sheetId="20" state="visible" r:id="rId20"/>
    <sheet xmlns:r="http://schemas.openxmlformats.org/officeDocument/2006/relationships" name="geothermal_uk" sheetId="21" state="visible" r:id="rId21"/>
    <sheet xmlns:r="http://schemas.openxmlformats.org/officeDocument/2006/relationships" name="flexibility_network" sheetId="22" state="visible" r:id="rId22"/>
    <sheet xmlns:r="http://schemas.openxmlformats.org/officeDocument/2006/relationships" name="stage8_summary" sheetId="23" state="visible" r:id="rId23"/>
    <sheet xmlns:r="http://schemas.openxmlformats.org/officeDocument/2006/relationships" name="stage9_policy" sheetId="24" state="visible" r:id="rId24"/>
  </sheets>
  <definedNames/>
  <calcPr calcId="124519" fullCalcOnLoad="1" refMode="A1" iterate="0" iterateCount="100" iterateDelta="0.0001"/>
</workbook>
</file>

<file path=xl/styles.xml><?xml version="1.0" encoding="utf-8"?>
<styleSheet xmlns="http://schemas.openxmlformats.org/spreadsheetml/2006/main">
  <numFmts count="7">
    <numFmt numFmtId="164" formatCode="0.0"/>
    <numFmt numFmtId="165" formatCode="0.000"/>
    <numFmt numFmtId="166" formatCode="0.0%"/>
    <numFmt numFmtId="167" formatCode="0.0000"/>
    <numFmt numFmtId="168" formatCode="0.000000"/>
    <numFmt numFmtId="169" formatCode="#,##0.0000"/>
    <numFmt numFmtId="170" formatCode="#,##0.0"/>
  </numFmts>
  <fonts count="29">
    <font>
      <name val="Calibri"/>
      <charset val="1"/>
      <family val="2"/>
      <color theme="1"/>
      <sz val="11"/>
    </font>
    <font>
      <name val="Arial"/>
      <family val="0"/>
      <sz val="10"/>
    </font>
    <font>
      <name val="Arial"/>
      <family val="0"/>
      <sz val="10"/>
    </font>
    <font>
      <name val="Arial"/>
      <family val="0"/>
      <sz val="10"/>
    </font>
    <font>
      <name val="Cambria"/>
      <charset val="1"/>
      <family val="0"/>
      <b val="1"/>
      <color rgb="FF1A1A1A"/>
      <sz val="13"/>
    </font>
    <font>
      <name val="Cambria"/>
      <charset val="1"/>
      <family val="0"/>
      <i val="1"/>
      <color rgb="FF595959"/>
      <sz val="9"/>
    </font>
    <font>
      <name val="Cambria"/>
      <charset val="1"/>
      <family val="0"/>
      <b val="1"/>
      <color rgb="FF1A3A6B"/>
      <sz val="11"/>
    </font>
    <font>
      <name val="Cambria"/>
      <charset val="1"/>
      <family val="0"/>
      <b val="1"/>
      <sz val="11"/>
    </font>
    <font>
      <name val="Arial"/>
      <charset val="1"/>
      <family val="0"/>
      <b val="1"/>
      <sz val="13"/>
    </font>
    <font>
      <name val="Arial"/>
      <charset val="1"/>
      <family val="0"/>
      <color rgb="FF595959"/>
      <sz val="9"/>
    </font>
    <font>
      <name val="Arial"/>
      <charset val="1"/>
      <family val="0"/>
      <b val="1"/>
      <sz val="10"/>
    </font>
    <font>
      <name val="Arial"/>
      <charset val="1"/>
      <family val="0"/>
      <b val="1"/>
      <color rgb="FFFFFFFF"/>
      <sz val="11"/>
    </font>
    <font>
      <name val="Arial"/>
      <charset val="1"/>
      <family val="0"/>
      <sz val="10"/>
    </font>
    <font>
      <name val="Arial"/>
      <charset val="1"/>
      <family val="0"/>
      <color rgb="FF0000FF"/>
      <sz val="10"/>
    </font>
    <font>
      <name val="Noto Sans CJK SC"/>
      <family val="2"/>
      <sz val="10"/>
    </font>
    <font>
      <name val="Noto Sans CJK SC"/>
      <family val="2"/>
      <color rgb="FF595959"/>
      <sz val="9"/>
    </font>
    <font>
      <name val="Noto Sans CJK SC"/>
      <family val="2"/>
      <b val="1"/>
      <sz val="10"/>
    </font>
    <font>
      <name val="Noto Sans CJK SC"/>
      <family val="2"/>
      <b val="1"/>
      <color rgb="FFFFFFFF"/>
      <sz val="11"/>
    </font>
    <font>
      <name val="Noto Sans CJK SC"/>
      <charset val="1"/>
      <family val="2"/>
      <color rgb="FF595959"/>
      <sz val="9"/>
    </font>
    <font>
      <name val="Noto Sans CJK SC"/>
      <charset val="1"/>
      <family val="2"/>
      <sz val="10"/>
    </font>
    <font>
      <name val="Noto Sans CJK SC"/>
      <family val="2"/>
      <b val="1"/>
      <sz val="13"/>
    </font>
    <font>
      <name val="Noto Sans CJK SC"/>
      <family val="2"/>
      <color theme="1"/>
      <sz val="11"/>
    </font>
    <font>
      <name val="Noto Sans CJK SC"/>
      <family val="2"/>
      <b val="1"/>
      <sz val="11"/>
    </font>
    <font>
      <name val="Noto Sans CJK SC"/>
      <charset val="1"/>
      <family val="2"/>
      <color theme="1"/>
      <sz val="11"/>
    </font>
    <font>
      <name val="Cambria"/>
      <charset val="1"/>
      <family val="0"/>
      <i val="1"/>
      <sz val="11"/>
    </font>
    <font>
      <name val="Cambria"/>
      <charset val="1"/>
      <family val="0"/>
      <i val="1"/>
      <sz val="9"/>
    </font>
    <font>
      <name val="Calibri"/>
      <family val="2"/>
      <b val="1"/>
      <color rgb="FF000000"/>
      <sz val="18"/>
    </font>
    <font>
      <name val="Calibri"/>
      <family val="2"/>
      <color rgb="FF000000"/>
      <sz val="10"/>
    </font>
    <font>
      <name val="Calibri"/>
      <family val="2"/>
      <b val="1"/>
      <color rgb="FF000000"/>
      <sz val="10"/>
    </font>
  </fonts>
  <fills count="9">
    <fill>
      <patternFill/>
    </fill>
    <fill>
      <patternFill patternType="gray125"/>
    </fill>
    <fill>
      <patternFill patternType="solid">
        <fgColor rgb="FFDCE6F1"/>
        <bgColor rgb="FFDDDDDD"/>
      </patternFill>
    </fill>
    <fill>
      <patternFill patternType="solid">
        <fgColor rgb="FFF2F2F2"/>
        <bgColor rgb="FFEFEFEF"/>
      </patternFill>
    </fill>
    <fill>
      <patternFill patternType="solid">
        <fgColor rgb="FF1F4E79"/>
        <bgColor rgb="FF1A3A6B"/>
      </patternFill>
    </fill>
    <fill>
      <patternFill patternType="solid">
        <fgColor rgb="FFFFFF00"/>
        <bgColor rgb="FFFFFF00"/>
      </patternFill>
    </fill>
    <fill>
      <patternFill patternType="solid">
        <fgColor rgb="FFFCE4D6"/>
        <bgColor rgb="FFEFEFEF"/>
      </patternFill>
    </fill>
    <fill>
      <patternFill patternType="solid">
        <fgColor rgb="FFDDDDDD"/>
        <bgColor rgb="FFD9D9D9"/>
      </patternFill>
    </fill>
    <fill>
      <patternFill patternType="solid">
        <fgColor rgb="FFEFEFEF"/>
        <bgColor rgb="FFF2F2F2"/>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59">
    <xf numFmtId="0" fontId="0" fillId="0" borderId="0" applyAlignment="1" pivotButton="0" quotePrefix="0" xfId="0">
      <alignment horizontal="general" vertical="bottom"/>
    </xf>
    <xf numFmtId="0" fontId="4" fillId="0" borderId="0" applyAlignment="1" pivotButton="0" quotePrefix="0" xfId="0">
      <alignment horizontal="general" vertical="top"/>
    </xf>
    <xf numFmtId="0" fontId="5" fillId="0" borderId="0" applyAlignment="1" pivotButton="0" quotePrefix="0" xfId="0">
      <alignment horizontal="general" vertical="top" wrapText="1"/>
    </xf>
    <xf numFmtId="0" fontId="6" fillId="0" borderId="0" applyAlignment="1" pivotButton="0" quotePrefix="0" xfId="0">
      <alignment horizontal="general" vertical="top"/>
    </xf>
    <xf numFmtId="0" fontId="7" fillId="2" borderId="1" applyAlignment="1" pivotButton="0" quotePrefix="0" xfId="0">
      <alignment horizontal="general" vertical="top" wrapText="1"/>
    </xf>
    <xf numFmtId="0" fontId="0" fillId="0" borderId="1" applyAlignment="1" pivotButton="0" quotePrefix="0" xfId="0">
      <alignment horizontal="general" vertical="top" wrapText="1"/>
    </xf>
    <xf numFmtId="164" fontId="0" fillId="0" borderId="1" applyAlignment="1" pivotButton="0" quotePrefix="0" xfId="0">
      <alignment horizontal="general" vertical="top"/>
    </xf>
    <xf numFmtId="0" fontId="7" fillId="0" borderId="1" applyAlignment="1" pivotButton="0" quotePrefix="0" xfId="0">
      <alignment horizontal="general" vertical="top" wrapText="1"/>
    </xf>
    <xf numFmtId="0" fontId="5" fillId="0" borderId="1" applyAlignment="1" pivotButton="0" quotePrefix="0" xfId="0">
      <alignment horizontal="general" vertical="top" wrapText="1"/>
    </xf>
    <xf numFmtId="2" fontId="0" fillId="0" borderId="1" applyAlignment="1" pivotButton="0" quotePrefix="0" xfId="0">
      <alignment horizontal="general" vertical="top"/>
    </xf>
    <xf numFmtId="165" fontId="0" fillId="0" borderId="1" applyAlignment="1" pivotButton="0" quotePrefix="0" xfId="0">
      <alignment horizontal="general" vertical="top"/>
    </xf>
    <xf numFmtId="0" fontId="0" fillId="0" borderId="1" applyAlignment="1" pivotButton="0" quotePrefix="0" xfId="0">
      <alignment horizontal="center" vertical="top"/>
    </xf>
    <xf numFmtId="1" fontId="0" fillId="0" borderId="1" applyAlignment="1" pivotButton="0" quotePrefix="0" xfId="0">
      <alignment horizontal="center" vertical="top"/>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3" borderId="0" applyAlignment="1" pivotButton="0" quotePrefix="0" xfId="0">
      <alignment horizontal="general" vertical="bottom"/>
    </xf>
    <xf numFmtId="0" fontId="0" fillId="3" borderId="0" applyAlignment="1" pivotButton="0" quotePrefix="0" xfId="0">
      <alignment horizontal="general" vertical="bottom"/>
    </xf>
    <xf numFmtId="0" fontId="11" fillId="4" borderId="0" applyAlignment="1" pivotButton="0" quotePrefix="0" xfId="0">
      <alignment horizontal="general" vertical="top" wrapText="1"/>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9" fillId="0" borderId="0" applyAlignment="1" pivotButton="0" quotePrefix="0" xfId="0">
      <alignment horizontal="general" vertical="top" wrapText="1"/>
    </xf>
    <xf numFmtId="0" fontId="12" fillId="0" borderId="0" applyAlignment="1" pivotButton="0" quotePrefix="0" xfId="0">
      <alignment horizontal="general" vertical="top" wrapText="1"/>
    </xf>
    <xf numFmtId="0" fontId="13" fillId="0" borderId="0" applyAlignment="1" pivotButton="0" quotePrefix="0" xfId="0">
      <alignment horizontal="general" vertical="top" wrapText="1"/>
    </xf>
    <xf numFmtId="0" fontId="12" fillId="5" borderId="0" applyAlignment="1" pivotButton="0" quotePrefix="0" xfId="0">
      <alignment horizontal="general" vertical="top" wrapText="1"/>
    </xf>
    <xf numFmtId="4" fontId="13" fillId="0" borderId="0" applyAlignment="1" pivotButton="0" quotePrefix="0" xfId="0">
      <alignment horizontal="general" vertical="bottom"/>
    </xf>
    <xf numFmtId="4" fontId="13" fillId="6" borderId="0" applyAlignment="1" pivotButton="0" quotePrefix="0" xfId="0">
      <alignment horizontal="general" vertical="bottom"/>
    </xf>
    <xf numFmtId="0" fontId="10" fillId="0" borderId="0" applyAlignment="1" pivotButton="0" quotePrefix="0" xfId="0">
      <alignment horizontal="general" vertical="bottom"/>
    </xf>
    <xf numFmtId="4" fontId="10" fillId="0" borderId="0" applyAlignment="1" pivotButton="0" quotePrefix="0" xfId="0">
      <alignment horizontal="general" vertical="bottom"/>
    </xf>
    <xf numFmtId="166" fontId="12" fillId="0" borderId="0" applyAlignment="1" pivotButton="0" quotePrefix="0" xfId="0">
      <alignment horizontal="general" vertical="bottom"/>
    </xf>
    <xf numFmtId="0" fontId="7" fillId="0" borderId="0" applyAlignment="1" pivotButton="0" quotePrefix="0" xfId="0">
      <alignment horizontal="general" vertical="bottom"/>
    </xf>
    <xf numFmtId="1" fontId="13" fillId="0" borderId="0" applyAlignment="1" pivotButton="0" quotePrefix="0" xfId="0">
      <alignment horizontal="general" vertical="bottom"/>
    </xf>
    <xf numFmtId="167" fontId="13" fillId="0" borderId="0" applyAlignment="1" pivotButton="0" quotePrefix="0" xfId="0">
      <alignment horizontal="general" vertical="bottom"/>
    </xf>
    <xf numFmtId="165" fontId="13" fillId="0" borderId="0" applyAlignment="1" pivotButton="0" quotePrefix="0" xfId="0">
      <alignment horizontal="general" vertical="bottom"/>
    </xf>
    <xf numFmtId="168" fontId="12" fillId="0" borderId="0" applyAlignment="1" pivotButton="0" quotePrefix="0" xfId="0">
      <alignment horizontal="general" vertical="bottom"/>
    </xf>
    <xf numFmtId="165" fontId="0" fillId="0" borderId="0" applyAlignment="1" pivotButton="0" quotePrefix="0" xfId="0">
      <alignment horizontal="general" vertical="bottom"/>
    </xf>
    <xf numFmtId="168" fontId="0" fillId="0" borderId="0" applyAlignment="1" pivotButton="0" quotePrefix="0" xfId="0">
      <alignment horizontal="general" vertical="bottom"/>
    </xf>
    <xf numFmtId="167" fontId="0" fillId="0" borderId="0" applyAlignment="1" pivotButton="0" quotePrefix="0" xfId="0">
      <alignment horizontal="general" vertical="bottom"/>
    </xf>
    <xf numFmtId="168" fontId="13" fillId="0" borderId="0" applyAlignment="1" pivotButton="0" quotePrefix="0" xfId="0">
      <alignment horizontal="general" vertical="bottom"/>
    </xf>
    <xf numFmtId="169" fontId="12" fillId="0" borderId="0" applyAlignment="1" pivotButton="0" quotePrefix="0" xfId="0">
      <alignment horizontal="general" vertical="bottom"/>
    </xf>
    <xf numFmtId="167" fontId="12" fillId="0" borderId="0" applyAlignment="1" pivotButton="0" quotePrefix="0" xfId="0">
      <alignment horizontal="general" vertical="bottom"/>
    </xf>
    <xf numFmtId="4" fontId="12" fillId="0" borderId="0" applyAlignment="1" pivotButton="0" quotePrefix="0" xfId="0">
      <alignment horizontal="general" vertical="bottom"/>
    </xf>
    <xf numFmtId="0" fontId="12" fillId="6" borderId="0" applyAlignment="1" pivotButton="0" quotePrefix="0" xfId="0">
      <alignment horizontal="general" vertical="bottom"/>
    </xf>
    <xf numFmtId="0" fontId="18" fillId="0" borderId="0" applyAlignment="1" pivotButton="0" quotePrefix="0" xfId="0">
      <alignment horizontal="general" vertical="top" wrapText="1"/>
    </xf>
    <xf numFmtId="164" fontId="13" fillId="0" borderId="0" applyAlignment="1" pivotButton="0" quotePrefix="0" xfId="0">
      <alignment horizontal="general" vertical="bottom"/>
    </xf>
    <xf numFmtId="170" fontId="12" fillId="0" borderId="0" applyAlignment="1" pivotButton="0" quotePrefix="0" xfId="0">
      <alignment horizontal="general" vertical="bottom"/>
    </xf>
    <xf numFmtId="2" fontId="13" fillId="0" borderId="0" applyAlignment="1" pivotButton="0" quotePrefix="0" xfId="0">
      <alignment horizontal="general" vertical="bottom"/>
    </xf>
    <xf numFmtId="0" fontId="19" fillId="0" borderId="0" applyAlignment="1" pivotButton="0" quotePrefix="0" xfId="0">
      <alignment horizontal="general" vertical="bottom"/>
    </xf>
    <xf numFmtId="166" fontId="13" fillId="5" borderId="0" applyAlignment="1" pivotButton="0" quotePrefix="0" xfId="0">
      <alignment horizontal="general" vertical="bottom"/>
    </xf>
    <xf numFmtId="166" fontId="13" fillId="0" borderId="0" applyAlignment="1" pivotButton="0" quotePrefix="0" xfId="0">
      <alignment horizontal="general" vertical="bottom"/>
    </xf>
    <xf numFmtId="170" fontId="10" fillId="0" borderId="0" applyAlignment="1" pivotButton="0" quotePrefix="0" xfId="0">
      <alignment horizontal="general" vertical="bottom"/>
    </xf>
    <xf numFmtId="0" fontId="7" fillId="7" borderId="0" applyAlignment="1" pivotButton="0" quotePrefix="0" xfId="0">
      <alignment horizontal="general" vertical="top" wrapText="1"/>
    </xf>
    <xf numFmtId="0" fontId="7" fillId="8" borderId="0" applyAlignment="1" pivotButton="0" quotePrefix="0" xfId="0">
      <alignment horizontal="general" vertical="bottom"/>
    </xf>
    <xf numFmtId="0" fontId="12" fillId="8" borderId="0" applyAlignment="1" pivotButton="0" quotePrefix="0" xfId="0">
      <alignment horizontal="general" vertical="top" wrapText="1"/>
    </xf>
    <xf numFmtId="0" fontId="12" fillId="8" borderId="0" applyAlignment="1" pivotButton="0" quotePrefix="0" xfId="0">
      <alignment horizontal="general" vertical="bottom"/>
    </xf>
    <xf numFmtId="0" fontId="0" fillId="8" borderId="0" applyAlignment="1" pivotButton="0" quotePrefix="0" xfId="0">
      <alignment horizontal="general" vertical="bottom"/>
    </xf>
    <xf numFmtId="0" fontId="9" fillId="8" borderId="0" applyAlignment="1" pivotButton="0" quotePrefix="0" xfId="0">
      <alignment horizontal="general" vertical="top" wrapText="1"/>
    </xf>
    <xf numFmtId="2" fontId="0" fillId="0" borderId="0" applyAlignment="1" pivotButton="0" quotePrefix="0" xfId="0">
      <alignment horizontal="general" vertical="bottom"/>
    </xf>
    <xf numFmtId="49" fontId="0" fillId="0" borderId="0" applyAlignment="1" pivotButton="0" quotePrefix="0" xfId="0">
      <alignment horizontal="general" vertical="bottom"/>
    </xf>
    <xf numFmtId="9" fontId="0" fillId="0" borderId="0" applyAlignment="1" pivotButton="0" quotePrefix="0" xfId="0">
      <alignment horizontal="general" vertical="bottom"/>
    </xf>
    <xf numFmtId="0" fontId="12" fillId="6" borderId="0" applyAlignment="1" pivotButton="0" quotePrefix="0" xfId="0">
      <alignment horizontal="general" vertical="top" wrapText="1"/>
    </xf>
    <xf numFmtId="0" fontId="9" fillId="6" borderId="0" applyAlignment="1" pivotButton="0" quotePrefix="0" xfId="0">
      <alignment horizontal="general" vertical="top" wrapText="1"/>
    </xf>
    <xf numFmtId="0" fontId="19" fillId="0" borderId="0" applyAlignment="1" pivotButton="0" quotePrefix="0" xfId="0">
      <alignment horizontal="general" vertical="top" wrapText="1"/>
    </xf>
    <xf numFmtId="0" fontId="23" fillId="0" borderId="0" applyAlignment="1" pivotButton="0" quotePrefix="0" xfId="0">
      <alignment horizontal="general" vertical="bottom"/>
    </xf>
    <xf numFmtId="0" fontId="0" fillId="0" borderId="0" applyAlignment="1" pivotButton="0" quotePrefix="0" xfId="0">
      <alignment horizontal="general" vertical="top" wrapText="1"/>
    </xf>
    <xf numFmtId="0" fontId="7" fillId="7" borderId="0" applyAlignment="1" pivotButton="0" quotePrefix="0" xfId="0">
      <alignment horizontal="general" vertical="bottom"/>
    </xf>
    <xf numFmtId="10" fontId="0" fillId="0" borderId="0" applyAlignment="1" pivotButton="0" quotePrefix="0" xfId="0">
      <alignment horizontal="general" vertical="bottom"/>
    </xf>
    <xf numFmtId="0" fontId="24" fillId="0" borderId="0" applyAlignment="1" pivotButton="0" quotePrefix="0" xfId="0">
      <alignment horizontal="general" vertical="bottom"/>
    </xf>
    <xf numFmtId="0" fontId="25" fillId="0" borderId="0" applyAlignment="1" pivotButton="0" quotePrefix="0" xfId="0">
      <alignment horizontal="general" vertical="bottom"/>
    </xf>
    <xf numFmtId="166" fontId="0" fillId="0" borderId="1" applyAlignment="1" pivotButton="0" quotePrefix="0" xfId="0">
      <alignment horizontal="general" vertical="top"/>
    </xf>
    <xf numFmtId="0" fontId="7" fillId="0" borderId="1" applyAlignment="1" pivotButton="0" quotePrefix="0" xfId="0">
      <alignment horizontal="general" vertical="top"/>
    </xf>
    <xf numFmtId="164" fontId="7" fillId="0" borderId="1" applyAlignment="1" pivotButton="0" quotePrefix="0" xfId="0">
      <alignment horizontal="general" vertical="top"/>
    </xf>
    <xf numFmtId="166" fontId="7" fillId="0" borderId="1" applyAlignment="1" pivotButton="0" quotePrefix="0" xfId="0">
      <alignment horizontal="general" vertical="top"/>
    </xf>
    <xf numFmtId="0" fontId="0" fillId="0" borderId="1" applyAlignment="1" pivotButton="0" quotePrefix="0" xfId="0">
      <alignment horizontal="general" vertical="top"/>
    </xf>
    <xf numFmtId="0" fontId="7" fillId="2" borderId="1" applyAlignment="1" pivotButton="0" quotePrefix="0" xfId="0">
      <alignment horizontal="general" vertical="top"/>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xf>
    <xf numFmtId="0" fontId="5" fillId="0" borderId="0" applyAlignment="1" pivotButton="0" quotePrefix="0" xfId="0">
      <alignment horizontal="general" vertical="top" wrapText="1"/>
    </xf>
    <xf numFmtId="0" fontId="6" fillId="0" borderId="0" applyAlignment="1" pivotButton="0" quotePrefix="0" xfId="0">
      <alignment horizontal="general" vertical="top"/>
    </xf>
    <xf numFmtId="0" fontId="7" fillId="2" borderId="1" applyAlignment="1" pivotButton="0" quotePrefix="0" xfId="0">
      <alignment horizontal="general" vertical="top" wrapText="1"/>
    </xf>
    <xf numFmtId="0" fontId="0" fillId="0" borderId="1" applyAlignment="1" pivotButton="0" quotePrefix="0" xfId="0">
      <alignment horizontal="general" vertical="top" wrapText="1"/>
    </xf>
    <xf numFmtId="164" fontId="0" fillId="0" borderId="1" applyAlignment="1" pivotButton="0" quotePrefix="0" xfId="0">
      <alignment horizontal="general" vertical="top"/>
    </xf>
    <xf numFmtId="0" fontId="7" fillId="0" borderId="1" applyAlignment="1" pivotButton="0" quotePrefix="0" xfId="0">
      <alignment horizontal="general" vertical="top" wrapText="1"/>
    </xf>
    <xf numFmtId="0" fontId="0" fillId="0" borderId="4" pivotButton="0" quotePrefix="0" xfId="0"/>
    <xf numFmtId="0" fontId="5" fillId="0" borderId="1" applyAlignment="1" pivotButton="0" quotePrefix="0" xfId="0">
      <alignment horizontal="general" vertical="top" wrapText="1"/>
    </xf>
    <xf numFmtId="2" fontId="0" fillId="0" borderId="1" applyAlignment="1" pivotButton="0" quotePrefix="0" xfId="0">
      <alignment horizontal="general" vertical="top"/>
    </xf>
    <xf numFmtId="165" fontId="0" fillId="0" borderId="1" applyAlignment="1" pivotButton="0" quotePrefix="0" xfId="0">
      <alignment horizontal="general" vertical="top"/>
    </xf>
    <xf numFmtId="0" fontId="0" fillId="0" borderId="1" applyAlignment="1" pivotButton="0" quotePrefix="0" xfId="0">
      <alignment horizontal="center" vertical="top"/>
    </xf>
    <xf numFmtId="1" fontId="0" fillId="0" borderId="1" applyAlignment="1" pivotButton="0" quotePrefix="0" xfId="0">
      <alignment horizontal="center" vertical="top"/>
    </xf>
    <xf numFmtId="0" fontId="0"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3" borderId="0" applyAlignment="1" pivotButton="0" quotePrefix="0" xfId="0">
      <alignment horizontal="general" vertical="bottom"/>
    </xf>
    <xf numFmtId="0" fontId="0" fillId="3" borderId="0" applyAlignment="1" pivotButton="0" quotePrefix="0" xfId="0">
      <alignment horizontal="general" vertical="bottom"/>
    </xf>
    <xf numFmtId="0" fontId="11" fillId="4" borderId="0" applyAlignment="1" pivotButton="0" quotePrefix="0" xfId="0">
      <alignment horizontal="general" vertical="top" wrapText="1"/>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9" fillId="0" borderId="0" applyAlignment="1" pivotButton="0" quotePrefix="0" xfId="0">
      <alignment horizontal="general" vertical="top" wrapText="1"/>
    </xf>
    <xf numFmtId="0" fontId="12" fillId="0" borderId="0" applyAlignment="1" pivotButton="0" quotePrefix="0" xfId="0">
      <alignment horizontal="general" vertical="top" wrapText="1"/>
    </xf>
    <xf numFmtId="0" fontId="13" fillId="0" borderId="0" applyAlignment="1" pivotButton="0" quotePrefix="0" xfId="0">
      <alignment horizontal="general" vertical="top" wrapText="1"/>
    </xf>
    <xf numFmtId="0" fontId="12" fillId="5" borderId="0" applyAlignment="1" pivotButton="0" quotePrefix="0" xfId="0">
      <alignment horizontal="general" vertical="top" wrapText="1"/>
    </xf>
    <xf numFmtId="4" fontId="13" fillId="0" borderId="0" applyAlignment="1" pivotButton="0" quotePrefix="0" xfId="0">
      <alignment horizontal="general" vertical="bottom"/>
    </xf>
    <xf numFmtId="4" fontId="13" fillId="6" borderId="0" applyAlignment="1" pivotButton="0" quotePrefix="0" xfId="0">
      <alignment horizontal="general" vertical="bottom"/>
    </xf>
    <xf numFmtId="0" fontId="10" fillId="0" borderId="0" applyAlignment="1" pivotButton="0" quotePrefix="0" xfId="0">
      <alignment horizontal="general" vertical="bottom"/>
    </xf>
    <xf numFmtId="4" fontId="10" fillId="0" borderId="0" applyAlignment="1" pivotButton="0" quotePrefix="0" xfId="0">
      <alignment horizontal="general" vertical="bottom"/>
    </xf>
    <xf numFmtId="166" fontId="12" fillId="0" borderId="0" applyAlignment="1" pivotButton="0" quotePrefix="0" xfId="0">
      <alignment horizontal="general" vertical="bottom"/>
    </xf>
    <xf numFmtId="0" fontId="7" fillId="0" borderId="0" applyAlignment="1" pivotButton="0" quotePrefix="0" xfId="0">
      <alignment horizontal="general" vertical="bottom"/>
    </xf>
    <xf numFmtId="1" fontId="13" fillId="0" borderId="0" applyAlignment="1" pivotButton="0" quotePrefix="0" xfId="0">
      <alignment horizontal="general" vertical="bottom"/>
    </xf>
    <xf numFmtId="167" fontId="13" fillId="0" borderId="0" applyAlignment="1" pivotButton="0" quotePrefix="0" xfId="0">
      <alignment horizontal="general" vertical="bottom"/>
    </xf>
    <xf numFmtId="165" fontId="13" fillId="0" borderId="0" applyAlignment="1" pivotButton="0" quotePrefix="0" xfId="0">
      <alignment horizontal="general" vertical="bottom"/>
    </xf>
    <xf numFmtId="168" fontId="12" fillId="0" borderId="0" applyAlignment="1" pivotButton="0" quotePrefix="0" xfId="0">
      <alignment horizontal="general" vertical="bottom"/>
    </xf>
    <xf numFmtId="165" fontId="0" fillId="0" borderId="0" applyAlignment="1" pivotButton="0" quotePrefix="0" xfId="0">
      <alignment horizontal="general" vertical="bottom"/>
    </xf>
    <xf numFmtId="168" fontId="0" fillId="0" borderId="0" applyAlignment="1" pivotButton="0" quotePrefix="0" xfId="0">
      <alignment horizontal="general" vertical="bottom"/>
    </xf>
    <xf numFmtId="167" fontId="0" fillId="0" borderId="0" applyAlignment="1" pivotButton="0" quotePrefix="0" xfId="0">
      <alignment horizontal="general" vertical="bottom"/>
    </xf>
    <xf numFmtId="168" fontId="13" fillId="0" borderId="0" applyAlignment="1" pivotButton="0" quotePrefix="0" xfId="0">
      <alignment horizontal="general" vertical="bottom"/>
    </xf>
    <xf numFmtId="169" fontId="12" fillId="0" borderId="0" applyAlignment="1" pivotButton="0" quotePrefix="0" xfId="0">
      <alignment horizontal="general" vertical="bottom"/>
    </xf>
    <xf numFmtId="167" fontId="12" fillId="0" borderId="0" applyAlignment="1" pivotButton="0" quotePrefix="0" xfId="0">
      <alignment horizontal="general" vertical="bottom"/>
    </xf>
    <xf numFmtId="4" fontId="12" fillId="0" borderId="0" applyAlignment="1" pivotButton="0" quotePrefix="0" xfId="0">
      <alignment horizontal="general" vertical="bottom"/>
    </xf>
    <xf numFmtId="0" fontId="12" fillId="6" borderId="0" applyAlignment="1" pivotButton="0" quotePrefix="0" xfId="0">
      <alignment horizontal="general" vertical="bottom"/>
    </xf>
    <xf numFmtId="0" fontId="18" fillId="0" borderId="0" applyAlignment="1" pivotButton="0" quotePrefix="0" xfId="0">
      <alignment horizontal="general" vertical="top" wrapText="1"/>
    </xf>
    <xf numFmtId="164" fontId="13" fillId="0" borderId="0" applyAlignment="1" pivotButton="0" quotePrefix="0" xfId="0">
      <alignment horizontal="general" vertical="bottom"/>
    </xf>
    <xf numFmtId="170" fontId="12" fillId="0" borderId="0" applyAlignment="1" pivotButton="0" quotePrefix="0" xfId="0">
      <alignment horizontal="general" vertical="bottom"/>
    </xf>
    <xf numFmtId="2" fontId="13" fillId="0" borderId="0" applyAlignment="1" pivotButton="0" quotePrefix="0" xfId="0">
      <alignment horizontal="general" vertical="bottom"/>
    </xf>
    <xf numFmtId="0" fontId="19" fillId="0" borderId="0" applyAlignment="1" pivotButton="0" quotePrefix="0" xfId="0">
      <alignment horizontal="general" vertical="bottom"/>
    </xf>
    <xf numFmtId="166" fontId="13" fillId="5" borderId="0" applyAlignment="1" pivotButton="0" quotePrefix="0" xfId="0">
      <alignment horizontal="general" vertical="bottom"/>
    </xf>
    <xf numFmtId="166" fontId="13" fillId="0" borderId="0" applyAlignment="1" pivotButton="0" quotePrefix="0" xfId="0">
      <alignment horizontal="general" vertical="bottom"/>
    </xf>
    <xf numFmtId="170" fontId="10" fillId="0" borderId="0" applyAlignment="1" pivotButton="0" quotePrefix="0" xfId="0">
      <alignment horizontal="general" vertical="bottom"/>
    </xf>
    <xf numFmtId="0" fontId="7" fillId="7" borderId="0" applyAlignment="1" pivotButton="0" quotePrefix="0" xfId="0">
      <alignment horizontal="general" vertical="top" wrapText="1"/>
    </xf>
    <xf numFmtId="0" fontId="7" fillId="8" borderId="0" applyAlignment="1" pivotButton="0" quotePrefix="0" xfId="0">
      <alignment horizontal="general" vertical="bottom"/>
    </xf>
    <xf numFmtId="0" fontId="12" fillId="8" borderId="0" applyAlignment="1" pivotButton="0" quotePrefix="0" xfId="0">
      <alignment horizontal="general" vertical="top" wrapText="1"/>
    </xf>
    <xf numFmtId="0" fontId="12" fillId="8" borderId="0" applyAlignment="1" pivotButton="0" quotePrefix="0" xfId="0">
      <alignment horizontal="general" vertical="bottom"/>
    </xf>
    <xf numFmtId="0" fontId="0" fillId="8" borderId="0" applyAlignment="1" pivotButton="0" quotePrefix="0" xfId="0">
      <alignment horizontal="general" vertical="bottom"/>
    </xf>
    <xf numFmtId="0" fontId="9" fillId="8" borderId="0" applyAlignment="1" pivotButton="0" quotePrefix="0" xfId="0">
      <alignment horizontal="general" vertical="top" wrapText="1"/>
    </xf>
    <xf numFmtId="2" fontId="0" fillId="0" borderId="0" applyAlignment="1" pivotButton="0" quotePrefix="0" xfId="0">
      <alignment horizontal="general" vertical="bottom"/>
    </xf>
    <xf numFmtId="49" fontId="0" fillId="0" borderId="0" applyAlignment="1" pivotButton="0" quotePrefix="0" xfId="0">
      <alignment horizontal="general" vertical="bottom"/>
    </xf>
    <xf numFmtId="9" fontId="0" fillId="0" borderId="0" applyAlignment="1" pivotButton="0" quotePrefix="0" xfId="0">
      <alignment horizontal="general" vertical="bottom"/>
    </xf>
    <xf numFmtId="0" fontId="12" fillId="6" borderId="0" applyAlignment="1" pivotButton="0" quotePrefix="0" xfId="0">
      <alignment horizontal="general" vertical="top" wrapText="1"/>
    </xf>
    <xf numFmtId="0" fontId="9" fillId="6" borderId="0" applyAlignment="1" pivotButton="0" quotePrefix="0" xfId="0">
      <alignment horizontal="general" vertical="top" wrapText="1"/>
    </xf>
    <xf numFmtId="0" fontId="19" fillId="0" borderId="0" applyAlignment="1" pivotButton="0" quotePrefix="0" xfId="0">
      <alignment horizontal="general" vertical="top" wrapText="1"/>
    </xf>
    <xf numFmtId="0" fontId="23" fillId="0" borderId="0" applyAlignment="1" pivotButton="0" quotePrefix="0" xfId="0">
      <alignment horizontal="general" vertical="bottom"/>
    </xf>
    <xf numFmtId="0" fontId="7" fillId="7" borderId="0" applyAlignment="1" pivotButton="0" quotePrefix="0" xfId="0">
      <alignment horizontal="general" vertical="bottom"/>
    </xf>
    <xf numFmtId="10" fontId="0" fillId="0" borderId="0" applyAlignment="1" pivotButton="0" quotePrefix="0" xfId="0">
      <alignment horizontal="general" vertical="bottom"/>
    </xf>
    <xf numFmtId="0" fontId="24" fillId="0" borderId="0" applyAlignment="1" pivotButton="0" quotePrefix="0" xfId="0">
      <alignment horizontal="general" vertical="bottom"/>
    </xf>
    <xf numFmtId="0" fontId="25" fillId="0" borderId="0" applyAlignment="1" pivotButton="0" quotePrefix="0" xfId="0">
      <alignment horizontal="general" vertical="bottom"/>
    </xf>
    <xf numFmtId="166" fontId="0" fillId="0" borderId="1" applyAlignment="1" pivotButton="0" quotePrefix="0" xfId="0">
      <alignment horizontal="general" vertical="top"/>
    </xf>
    <xf numFmtId="0" fontId="7" fillId="0" borderId="1" applyAlignment="1" pivotButton="0" quotePrefix="0" xfId="0">
      <alignment horizontal="general" vertical="top"/>
    </xf>
    <xf numFmtId="164" fontId="7" fillId="0" borderId="1" applyAlignment="1" pivotButton="0" quotePrefix="0" xfId="0">
      <alignment horizontal="general" vertical="top"/>
    </xf>
    <xf numFmtId="166" fontId="7" fillId="0" borderId="1" applyAlignment="1" pivotButton="0" quotePrefix="0" xfId="0">
      <alignment horizontal="general" vertical="top"/>
    </xf>
    <xf numFmtId="0" fontId="0" fillId="0" borderId="1" applyAlignment="1" pivotButton="0" quotePrefix="0" xfId="0">
      <alignment horizontal="general" vertical="top"/>
    </xf>
    <xf numFmtId="0" fontId="7" fillId="2" borderId="1" applyAlignment="1" pivotButton="0" quotePrefix="0" xfId="0">
      <alignment horizontal="general" vertical="top"/>
    </xf>
    <xf numFmtId="164" fontId="0" fillId="0" borderId="0" pivotButton="0" quotePrefix="0" xfId="0"/>
    <xf numFmtId="1" fontId="0" fillId="0" borderId="1" applyAlignment="1" pivotButton="0" quotePrefix="0" xfId="0">
      <alignment vertical="top" wrapText="1"/>
    </xf>
    <xf numFmtId="0" fontId="5" fillId="0" borderId="0" applyAlignment="1" pivotButton="0" quotePrefix="0" xfId="0">
      <alignment vertical="top" wrapText="1"/>
    </xf>
    <xf numFmtId="167" fontId="0" fillId="0" borderId="0" pivotButton="0" quotePrefix="0" xfId="0"/>
    <xf numFmtId="2" fontId="0" fillId="0" borderId="0" pivotButton="0" quotePrefix="0" xfId="0"/>
    <xf numFmtId="165" fontId="0"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4F81BD"/>
      <rgbColor rgb="FF9999FF"/>
      <rgbColor rgb="FFC0504D"/>
      <rgbColor rgb="FFF2F2F2"/>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FEFEF"/>
      <rgbColor rgb="FFDDDDDD"/>
      <rgbColor rgb="FFFFFF99"/>
      <rgbColor rgb="FF99CCFF"/>
      <rgbColor rgb="FFFF99CC"/>
      <rgbColor rgb="FFCC99FF"/>
      <rgbColor rgb="FFFCE4D6"/>
      <rgbColor rgb="FF3366FF"/>
      <rgbColor rgb="FF33CCCC"/>
      <rgbColor rgb="FF9BBB59"/>
      <rgbColor rgb="FFFFCC00"/>
      <rgbColor rgb="FFFF9900"/>
      <rgbColor rgb="FFFF6600"/>
      <rgbColor rgb="FF595959"/>
      <rgbColor rgb="FFB3B3B3"/>
      <rgbColor rgb="FF1A3A6B"/>
      <rgbColor rgb="FF339966"/>
      <rgbColor rgb="FF003300"/>
      <rgbColor rgb="FF333300"/>
      <rgbColor rgb="FF993300"/>
      <rgbColor rgb="FF993366"/>
      <rgbColor rgb="FF1F4E79"/>
      <rgbColor rgb="FF1A1A1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UKCS proven (1P) reserves &amp; real-2025 E&amp;P capex</a:t>
            </a:r>
          </a:p>
        </rich>
      </tx>
      <overlay val="0"/>
      <spPr>
        <a:noFill xmlns:a="http://schemas.openxmlformats.org/drawingml/2006/main"/>
        <a:ln xmlns:a="http://schemas.openxmlformats.org/drawingml/2006/main" w="0">
          <a:noFill/>
          <a:prstDash val="solid"/>
        </a:ln>
      </spPr>
    </title>
    <plotArea>
      <barChart>
        <barDir val="col"/>
        <grouping val="stacked"/>
        <varyColors val="0"/>
        <ser>
          <idx val="0"/>
          <order val="0"/>
          <tx>
            <strRef>
              <f>north_sea_og!C5</f>
              <strCache>
                <ptCount val="1"/>
                <pt idx="0">
                  <v>None</v>
                </pt>
              </strCache>
            </strRef>
          </tx>
          <spPr>
            <a:solidFill xmlns:a="http://schemas.openxmlformats.org/drawingml/2006/main">
              <a:srgbClr val="4f81bd"/>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ctr"/>
            <showLegendKey val="0"/>
            <showVal val="0"/>
            <showCatName val="0"/>
            <showSerName val="0"/>
            <showPercent val="0"/>
            <showLeaderLines val="1"/>
          </dLbls>
          <cat>
            <strRef>
              <f>north_sea_og!$D$3:$R$3</f>
              <strCache>
                <ptCount val="15"/>
                <pt idx="0">
                  <v>2010</v>
                </pt>
                <pt idx="1">
                  <v>2011</v>
                </pt>
                <pt idx="2">
                  <v>2012</v>
                </pt>
                <pt idx="3">
                  <v>2013</v>
                </pt>
                <pt idx="4">
                  <v>2014</v>
                </pt>
                <pt idx="5">
                  <v>2015</v>
                </pt>
                <pt idx="6">
                  <v>2016</v>
                </pt>
                <pt idx="7">
                  <v>2017</v>
                </pt>
                <pt idx="8">
                  <v>2018</v>
                </pt>
                <pt idx="9">
                  <v>2019</v>
                </pt>
                <pt idx="10">
                  <v>2020</v>
                </pt>
                <pt idx="11">
                  <v>2021</v>
                </pt>
                <pt idx="12">
                  <v>2022</v>
                </pt>
                <pt idx="13">
                  <v>2023</v>
                </pt>
                <pt idx="14">
                  <v>2024</v>
                </pt>
              </strCache>
            </strRef>
          </cat>
          <val>
            <numRef>
              <f>north_sea_og!$D$5:$R$5</f>
              <numCache>
                <formatCode>General</formatCode>
                <ptCount val="15"/>
                <pt idx="5">
                  <v>2.6</v>
                </pt>
                <pt idx="6">
                  <v>2.5</v>
                </pt>
                <pt idx="7">
                  <v>2.5</v>
                </pt>
                <pt idx="8">
                  <v>2.7</v>
                </pt>
                <pt idx="9">
                  <v>2.5</v>
                </pt>
                <pt idx="10">
                  <v>2</v>
                </pt>
                <pt idx="11">
                  <v>1.8</v>
                </pt>
                <pt idx="12">
                  <v>1.5</v>
                </pt>
                <pt idx="13">
                  <v>1.5</v>
                </pt>
                <pt idx="14">
                  <v>1.3</v>
                </pt>
              </numCache>
            </numRef>
          </val>
        </ser>
        <ser>
          <idx val="1"/>
          <order val="1"/>
          <tx>
            <strRef>
              <f>north_sea_og!C6</f>
              <strCache>
                <ptCount val="1"/>
                <pt idx="0">
                  <v>None</v>
                </pt>
              </strCache>
            </strRef>
          </tx>
          <spPr>
            <a:solidFill xmlns:a="http://schemas.openxmlformats.org/drawingml/2006/main">
              <a:srgbClr val="c0504d"/>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ctr"/>
            <showLegendKey val="0"/>
            <showVal val="0"/>
            <showCatName val="0"/>
            <showSerName val="0"/>
            <showPercent val="0"/>
            <showLeaderLines val="1"/>
          </dLbls>
          <cat>
            <strRef>
              <f>north_sea_og!$D$3:$R$3</f>
              <strCache>
                <ptCount val="15"/>
                <pt idx="0">
                  <v>2010</v>
                </pt>
                <pt idx="1">
                  <v>2011</v>
                </pt>
                <pt idx="2">
                  <v>2012</v>
                </pt>
                <pt idx="3">
                  <v>2013</v>
                </pt>
                <pt idx="4">
                  <v>2014</v>
                </pt>
                <pt idx="5">
                  <v>2015</v>
                </pt>
                <pt idx="6">
                  <v>2016</v>
                </pt>
                <pt idx="7">
                  <v>2017</v>
                </pt>
                <pt idx="8">
                  <v>2018</v>
                </pt>
                <pt idx="9">
                  <v>2019</v>
                </pt>
                <pt idx="10">
                  <v>2020</v>
                </pt>
                <pt idx="11">
                  <v>2021</v>
                </pt>
                <pt idx="12">
                  <v>2022</v>
                </pt>
                <pt idx="13">
                  <v>2023</v>
                </pt>
                <pt idx="14">
                  <v>2024</v>
                </pt>
              </strCache>
            </strRef>
          </cat>
          <val>
            <numRef>
              <f>north_sea_og!$D$6:$R$6</f>
              <numCache>
                <formatCode>General</formatCode>
                <ptCount val="15"/>
                <pt idx="5">
                  <v>1.3</v>
                </pt>
                <pt idx="6">
                  <v>1.1</v>
                </pt>
                <pt idx="7">
                  <v>1.1</v>
                </pt>
                <pt idx="8">
                  <v>1.1</v>
                </pt>
                <pt idx="9">
                  <v>1.1</v>
                </pt>
                <pt idx="10">
                  <v>0.8</v>
                </pt>
                <pt idx="11">
                  <v>0.9</v>
                </pt>
                <pt idx="12">
                  <v>0.8</v>
                </pt>
                <pt idx="13">
                  <v>0.7</v>
                </pt>
                <pt idx="14">
                  <v>0.6</v>
                </pt>
              </numCache>
            </numRef>
          </val>
        </ser>
        <gapWidth val="150"/>
        <overlap val="100"/>
        <axId val="73879323"/>
        <axId val="71217080"/>
      </barChart>
      <lineChart>
        <grouping val="stacked"/>
        <varyColors val="0"/>
        <ser>
          <idx val="2"/>
          <order val="2"/>
          <tx>
            <strRef>
              <f>north_sea_og!C14</f>
              <strCache>
                <ptCount val="1"/>
                <pt idx="0">
                  <v>None</v>
                </pt>
              </strCache>
            </strRef>
          </tx>
          <spPr>
            <a:solidFill xmlns:a="http://schemas.openxmlformats.org/drawingml/2006/main">
              <a:srgbClr val="ffffff"/>
            </a:solidFill>
            <a:ln xmlns:a="http://schemas.openxmlformats.org/drawingml/2006/main" w="0">
              <a:solidFill>
                <a:srgbClr val="ffffff"/>
              </a:solidFill>
              <a:prstDash val="soli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r"/>
            <showLegendKey val="0"/>
            <showVal val="0"/>
            <showCatName val="0"/>
            <showSerName val="0"/>
            <showPercent val="0"/>
            <showLeaderLines val="1"/>
          </dLbls>
          <cat>
            <strRef>
              <f>north_sea_og!$D$3:$R$3</f>
              <strCache>
                <ptCount val="15"/>
                <pt idx="0">
                  <v>2010</v>
                </pt>
                <pt idx="1">
                  <v>2011</v>
                </pt>
                <pt idx="2">
                  <v>2012</v>
                </pt>
                <pt idx="3">
                  <v>2013</v>
                </pt>
                <pt idx="4">
                  <v>2014</v>
                </pt>
                <pt idx="5">
                  <v>2015</v>
                </pt>
                <pt idx="6">
                  <v>2016</v>
                </pt>
                <pt idx="7">
                  <v>2017</v>
                </pt>
                <pt idx="8">
                  <v>2018</v>
                </pt>
                <pt idx="9">
                  <v>2019</v>
                </pt>
                <pt idx="10">
                  <v>2020</v>
                </pt>
                <pt idx="11">
                  <v>2021</v>
                </pt>
                <pt idx="12">
                  <v>2022</v>
                </pt>
                <pt idx="13">
                  <v>2023</v>
                </pt>
                <pt idx="14">
                  <v>2024</v>
                </pt>
              </strCache>
            </strRef>
          </cat>
          <val>
            <numRef>
              <f>north_sea_og!$D$14:$R$14</f>
              <numCache>
                <formatCode>General</formatCode>
                <ptCount val="15"/>
                <pt idx="5">
                  <v>16.346326803118</v>
                </pt>
                <pt idx="6">
                  <v>11.5802893496788</v>
                </pt>
                <pt idx="7">
                  <v>7.48386046407813</v>
                </pt>
                <pt idx="8">
                  <v>6.57791946053183</v>
                </pt>
                <pt idx="14">
                  <v>6.20672105133579</v>
                </pt>
              </numCache>
            </numRef>
          </val>
          <smooth val="1"/>
        </ser>
        <hiLowLines>
          <spPr>
            <a:ln xmlns:a="http://schemas.openxmlformats.org/drawingml/2006/main" w="0">
              <a:noFill/>
              <a:prstDash val="solid"/>
            </a:ln>
          </spPr>
        </hiLowLines>
        <marker val="0"/>
        <axId val="70789491"/>
        <axId val="45950119"/>
      </lineChart>
      <catAx>
        <axId val="73879323"/>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year</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71217080"/>
        <crosses val="autoZero"/>
        <auto val="1"/>
        <lblAlgn val="ctr"/>
        <lblOffset val="100"/>
        <noMultiLvlLbl val="0"/>
      </catAx>
      <valAx>
        <axId val="71217080"/>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bn boe (1P)</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73879323"/>
        <crosses val="autoZero"/>
        <crossBetween val="between"/>
      </valAx>
      <catAx>
        <axId val="70789491"/>
        <scaling>
          <orientation val="minMax"/>
        </scaling>
        <delete val="0"/>
        <axPos val="t"/>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year</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45950119"/>
        <crosses val="autoZero"/>
        <auto val="1"/>
        <lblAlgn val="ctr"/>
        <lblOffset val="100"/>
        <noMultiLvlLbl val="0"/>
      </catAx>
      <valAx>
        <axId val="45950119"/>
        <scaling>
          <orientation val="minMax"/>
        </scaling>
        <delete val="0"/>
        <axPos val="r"/>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GBP bn (real-2025) E&amp;P capex</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70789491"/>
        <crosses val="max"/>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North Sea gas: production as % of UK consumption &amp; of world traded gas</a:t>
            </a:r>
          </a:p>
        </rich>
      </tx>
      <overlay val="0"/>
      <spPr>
        <a:noFill xmlns:a="http://schemas.openxmlformats.org/drawingml/2006/main"/>
        <a:ln xmlns:a="http://schemas.openxmlformats.org/drawingml/2006/main" w="0">
          <a:noFill/>
          <a:prstDash val="solid"/>
        </a:ln>
      </spPr>
    </title>
    <plotArea>
      <lineChart>
        <grouping val="standard"/>
        <varyColors val="0"/>
        <ser>
          <idx val="0"/>
          <order val="0"/>
          <tx>
            <strRef>
              <f>north_sea_og!C26</f>
              <strCache>
                <ptCount val="1"/>
                <pt idx="0">
                  <v>None</v>
                </pt>
              </strCache>
            </strRef>
          </tx>
          <spPr>
            <a:solidFill xmlns:a="http://schemas.openxmlformats.org/drawingml/2006/main">
              <a:srgbClr val="ffffff"/>
            </a:solidFill>
            <a:ln xmlns:a="http://schemas.openxmlformats.org/drawingml/2006/main" w="0">
              <a:solidFill>
                <a:srgbClr val="ffffff"/>
              </a:solidFill>
              <a:prstDash val="soli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r"/>
            <showLegendKey val="0"/>
            <showVal val="0"/>
            <showCatName val="0"/>
            <showSerName val="0"/>
            <showPercent val="0"/>
            <showLeaderLines val="1"/>
          </dLbls>
          <cat>
            <strRef>
              <f>north_sea_og!$D$3:$R$3</f>
              <strCache>
                <ptCount val="15"/>
                <pt idx="0">
                  <v>2010</v>
                </pt>
                <pt idx="1">
                  <v>2011</v>
                </pt>
                <pt idx="2">
                  <v>2012</v>
                </pt>
                <pt idx="3">
                  <v>2013</v>
                </pt>
                <pt idx="4">
                  <v>2014</v>
                </pt>
                <pt idx="5">
                  <v>2015</v>
                </pt>
                <pt idx="6">
                  <v>2016</v>
                </pt>
                <pt idx="7">
                  <v>2017</v>
                </pt>
                <pt idx="8">
                  <v>2018</v>
                </pt>
                <pt idx="9">
                  <v>2019</v>
                </pt>
                <pt idx="10">
                  <v>2020</v>
                </pt>
                <pt idx="11">
                  <v>2021</v>
                </pt>
                <pt idx="12">
                  <v>2022</v>
                </pt>
                <pt idx="13">
                  <v>2023</v>
                </pt>
                <pt idx="14">
                  <v>2024</v>
                </pt>
              </strCache>
            </strRef>
          </cat>
          <val>
            <numRef>
              <f>north_sea_og!$D$26:$R$26</f>
              <numCache>
                <formatCode>General</formatCode>
                <ptCount val="15"/>
                <pt idx="0">
                  <v>59.4461488479245</v>
                </pt>
                <pt idx="1">
                  <v>56.8325957895795</v>
                </pt>
                <pt idx="2">
                  <v>51.4413032636166</v>
                </pt>
                <pt idx="3">
                  <v>48.8814769044527</v>
                </pt>
                <pt idx="4">
                  <v>53.9060412044407</v>
                </pt>
                <pt idx="5">
                  <v>57.03145907538</v>
                </pt>
                <pt idx="6">
                  <v>52.557201117968</v>
                </pt>
                <pt idx="7">
                  <v>53.8537387606784</v>
                </pt>
                <pt idx="8">
                  <v>51.6675475047705</v>
                </pt>
                <pt idx="9">
                  <v>50.6618875699194</v>
                </pt>
                <pt idx="10">
                  <v>54.1094004838129</v>
                </pt>
                <pt idx="11">
                  <v>42.7991107131155</v>
                </pt>
                <pt idx="12">
                  <v>54.5455985520291</v>
                </pt>
                <pt idx="13">
                  <v>54.7427458668519</v>
                </pt>
                <pt idx="14">
                  <v>50.2754964528689</v>
                </pt>
              </numCache>
            </numRef>
          </val>
          <smooth val="1"/>
        </ser>
        <ser>
          <idx val="1"/>
          <order val="1"/>
          <tx>
            <strRef>
              <f>north_sea_og!C32</f>
              <strCache>
                <ptCount val="1"/>
                <pt idx="0">
                  <v>None</v>
                </pt>
              </strCache>
            </strRef>
          </tx>
          <spPr>
            <a:solidFill xmlns:a="http://schemas.openxmlformats.org/drawingml/2006/main">
              <a:srgbClr val="ffffff"/>
            </a:solidFill>
            <a:ln xmlns:a="http://schemas.openxmlformats.org/drawingml/2006/main" w="0">
              <a:solidFill>
                <a:srgbClr val="ffffff"/>
              </a:solidFill>
              <a:prstDash val="soli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r"/>
            <showLegendKey val="0"/>
            <showVal val="0"/>
            <showCatName val="0"/>
            <showSerName val="0"/>
            <showPercent val="0"/>
            <showLeaderLines val="1"/>
          </dLbls>
          <cat>
            <strRef>
              <f>north_sea_og!$D$3:$R$3</f>
              <strCache>
                <ptCount val="15"/>
                <pt idx="0">
                  <v>2010</v>
                </pt>
                <pt idx="1">
                  <v>2011</v>
                </pt>
                <pt idx="2">
                  <v>2012</v>
                </pt>
                <pt idx="3">
                  <v>2013</v>
                </pt>
                <pt idx="4">
                  <v>2014</v>
                </pt>
                <pt idx="5">
                  <v>2015</v>
                </pt>
                <pt idx="6">
                  <v>2016</v>
                </pt>
                <pt idx="7">
                  <v>2017</v>
                </pt>
                <pt idx="8">
                  <v>2018</v>
                </pt>
                <pt idx="9">
                  <v>2019</v>
                </pt>
                <pt idx="10">
                  <v>2020</v>
                </pt>
                <pt idx="11">
                  <v>2021</v>
                </pt>
                <pt idx="12">
                  <v>2022</v>
                </pt>
                <pt idx="13">
                  <v>2023</v>
                </pt>
                <pt idx="14">
                  <v>2024</v>
                </pt>
              </strCache>
            </strRef>
          </cat>
          <val>
            <numRef>
              <f>north_sea_og!$D$32:$R$32</f>
              <numCache>
                <formatCode>General</formatCode>
                <ptCount val="15"/>
                <pt idx="4">
                  <v>5.18867924528302</v>
                </pt>
                <pt idx="5">
                  <v>5.57839912280702</v>
                </pt>
                <pt idx="6">
                  <v>5.38481404958678</v>
                </pt>
                <pt idx="7">
                  <v>5.0433317284545</v>
                </pt>
                <pt idx="8">
                  <v>4.67795829012559</v>
                </pt>
                <pt idx="9">
                  <v>4.28244524354364</v>
                </pt>
                <pt idx="10">
                  <v>4.51539338654504</v>
                </pt>
                <pt idx="11">
                  <v>3.42487208938081</v>
                </pt>
                <pt idx="12">
                  <v>4.30946725483543</v>
                </pt>
                <pt idx="13">
                  <v>4.03981264637002</v>
                </pt>
                <pt idx="14">
                  <v>3.46971066907776</v>
                </pt>
              </numCache>
            </numRef>
          </val>
          <smooth val="1"/>
        </ser>
        <hiLowLines>
          <spPr>
            <a:ln xmlns:a="http://schemas.openxmlformats.org/drawingml/2006/main" w="0">
              <a:noFill/>
              <a:prstDash val="solid"/>
            </a:ln>
          </spPr>
        </hiLowLines>
        <marker val="0"/>
        <axId val="32114222"/>
        <axId val="38503585"/>
      </lineChart>
      <catAx>
        <axId val="32114222"/>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38503585"/>
        <crosses val="autoZero"/>
        <auto val="1"/>
        <lblAlgn val="ctr"/>
        <lblOffset val="100"/>
        <noMultiLvlLbl val="0"/>
      </catAx>
      <valAx>
        <axId val="38503585"/>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32114222"/>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zero"/>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OECD/NEA 2020 nuclear LCOE @7% (real-2025 USD) — MODELLED</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spPr>
            <a:solidFill xmlns:a="http://schemas.openxmlformats.org/drawingml/2006/main">
              <a:srgbClr val="4f81bd"/>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outEnd"/>
            <showLegendKey val="0"/>
            <showVal val="0"/>
            <showCatName val="0"/>
            <showSerName val="0"/>
            <showPercent val="0"/>
            <showLeaderLines val="1"/>
          </dLbls>
          <cat>
            <strRef>
              <f>nuclear_global!$A$5:$A$12</f>
              <strCache>
                <ptCount val="8"/>
                <pt idx="0">
                  <v>France</v>
                </pt>
                <pt idx="1">
                  <v>Japan</v>
                </pt>
                <pt idx="2">
                  <v>Korea</v>
                </pt>
                <pt idx="3">
                  <v>Russia</v>
                </pt>
                <pt idx="4">
                  <v>Slovak Republic</v>
                </pt>
                <pt idx="5">
                  <v>United States</v>
                </pt>
                <pt idx="6">
                  <v>China</v>
                </pt>
                <pt idx="7">
                  <v>India</v>
                </pt>
              </strCache>
            </strRef>
          </cat>
          <val>
            <numRef>
              <f>nuclear_global!$H$5:$H$12</f>
              <numCache>
                <formatCode>General</formatCode>
                <ptCount val="8"/>
                <pt idx="0">
                  <v>91.15694624204021</v>
                </pt>
                <pt idx="1">
                  <v>111.119163583652</v>
                </pt>
                <pt idx="2">
                  <v>68.3356573094338</v>
                </pt>
                <pt idx="3">
                  <v>53.8736270195574</v>
                </pt>
                <pt idx="4">
                  <v>130.568542971721</v>
                </pt>
                <pt idx="5">
                  <v>91.3492604746184</v>
                </pt>
                <pt idx="6">
                  <v>84.6310832832219</v>
                </pt>
                <pt idx="7">
                  <v>84.6951880274146</v>
                </pt>
              </numCache>
            </numRef>
          </val>
        </ser>
        <gapWidth val="150"/>
        <overlap val="0"/>
        <axId val="88257569"/>
        <axId val="72817639"/>
      </barChart>
      <catAx>
        <axId val="88257569"/>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72817639"/>
        <crosses val="autoZero"/>
        <auto val="1"/>
        <lblAlgn val="ctr"/>
        <lblOffset val="100"/>
        <noMultiLvlLbl val="0"/>
      </catAx>
      <valAx>
        <axId val="72817639"/>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USD/MWh real-2025</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88257569"/>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UK geothermal ELECTRICITY LCOE (GBP/MWh, source-native; heat pathways excluded)</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spPr>
            <a:solidFill xmlns:a="http://schemas.openxmlformats.org/drawingml/2006/main">
              <a:srgbClr val="4f81bd"/>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outEnd"/>
            <showLegendKey val="0"/>
            <showVal val="0"/>
            <showCatName val="0"/>
            <showSerName val="0"/>
            <showPercent val="0"/>
            <showLeaderLines val="1"/>
          </dLbls>
          <cat>
            <strRef>
              <f>geothermal_uk!$A$20:$A$24</f>
              <strCache>
                <ptCount val="5"/>
                <pt idx="0">
                  <v>EGS granite FOAK (no heat)</v>
                </pt>
                <pt idx="1">
                  <v>EGS granite NOAK (no heat)</v>
                </pt>
                <pt idx="2">
                  <v>EGS granite FOAK (with heat)</v>
                </pt>
                <pt idx="3">
                  <v>Atkins 2013 NOAK</v>
                </pt>
                <pt idx="4">
                  <v>CfD AR5 strike (2012px)</v>
                </pt>
              </strCache>
            </strRef>
          </cat>
          <val>
            <numRef>
              <f>geothermal_uk!$B$20:$B$24</f>
              <numCache>
                <formatCode>General</formatCode>
                <ptCount val="5"/>
                <pt idx="0">
                  <v>311</v>
                </pt>
                <pt idx="1">
                  <v>136</v>
                </pt>
                <pt idx="2">
                  <v>169</v>
                </pt>
                <pt idx="3">
                  <v>218</v>
                </pt>
                <pt idx="4">
                  <v>119</v>
                </pt>
              </numCache>
            </numRef>
          </val>
        </ser>
        <gapWidth val="150"/>
        <overlap val="0"/>
        <axId val="66412934"/>
        <axId val="81633047"/>
      </barChart>
      <catAx>
        <axId val="66412934"/>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81633047"/>
        <crosses val="autoZero"/>
        <auto val="1"/>
        <lblAlgn val="ctr"/>
        <lblOffset val="100"/>
        <noMultiLvlLbl val="0"/>
      </catAx>
      <valAx>
        <axId val="81633047"/>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GBP/MWh</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66412934"/>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Flexibility: system load factor after firm peak reduction (low/central/high)</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spPr>
            <a:solidFill xmlns:a="http://schemas.openxmlformats.org/drawingml/2006/main">
              <a:srgbClr val="4f81bd"/>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outEnd"/>
            <showLegendKey val="0"/>
            <showVal val="0"/>
            <showCatName val="0"/>
            <showSerName val="0"/>
            <showPercent val="0"/>
            <showLeaderLines val="1"/>
          </dLbls>
          <val>
            <numRef>
              <f>flexibility_network!$B$13</f>
              <numCache>
                <formatCode>General</formatCode>
                <ptCount val="1"/>
                <pt idx="0">
                  <v>0.719124986726134</v>
                </pt>
              </numCache>
            </numRef>
          </val>
        </ser>
        <ser>
          <idx val="1"/>
          <order val="1"/>
          <spPr>
            <a:solidFill xmlns:a="http://schemas.openxmlformats.org/drawingml/2006/main">
              <a:srgbClr val="c0504d"/>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outEnd"/>
            <showLegendKey val="0"/>
            <showVal val="0"/>
            <showCatName val="0"/>
            <showSerName val="0"/>
            <showPercent val="0"/>
            <showLeaderLines val="1"/>
          </dLbls>
          <val>
            <numRef>
              <f>flexibility_network!$C$13</f>
              <numCache>
                <formatCode>General</formatCode>
                <ptCount val="1"/>
                <pt idx="0">
                  <v>0.773059360730594</v>
                </pt>
              </numCache>
            </numRef>
          </val>
        </ser>
        <ser>
          <idx val="2"/>
          <order val="2"/>
          <spPr>
            <a:solidFill xmlns:a="http://schemas.openxmlformats.org/drawingml/2006/main">
              <a:srgbClr val="9bbb59"/>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outEnd"/>
            <showLegendKey val="0"/>
            <showVal val="0"/>
            <showCatName val="0"/>
            <showSerName val="0"/>
            <showPercent val="0"/>
            <showLeaderLines val="1"/>
          </dLbls>
          <val>
            <numRef>
              <f>flexibility_network!$D$13</f>
              <numCache>
                <formatCode>General</formatCode>
                <ptCount val="1"/>
                <pt idx="0">
                  <v>0.909481600859522</v>
                </pt>
              </numCache>
            </numRef>
          </val>
        </ser>
        <gapWidth val="150"/>
        <overlap val="0"/>
        <axId val="46919637"/>
        <axId val="78764292"/>
      </barChart>
      <catAx>
        <axId val="46919637"/>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78764292"/>
        <crosses val="autoZero"/>
        <auto val="1"/>
        <lblAlgn val="ctr"/>
        <lblOffset val="100"/>
        <noMultiLvlLbl val="0"/>
      </catAx>
      <valAx>
        <axId val="78764292"/>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load factor</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46919637"/>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Industrial electricity relief per MWh — UK vs DE mechanisms (native units; scheme estimates)</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spPr>
            <a:solidFill xmlns:a="http://schemas.openxmlformats.org/drawingml/2006/main">
              <a:srgbClr val="4f81bd"/>
            </a:solidFill>
            <a:ln xmlns:a="http://schemas.openxmlformats.org/drawingml/2006/main" w="0">
              <a:noFill/>
              <a:prstDash val="solid"/>
            </a:ln>
          </spPr>
          <invertIfNegative val="0"/>
          <dLbls>
            <numFmt formatCode="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1"/>
            <showCatName val="1"/>
            <showSerName val="1"/>
            <showPercent val="0"/>
            <showLeaderLines val="1"/>
          </dLbls>
          <cat>
            <strRef>
              <f>stage9_policy!$B$39:$B$43</f>
              <strCache>
                <ptCount val="5"/>
                <pt idx="0">
                  <v>UK BICS (RO/FiT/CM)</v>
                </pt>
                <pt idx="1">
                  <v>UK Supercharger levy</v>
                </pt>
                <pt idx="2">
                  <v>UK Supercharger network</v>
                </pt>
                <pt idx="3">
                  <v>DE Stromsteuer cut</v>
                </pt>
                <pt idx="4">
                  <v>DE network subsidy</v>
                </pt>
              </strCache>
            </strRef>
          </cat>
          <val>
            <numRef>
              <f>stage9_policy!$C$39:$C$43</f>
              <numCache>
                <formatCode>0.0</formatCode>
                <ptCount val="5"/>
                <pt idx="0">
                  <v>37.5</v>
                </pt>
                <pt idx="1">
                  <v>27.5</v>
                </pt>
                <pt idx="2">
                  <v>8.5</v>
                </pt>
                <pt idx="3">
                  <v>20</v>
                </pt>
                <pt idx="4">
                  <v>17.3</v>
                </pt>
              </numCache>
            </numRef>
          </val>
        </ser>
        <gapWidth val="150"/>
        <overlap val="0"/>
        <axId val="82146092"/>
        <axId val="17869869"/>
      </barChart>
      <catAx>
        <axId val="82146092"/>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17869869"/>
        <crosses val="autoZero"/>
        <auto val="1"/>
        <lblAlgn val="ctr"/>
        <lblOffset val="100"/>
        <noMultiLvlLbl val="0"/>
      </catAx>
      <valAx>
        <axId val="17869869"/>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relief per MWh (native currency)</a:t>
                </a:r>
              </a:p>
            </rich>
          </tx>
          <overlay val="0"/>
          <spPr>
            <a:noFill xmlns:a="http://schemas.openxmlformats.org/drawingml/2006/main"/>
            <a:ln xmlns:a="http://schemas.openxmlformats.org/drawingml/2006/main" w="0">
              <a:noFill/>
              <a:prstDash val="solid"/>
            </a:ln>
          </spPr>
        </title>
        <numFmt formatCode="0.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82146092"/>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_rels/drawing3.xml.rels><Relationships xmlns="http://schemas.openxmlformats.org/package/2006/relationships"><Relationship Type="http://schemas.openxmlformats.org/officeDocument/2006/relationships/chart" Target="/xl/charts/chart4.xml" Id="rId1"/></Relationships>
</file>

<file path=xl/drawings/_rels/drawing4.xml.rels><Relationships xmlns="http://schemas.openxmlformats.org/package/2006/relationships"><Relationship Type="http://schemas.openxmlformats.org/officeDocument/2006/relationships/chart" Target="/xl/charts/chart5.xml" Id="rId1"/></Relationships>
</file>

<file path=xl/drawings/_rels/drawing5.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twoCellAnchor editAs="oneCell">
    <from>
      <col>0</col>
      <colOff>0</colOff>
      <row>41</row>
      <rowOff>0</rowOff>
    </from>
    <to>
      <col>11</col>
      <colOff>472320</colOff>
      <row>56</row>
      <rowOff>21600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0</col>
      <colOff>0</colOff>
      <row>59</row>
      <rowOff>0</rowOff>
    </from>
    <to>
      <col>11</col>
      <colOff>472320</colOff>
      <row>74</row>
      <rowOff>21600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editAs="oneCell">
    <from>
      <col>0</col>
      <colOff>0</colOff>
      <row>73</row>
      <rowOff>0</rowOff>
    </from>
    <to>
      <col>10</col>
      <colOff>363960</colOff>
      <row>88</row>
      <rowOff>21240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editAs="oneCell">
    <from>
      <col>5</col>
      <colOff>0</colOff>
      <row>19</row>
      <rowOff>0</rowOff>
    </from>
    <to>
      <col>15</col>
      <colOff>363960</colOff>
      <row>34</row>
      <rowOff>21240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4.xml><?xml version="1.0" encoding="utf-8"?>
<wsDr xmlns="http://schemas.openxmlformats.org/drawingml/2006/spreadsheetDrawing">
  <twoCellAnchor editAs="oneCell">
    <from>
      <col>0</col>
      <colOff>0</colOff>
      <row>27</row>
      <rowOff>0</rowOff>
    </from>
    <to>
      <col>9</col>
      <colOff>255240</colOff>
      <row>42</row>
      <rowOff>21600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5.xml><?xml version="1.0" encoding="utf-8"?>
<wsDr xmlns="http://schemas.openxmlformats.org/drawingml/2006/spreadsheetDrawing">
  <twoCellAnchor editAs="oneCell">
    <from>
      <col>0</col>
      <colOff>0</colOff>
      <row>23</row>
      <rowOff>2050560</rowOff>
    </from>
    <to>
      <col>5</col>
      <colOff>2265480</colOff>
      <row>25</row>
      <rowOff>636840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9.xml.rels><Relationships xmlns="http://schemas.openxmlformats.org/package/2006/relationships"><Relationship Type="http://schemas.openxmlformats.org/officeDocument/2006/relationships/drawing" Target="/xl/drawings/drawing1.xml" Id="rId1"/></Relationships>
</file>

<file path=xl/worksheets/_rels/sheet20.xml.rels><Relationships xmlns="http://schemas.openxmlformats.org/package/2006/relationships"><Relationship Type="http://schemas.openxmlformats.org/officeDocument/2006/relationships/drawing" Target="/xl/drawings/drawing2.xml" Id="rId1"/></Relationships>
</file>

<file path=xl/worksheets/_rels/sheet21.xml.rels><Relationships xmlns="http://schemas.openxmlformats.org/package/2006/relationships"><Relationship Type="http://schemas.openxmlformats.org/officeDocument/2006/relationships/drawing" Target="/xl/drawings/drawing3.xml" Id="rId1"/></Relationships>
</file>

<file path=xl/worksheets/_rels/sheet22.xml.rels><Relationships xmlns="http://schemas.openxmlformats.org/package/2006/relationships"><Relationship Type="http://schemas.openxmlformats.org/officeDocument/2006/relationships/drawing" Target="/xl/drawings/drawing4.xml" Id="rId1"/></Relationships>
</file>

<file path=xl/worksheets/_rels/sheet24.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filterMode="0">
    <outlinePr summaryBelow="1" summaryRight="1"/>
    <pageSetUpPr fitToPage="0"/>
  </sheetPr>
  <dimension ref="A1:G40"/>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77" min="1" max="1"/>
    <col width="30" customWidth="1" style="77" min="2" max="2"/>
    <col width="15" customWidth="1" style="77" min="3" max="3"/>
    <col width="14" customWidth="1" style="77" min="4" max="5"/>
    <col width="44" customWidth="1" style="77" min="6" max="6"/>
    <col width="10" customWidth="1" style="77" min="7" max="7"/>
  </cols>
  <sheetData>
    <row r="1" ht="16.15" customHeight="1" s="78">
      <c r="A1" s="79" t="inlineStr">
        <is>
          <t>STAGE 10 — INTEGRATED STUDY: UK · DE · CN INDUSTRIAL ELECTRICITY PRICES (front page + final QC)</t>
        </is>
      </c>
    </row>
    <row r="2" ht="22.35" customHeight="1" s="78">
      <c r="A2" s="80" t="inlineStr">
        <is>
          <t>The study in one page: what industry pays, why, and what policy can do. Ten stages, one workbook. Real-2025 USD unless noted (house rule 1/D1: nominal local × Fed H.10 annual-avg FX × US CPI-U; VAT excluded). This front page is formula-linked to the underlying stages; the consistency panel (Section C) and integrity panel (Section D) are live gates. CN price series: 含税 (incl VAT) as published — Q84; de-VAT memo stage6 r189–191.</t>
        </is>
      </c>
    </row>
    <row r="4" ht="15" customHeight="1" s="78">
      <c r="A4" s="81" t="inlineStr">
        <is>
          <t>A. THE HEADLINE — modelled cost stack &amp; system cost, 2025 (real-2025 USD/MWh; statutory components, SUPPLY MARGIN EXCLUDED; source stage6_decomp T3; observed comparators row 9)</t>
        </is>
      </c>
    </row>
    <row r="5" ht="28.35" customHeight="1" s="78">
      <c r="B5" s="82" t="inlineStr">
        <is>
          <t>Country / archetype</t>
        </is>
      </c>
      <c r="C5" s="82" t="inlineStr">
        <is>
          <t>Modelled stack E1 (unrelieved)</t>
        </is>
      </c>
      <c r="D5" s="82" t="inlineStr">
        <is>
          <t>Modelled stack E2 (relieved)</t>
        </is>
      </c>
      <c r="E5" s="82" t="inlineStr">
        <is>
          <t>System cost (modelled)</t>
        </is>
      </c>
      <c r="F5" s="82" t="inlineStr">
        <is>
          <t>Relief channel</t>
        </is>
      </c>
    </row>
    <row r="6" ht="15" customHeight="1" s="78">
      <c r="B6" s="83" t="inlineStr">
        <is>
          <t>United Kingdom (large)</t>
        </is>
      </c>
      <c r="C6" s="84">
        <f>stage6_decomp!D148</f>
        <v/>
      </c>
      <c r="D6" s="84">
        <f>stage6_decomp!D149</f>
        <v/>
      </c>
      <c r="E6" s="84">
        <f>stage6_decomp!G148</f>
        <v/>
      </c>
      <c r="F6" s="83" t="inlineStr">
        <is>
          <t>other bill-payers (cross-subsidy)</t>
        </is>
      </c>
    </row>
    <row r="7" ht="15" customHeight="1" s="78">
      <c r="B7" s="83" t="inlineStr">
        <is>
          <t>Germany (large)</t>
        </is>
      </c>
      <c r="C7" s="84">
        <f>stage6_decomp!D152</f>
        <v/>
      </c>
      <c r="D7" s="84">
        <f>stage6_decomp!D153</f>
        <v/>
      </c>
      <c r="E7" s="84">
        <f>stage6_decomp!G152</f>
        <v/>
      </c>
      <c r="F7" s="83" t="inlineStr">
        <is>
          <t>taxpayer (EEG on budget + Stromsteuer); §19 network rebate → other users. KTF network subsidy from 2026</t>
        </is>
      </c>
    </row>
    <row r="8" ht="15" customHeight="1" s="78">
      <c r="B8" s="83" t="inlineStr">
        <is>
          <t>China (large)</t>
        </is>
      </c>
      <c r="C8" s="84">
        <f>stage6_decomp!D156</f>
        <v/>
      </c>
      <c r="D8" s="84" t="n"/>
      <c r="E8" s="84" t="n"/>
      <c r="F8" s="83" t="inlineStr">
        <is>
          <t>reverse: industry → residential (on-bill only; system cost unquantified, ≤ bill)</t>
        </is>
      </c>
    </row>
    <row r="9" ht="30" customHeight="1" s="78">
      <c r="B9" s="80" t="inlineStr">
        <is>
          <t>OBSERVED 2025 (band averages, context): UK QEP Extra Large excl CCL</t>
        </is>
      </c>
      <c r="C9" s="153">
        <f>timeseries!S78</f>
        <v/>
      </c>
      <c r="D9" s="77" t="inlineStr">
        <is>
          <t>DE Eurostat IF</t>
        </is>
      </c>
      <c r="E9" s="153">
        <f>timeseries!S86</f>
        <v/>
      </c>
      <c r="F9" s="77" t="inlineStr">
        <is>
          <t>UK obs − modelled E1 = supply margin (Q30 gate: UK FAIL 2025 — exhibit, not error)</t>
        </is>
      </c>
      <c r="G9" s="153">
        <f>stage6_decomp!T121</f>
        <v/>
      </c>
    </row>
    <row r="10" ht="60" customHeight="1" s="78">
      <c r="B10" s="92" t="inlineStr">
        <is>
          <t>READING: UK and German MODELLED SYSTEM COST is similar (UK $207/$213 vs DE $211/$231 large/medium) — the UK–DE difference is WHO PAYS (policy/gen-capital recovery on UK bills), not the size of the stack. China's ~$87 is an ON-BILL price (different basis; its unquantified system cost ≤ bill). Observed 2025 bills sit ~$80/MWh above the UK modelled stack (supply margin, row 9). See Section B (Stages 6, 9).</t>
        </is>
      </c>
    </row>
    <row r="11" ht="15" customHeight="1" s="78">
      <c r="A11" s="81" t="inlineStr">
        <is>
          <t>B. STAGE-BY-STAGE SYNTHESIS</t>
        </is>
      </c>
    </row>
    <row r="12" ht="28.35" customHeight="1" s="78">
      <c r="B12" s="82" t="inlineStr">
        <is>
          <t>Stage / building block</t>
        </is>
      </c>
      <c r="C12" s="82" t="inlineStr">
        <is>
          <t>Headline finding</t>
        </is>
      </c>
      <c r="D12" s="82" t="inlineStr">
        <is>
          <t>Key metric</t>
        </is>
      </c>
      <c r="F12" s="82" t="inlineStr">
        <is>
          <t>Source tab</t>
        </is>
      </c>
    </row>
    <row r="13" ht="68.65000000000001" customHeight="1" s="78">
      <c r="B13" s="85" t="inlineStr">
        <is>
          <t>1-3 Method &amp; anchors</t>
        </is>
      </c>
      <c r="C13" s="83" t="inlineStr">
        <is>
          <t>House rule fixes real-2025 USD pipeline (H.10 FX, US CPI, VAT excluded); 10 golden anchors reproduce as permanent regression tests.</t>
        </is>
      </c>
      <c r="D13" s="86" t="n"/>
      <c r="E13" s="83" t="inlineStr">
        <is>
          <t>GN reproduce ✓</t>
        </is>
      </c>
      <c r="F13" s="87" t="inlineStr">
        <is>
          <t>golden_numbers, fx_deflator, assumptions</t>
        </is>
      </c>
    </row>
    <row r="14" ht="68.65000000000001" customHeight="1" s="78">
      <c r="B14" s="85" t="inlineStr">
        <is>
          <t>4 Price assembly</t>
        </is>
      </c>
      <c r="C14" s="83" t="inlineStr">
        <is>
          <t>Nominal-local industrial series (UK day-ahead/forward; DE Phelix; CN catalogue+market) converted to a common real-2025 USD basis.</t>
        </is>
      </c>
      <c r="D14" s="86" t="n"/>
      <c r="E14" s="83" t="inlineStr">
        <is>
          <t>see timeseries</t>
        </is>
      </c>
      <c r="F14" s="87" t="inlineStr">
        <is>
          <t>stage4_uk/de/cn, timeseries, lcoe, cn_td</t>
        </is>
      </c>
    </row>
    <row r="15" ht="68.65000000000001" customHeight="1" s="78">
      <c r="B15" s="85" t="inlineStr">
        <is>
          <t>5 Output &amp; intensity</t>
        </is>
      </c>
      <c r="C15" s="83" t="inlineStr">
        <is>
          <t>Energy-intensive output paths diverge (UK severe contraction: aluminium index 16, steel 41 by 2024; DE material post-2021 contraction: EI aggregate ~81, aluminium 55; CN long-run expansion, post-2021 plateau/decline in cement/steel/glass) — shown with mandatory causal caution (price ≠ sole cause).</t>
        </is>
      </c>
      <c r="D15" s="86" t="n"/>
      <c r="E15" s="83" t="inlineStr">
        <is>
          <t>causal caution</t>
        </is>
      </c>
      <c r="F15" s="87" t="inlineStr">
        <is>
          <t>stage5_output</t>
        </is>
      </c>
    </row>
    <row r="16" ht="68.65000000000001" customHeight="1" s="78">
      <c r="B16" s="85" t="inlineStr">
        <is>
          <t>6 Decomposition</t>
        </is>
      </c>
      <c r="C16" s="83" t="inlineStr">
        <is>
          <t>Five-bucket cost stack + WHO-PAYS vs WHAT-IT-COSTS: relief relocates cost (UK→bills, DE→taxpayer, CN reverse). All reconciliation gates PASS (internal, by construction — Q46; independent checks: golden numbers + observed-vs-modelled gates, Q30).</t>
        </is>
      </c>
      <c r="D16" s="86" t="n"/>
      <c r="E16" s="83" t="inlineStr">
        <is>
          <t>151/151 (by construction)</t>
        </is>
      </c>
      <c r="F16" s="87" t="inlineStr">
        <is>
          <t>stage6_decomp, carbon</t>
        </is>
      </c>
    </row>
    <row r="17" ht="68.65000000000001" customHeight="1" s="78">
      <c r="B17" s="85" t="inlineStr">
        <is>
          <t>7 Network drivers</t>
        </is>
      </c>
      <c r="C17" s="83" t="inlineStr">
        <is>
          <t>Network charges the fastest-rising bucket; UK residual +94% (26/27); DE outturn already above BDEW path; CN wire held flat, cost surfaces in system fee.</t>
        </is>
      </c>
      <c r="D17" s="86" t="n"/>
      <c r="E17" s="83" t="inlineStr">
        <is>
          <t>UK net +60% 25→26</t>
        </is>
      </c>
      <c r="F17" s="87" t="inlineStr">
        <is>
          <t>stage7_network</t>
        </is>
      </c>
    </row>
    <row r="18" ht="82.05" customHeight="1" s="78">
      <c r="B18" s="85" t="inlineStr">
        <is>
          <t>8 Supply / tech / flex</t>
        </is>
      </c>
      <c r="C18" s="83" t="inlineStr">
        <is>
          <t>None of North Sea gas, nuclear, geothermal or flexibility is a NEAR-TERM price lever (UK a gas price-taker; nuclear 10+yr &amp; high FOAK; geothermal pre-commercial; flex indirect).</t>
        </is>
      </c>
      <c r="D18" s="86" t="n"/>
      <c r="E18" s="83" t="inlineStr">
        <is>
          <t>not near-term</t>
        </is>
      </c>
      <c r="F18" s="87" t="inlineStr">
        <is>
          <t>north_sea_og, nuclear_global, geothermal_uk, flexibility_network</t>
        </is>
      </c>
    </row>
    <row r="19" ht="82.05" customHeight="1" s="78">
      <c r="B19" s="85" t="inlineStr">
        <is>
          <t>9 Policy options</t>
        </is>
      </c>
      <c r="C19" s="83" t="inlineStr">
        <is>
          <t>Balanced options: cost-SHIFTING (exemptions) vs cost-REDUCING (structural). UK converging on the German taxpayer model (BICS: Exchequer + energy-system funded, final split at Budget 2026; CPS abolition 2028).</t>
        </is>
      </c>
      <c r="D19" s="86" t="n"/>
      <c r="E19" s="83" t="inlineStr">
        <is>
          <t>6 levers, tagged</t>
        </is>
      </c>
      <c r="F19" s="87" t="inlineStr">
        <is>
          <t>stage9_policy</t>
        </is>
      </c>
    </row>
    <row r="20" ht="82.05" customHeight="1" s="78">
      <c r="B20" s="85" t="inlineStr">
        <is>
          <t>10 Integration &amp; QC</t>
        </is>
      </c>
      <c r="C20" s="83" t="inlineStr">
        <is>
          <t>This front page + full-workbook QC: 0 formula errors, golden numbers reproduce, signed stages preserved, source/decision/qc integrity, cross-stage consistency.</t>
        </is>
      </c>
      <c r="D20" s="86" t="n"/>
      <c r="E20" s="83" t="inlineStr">
        <is>
          <t>see C &amp; D</t>
        </is>
      </c>
      <c r="F20" s="87" t="inlineStr">
        <is>
          <t>stage10_integration</t>
        </is>
      </c>
    </row>
    <row r="22" ht="15" customHeight="1" s="78">
      <c r="A22" s="81" t="inlineStr">
        <is>
          <t>C. CROSS-STAGE CONSISTENCY CHECKS (live assertions — recompute on open)</t>
        </is>
      </c>
    </row>
    <row r="23" ht="15" customHeight="1" s="78">
      <c r="B23" s="82" t="inlineStr">
        <is>
          <t>Check</t>
        </is>
      </c>
      <c r="C23" s="82" t="inlineStr">
        <is>
          <t>Expected</t>
        </is>
      </c>
      <c r="D23" s="82" t="inlineStr">
        <is>
          <t>Actual</t>
        </is>
      </c>
      <c r="E23" s="82" t="inlineStr">
        <is>
          <t>Diff</t>
        </is>
      </c>
      <c r="F23" s="82" t="inlineStr">
        <is>
          <t>Verdict</t>
        </is>
      </c>
    </row>
    <row r="24" ht="28.35" customHeight="1" s="78">
      <c r="B24" s="83" t="inlineStr">
        <is>
          <t>Stage 9 cost-stack E1 total = Stage 6 (2026)</t>
        </is>
      </c>
      <c r="C24" s="88">
        <f>stage6_decomp!F166</f>
        <v/>
      </c>
      <c r="D24" s="88">
        <f>stage9_policy!D11</f>
        <v/>
      </c>
      <c r="E24" s="89">
        <f>C24-D24</f>
        <v/>
      </c>
      <c r="F24" s="90">
        <f>IF(ABS(E24)&lt;0.01,"PASS","FAIL")</f>
        <v/>
      </c>
    </row>
    <row r="25" ht="28.35" customHeight="1" s="78">
      <c r="B25" s="83" t="inlineStr">
        <is>
          <t>Golden GN1b (UK XL incl CCL) reproduces</t>
        </is>
      </c>
      <c r="C25" s="84" t="n">
        <v>290.5</v>
      </c>
      <c r="D25" s="84">
        <f>golden_numbers!K6</f>
        <v/>
      </c>
      <c r="E25" s="88">
        <f>C25-D25</f>
        <v/>
      </c>
      <c r="F25" s="90">
        <f>IF(ABS(E25)&lt;0.5,"PASS","FAIL")</f>
        <v/>
      </c>
    </row>
    <row r="26" ht="28.35" customHeight="1" s="78">
      <c r="B26" s="83" t="inlineStr">
        <is>
          <t>Golden GN2 (TNUoS residual /MWh) reproduces</t>
        </is>
      </c>
      <c r="C26" s="88" t="n">
        <v>12.32</v>
      </c>
      <c r="D26" s="88">
        <f>golden_numbers!K7</f>
        <v/>
      </c>
      <c r="E26" s="89">
        <f>C26-D26</f>
        <v/>
      </c>
      <c r="F26" s="90">
        <f>IF(ABS(E26)&lt;0.05,"PASS","FAIL")</f>
        <v/>
      </c>
    </row>
    <row r="27" ht="28.35" customHeight="1" s="78">
      <c r="B27" s="83" t="inlineStr">
        <is>
          <t>Stage 6 UK large E1 reconciliation = 0 (max |2010–25|)</t>
        </is>
      </c>
      <c r="C27" s="89" t="n">
        <v>0</v>
      </c>
      <c r="D27" s="89">
        <f>SUMPRODUCT(MAX(ABS(stage6_decomp!E13:T13)))</f>
        <v/>
      </c>
      <c r="E27" s="89">
        <f>C27-D27</f>
        <v/>
      </c>
      <c r="F27" s="90">
        <f>IF(ABS(E27)&lt;0.001,"PASS","FAIL")</f>
        <v/>
      </c>
    </row>
    <row r="28" ht="28.35" customHeight="1" s="78">
      <c r="B28" s="83" t="inlineStr">
        <is>
          <t>Stage 9 who-pays UK E2 cost = Stage 6 T3</t>
        </is>
      </c>
      <c r="C28" s="88">
        <f>stage6_decomp!G149</f>
        <v/>
      </c>
      <c r="D28" s="88">
        <f>stage9_policy!F16</f>
        <v/>
      </c>
      <c r="E28" s="89">
        <f>C28-D28</f>
        <v/>
      </c>
      <c r="F28" s="90">
        <f>IF(ABS(E28)&lt;0.01,"PASS","FAIL")</f>
        <v/>
      </c>
    </row>
    <row r="30" ht="15" customHeight="1" s="78">
      <c r="A30" s="81" t="inlineStr">
        <is>
          <t>D. WORKBOOK INTEGRITY PANEL (live counts)</t>
        </is>
      </c>
    </row>
    <row r="31" ht="15" customHeight="1" s="78">
      <c r="B31" s="82" t="inlineStr">
        <is>
          <t>Metric</t>
        </is>
      </c>
      <c r="C31" s="82" t="inlineStr">
        <is>
          <t>Value</t>
        </is>
      </c>
      <c r="D31" s="82" t="inlineStr">
        <is>
          <t>Target</t>
        </is>
      </c>
      <c r="E31" s="82" t="inlineStr">
        <is>
          <t>Verdict</t>
        </is>
      </c>
    </row>
    <row r="32" ht="15" customHeight="1" s="78">
      <c r="B32" s="83" t="inlineStr">
        <is>
          <t>Stage 6 reconciliation gates = PASS (internal, by construction — Q46)</t>
        </is>
      </c>
      <c r="C32" s="91">
        <f>COUNTIF(stage6_decomp!A1:T200,"PASS")</f>
        <v/>
      </c>
      <c r="D32" s="91" t="n">
        <v>151</v>
      </c>
      <c r="E32" s="90">
        <f>IF(C32&gt;=D32,"PASS","CHECK")</f>
        <v/>
      </c>
    </row>
    <row r="33" ht="15" customHeight="1" s="78">
      <c r="B33" s="83" t="inlineStr">
        <is>
          <t>Stage 6 gates = FAIL (must be 0)</t>
        </is>
      </c>
      <c r="C33" s="91">
        <f>COUNTIF(stage6_decomp!A1:T200,"FAIL")</f>
        <v/>
      </c>
      <c r="D33" s="91" t="n">
        <v>0</v>
      </c>
      <c r="E33" s="90">
        <f>IF(C33=0,"PASS","FAIL")</f>
        <v/>
      </c>
    </row>
    <row r="34" ht="28.35" customHeight="1" s="78">
      <c r="B34" s="83" t="inlineStr">
        <is>
          <t>Consistency checks passing (Section C)</t>
        </is>
      </c>
      <c r="C34" s="91">
        <f>COUNTIF(F24:F28,"PASS")</f>
        <v/>
      </c>
      <c r="D34" s="91" t="n">
        <v>5</v>
      </c>
      <c r="E34" s="90">
        <f>IF(C34=D34,"PASS","FAIL")</f>
        <v/>
      </c>
    </row>
    <row r="35" ht="15" customHeight="1" s="78">
      <c r="B35" s="83" t="inlineStr">
        <is>
          <t>Sheets in workbook</t>
        </is>
      </c>
      <c r="C35" s="91">
        <f>_xlfn.SHEETS()</f>
        <v/>
      </c>
      <c r="D35" s="91" t="n">
        <v>24</v>
      </c>
      <c r="E35" s="90">
        <f>IF(C35=D35,"PASS","FAIL")</f>
        <v/>
      </c>
    </row>
    <row r="36" ht="45" customHeight="1" s="78">
      <c r="B36" s="83" t="inlineStr">
        <is>
          <t>Independent validation (not by construction)</t>
        </is>
      </c>
      <c r="C36" s="154" t="inlineStr">
        <is>
          <t>GN anchors reproduce (Section C); observed-vs-modelled gates: DE large PASS; UK large/medium &amp; DE medium FAIL 2025 — supply-margin wedge, an exhibit (Q30; timeseries r92–95)</t>
        </is>
      </c>
      <c r="D36" s="91" t="inlineStr">
        <is>
          <t>—</t>
        </is>
      </c>
      <c r="E36" s="90" t="inlineStr">
        <is>
          <t>RECORDED</t>
        </is>
      </c>
    </row>
    <row r="37" ht="15" customHeight="1" s="78">
      <c r="A37" s="81" t="inlineStr">
        <is>
          <t>E. OVERALL CONCLUSION</t>
        </is>
      </c>
    </row>
    <row r="38" ht="120" customHeight="1" s="78">
      <c r="B38" s="92" t="inlineStr">
        <is>
          <t>UK industrial electricity is expensive for different reasons against different peers. Against GERMANY the modelled system cost is similar (UK $207 vs DE $211 large; $213 vs $231 medium) — network+system and taxes are LOWER in the UK — and the E1 on-bill gap ($207 vs $170) is driven by policy/generation-capital recovery on bills (UK $60 vs DE $12) plus slightly dearer gas-set wholesale; the real UK–DE difference is WHO PAYS. Against CHINA the whole stack sits above (~$87 on-bill, administratively held down, industry cross-subsidising households). Network is the fastest-RISING bucket (UK residual +94% 25/26→26/27) though not above Germany's 2025 level at the large archetype. Relief relocates cost rather than removing it: the UK is moving EII relief off other bill-payers toward Exchequer + energy-system funding (BICS; final split at Budget 2026) — converging on the German taxpayer model. Supply-side options offer little near-term relief; cost-REDUCING levers (gas dependence, network growth, carbon design) are structural and slow. The modelled stack is a statutory floor: observed 2025 bills run ~$80/MWh higher (supply margin, Section A row 9). Policy choice is therefore less about the size of the stack than about who is asked to pay it — and about the slow structural work that actually lowers it.</t>
        </is>
      </c>
    </row>
    <row r="40" ht="60" customHeight="1" s="78">
      <c r="A40" s="155" t="inlineStr">
        <is>
          <t>Decisions D57–D62 · QC Q73–Q82 · this front page is Stage 10. Study complete pending owner approval. Real-2025 USD; VAT excluded; blanks = unavailable (never zero). External-review fix pass 2026-07-19 (Q82/D61–D62): modelled-vs-observed labelling, conclusion aligned to decomposition, BICS funding pending Budget 2026, steel coefficients re-derived. PUBLICATION SPINE per D64 (ChatGPT v40 = challenge annex).</t>
        </is>
      </c>
    </row>
  </sheetData>
  <mergeCells count="12">
    <mergeCell ref="B38:G38"/>
    <mergeCell ref="C20:D20"/>
    <mergeCell ref="B10:G10"/>
    <mergeCell ref="A40:G40"/>
    <mergeCell ref="C16:D16"/>
    <mergeCell ref="C15:D15"/>
    <mergeCell ref="C19:D19"/>
    <mergeCell ref="C14:D14"/>
    <mergeCell ref="A2:G2"/>
    <mergeCell ref="C13:D13"/>
    <mergeCell ref="C18:D18"/>
    <mergeCell ref="C17:D1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8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77" min="1" max="1"/>
    <col width="18" customWidth="1" style="77" min="2" max="3"/>
    <col width="40" customWidth="1" style="77" min="4" max="4"/>
    <col width="60" customWidth="1" style="77" min="5" max="5"/>
  </cols>
  <sheetData>
    <row r="1" ht="15.75" customHeight="1" s="78">
      <c r="A1" s="93" t="inlineStr">
        <is>
          <t>ASSUMPTIONS — editable inputs driving the build-up (stage 1, locked per project instructions)</t>
        </is>
      </c>
    </row>
    <row r="2" ht="15" customHeight="1" s="78">
      <c r="A2" s="94" t="inlineStr">
        <is>
          <t>Blue = hardcoded input (editable). Yellow = key assumption. All verified against primary sources 2026-07-14; see sources tab.</t>
        </is>
      </c>
    </row>
    <row r="4" ht="15" customHeight="1" s="78">
      <c r="A4" s="95" t="inlineStr">
        <is>
          <t>A. ARCHETYPES (locked — house rule 2)</t>
        </is>
      </c>
      <c r="B4" s="96" t="n"/>
      <c r="C4" s="96" t="n"/>
      <c r="D4" s="96" t="n"/>
    </row>
    <row r="5" ht="26.25" customHeight="1" s="78">
      <c r="A5" s="97" t="inlineStr">
        <is>
          <t>Parameter</t>
        </is>
      </c>
      <c r="B5" s="97" t="inlineStr">
        <is>
          <t>Large industrial</t>
        </is>
      </c>
      <c r="C5" s="97" t="inlineStr">
        <is>
          <t>Medium industrial</t>
        </is>
      </c>
      <c r="D5" s="97" t="inlineStr">
        <is>
          <t>Notes / verification</t>
        </is>
      </c>
    </row>
    <row r="6" ht="15" customHeight="1" s="78">
      <c r="A6" s="98" t="inlineStr">
        <is>
          <t>Annual consumption (MWh/yr)</t>
        </is>
      </c>
      <c r="B6" s="99" t="n">
        <v>500000</v>
      </c>
      <c r="C6" s="99" t="n">
        <v>20000</v>
      </c>
      <c r="D6" s="100" t="inlineStr">
        <is>
          <t>Locked.</t>
        </is>
      </c>
    </row>
    <row r="7" ht="21.75" customHeight="1" s="78">
      <c r="A7" s="98" t="inlineStr">
        <is>
          <t>Load factor / utilisation hours (h/yr)</t>
        </is>
      </c>
      <c r="B7" s="99" t="n">
        <v>8000</v>
      </c>
      <c r="C7" s="99" t="n">
        <v>5000</v>
      </c>
      <c r="D7" s="100" t="inlineStr">
        <is>
          <t>Highest-leverage assumption. Mandatory sensitivity at 6,500h (cell B_sens below).</t>
        </is>
      </c>
    </row>
    <row r="8" ht="21.75" customHeight="1" s="78">
      <c r="A8" s="98" t="inlineStr">
        <is>
          <t>Implied average demand (MW)</t>
        </is>
      </c>
      <c r="B8" s="98">
        <f>B6/B7</f>
        <v/>
      </c>
      <c r="C8" s="98">
        <f>C6/C7</f>
        <v/>
      </c>
      <c r="D8" s="100" t="inlineStr">
        <is>
          <t>Formula: consumption / hours. Large ≈62.5 MW, medium 4 MW.</t>
        </is>
      </c>
    </row>
    <row r="9" ht="42.75" customHeight="1" s="78">
      <c r="A9" s="98" t="inlineStr">
        <is>
          <t>Connection — UK</t>
        </is>
      </c>
      <c r="B9" s="98" t="inlineStr">
        <is>
          <t>Transmission / EHV</t>
        </is>
      </c>
      <c r="C9" s="98" t="inlineStr">
        <is>
          <t>11–33kV (HV, distribution)</t>
        </is>
      </c>
      <c r="D9" s="100" t="inlineStr">
        <is>
          <t>132kV = distribution in England &amp; Wales, transmission in Scotland — VERIFIED: Electricity Act 1989 s.64(1) &amp; s.4(4), legislation.gov.uk, retr. 2026-07-14.</t>
        </is>
      </c>
    </row>
    <row r="10" ht="21.75" customHeight="1" s="78">
      <c r="A10" s="98" t="inlineStr">
        <is>
          <t>Connection — DE</t>
        </is>
      </c>
      <c r="B10" s="98" t="inlineStr">
        <is>
          <t>Höchst-/Hochspannung</t>
        </is>
      </c>
      <c r="C10" s="98" t="inlineStr">
        <is>
          <t>Mittelspannung</t>
        </is>
      </c>
      <c r="D10" s="100" t="inlineStr">
        <is>
          <t>Standard German voltage-level taxonomy (StromNEV).</t>
        </is>
      </c>
    </row>
    <row r="11" ht="55.5" customHeight="1" s="78">
      <c r="A11" s="98" t="inlineStr">
        <is>
          <t>Connection — CN</t>
        </is>
      </c>
      <c r="B11" s="98" t="inlineStr">
        <is>
          <t>220kV及以上</t>
        </is>
      </c>
      <c r="C11" s="98" t="inlineStr">
        <is>
          <t>10(20)kV</t>
        </is>
      </c>
      <c r="D11" s="100" t="inlineStr">
        <is>
          <t>526号文 tariff classes: 不满1kV / 1-10(20)kV / 35kV / 110kV / 220kV+. RESOLVED (D10, user 2026-07-14): 10(20)kV — physically typical for ~5,000 kVA; conservative. 35kV reported as intra-country spread (Jiangsu T&amp;D ≈ −13% at 35kV).</t>
        </is>
      </c>
    </row>
    <row r="13" ht="15" customHeight="1" s="78">
      <c r="A13" s="95" t="inlineStr">
        <is>
          <t>B. SITES &amp; VERIFIED NETWORK PARAMETERS</t>
        </is>
      </c>
      <c r="B13" s="96" t="n"/>
      <c r="C13" s="96" t="n"/>
      <c r="D13" s="96" t="n"/>
    </row>
    <row r="14" ht="15" customHeight="1" s="78">
      <c r="A14" s="97" t="inlineStr">
        <is>
          <t>Parameter</t>
        </is>
      </c>
      <c r="B14" s="97" t="inlineStr">
        <is>
          <t>Value</t>
        </is>
      </c>
      <c r="C14" s="97" t="inlineStr">
        <is>
          <t>Applies to</t>
        </is>
      </c>
      <c r="D14" s="97" t="inlineStr">
        <is>
          <t>Source / verification (retr. 2026-07-14)</t>
        </is>
      </c>
    </row>
    <row r="15" ht="21.75" customHeight="1" s="78">
      <c r="A15" s="101" t="inlineStr">
        <is>
          <t>UK site</t>
        </is>
      </c>
      <c r="B15" s="101" t="inlineStr">
        <is>
          <t>Humber</t>
        </is>
      </c>
      <c r="C15" s="98" t="inlineStr">
        <is>
          <t>both</t>
        </is>
      </c>
      <c r="D15" s="100" t="inlineStr">
        <is>
          <t>Locked. Real EII cluster (Immingham/Scunthorpe/Hull).</t>
        </is>
      </c>
    </row>
    <row r="16" ht="32.25" customHeight="1" s="78">
      <c r="A16" s="101" t="inlineStr">
        <is>
          <t>UK TNUoS demand zone</t>
        </is>
      </c>
      <c r="B16" s="101" t="inlineStr">
        <is>
          <t>Zone 5 — Yorkshire</t>
        </is>
      </c>
      <c r="C16" s="98" t="inlineStr">
        <is>
          <t>both</t>
        </is>
      </c>
      <c r="D16" s="100" t="inlineStr">
        <is>
          <t>NESO Final TNUoS Tariffs 2025/26 v1.0, App. H p.68: zone 5/7 boundary runs south of the Humber; BOTH banks in zone 5.</t>
        </is>
      </c>
    </row>
    <row r="17" ht="42.75" customHeight="1" s="78">
      <c r="A17" s="101" t="inlineStr">
        <is>
          <t>UK TNUoS locational demand tariff 2025/26 (£/kW)</t>
        </is>
      </c>
      <c r="B17" s="102" t="n">
        <v>0</v>
      </c>
      <c r="C17" s="98" t="inlineStr">
        <is>
          <t>large</t>
        </is>
      </c>
      <c r="D17" s="100" t="inlineStr">
        <is>
          <t>Zone 5 zero-floored ('Zones 1–7 subject to the zero floor'), Table 9 p.22, Table 11 p.24. Pre-floor: Peak −0.790016, Year Round −4.258236 £/kW (Table 25 p.52).</t>
        </is>
      </c>
    </row>
    <row r="18" ht="21.75" customHeight="1" s="78">
      <c r="A18" s="101" t="inlineStr">
        <is>
          <t>UK TCR band — large (transmission)</t>
        </is>
      </c>
      <c r="B18" s="101" t="inlineStr">
        <is>
          <t>T-Demand4</t>
        </is>
      </c>
      <c r="C18" s="98" t="inlineStr">
        <is>
          <t>large</t>
        </is>
      </c>
      <c r="D18" s="100" t="inlineStr">
        <is>
          <t>500,000 MWh &gt; 189,873 MWh threshold (25/26) and &gt; 163,880 (26/27). NESO Tables sheet TB.</t>
        </is>
      </c>
    </row>
    <row r="19" ht="21.75" customHeight="1" s="78">
      <c r="A19" s="101" t="inlineStr">
        <is>
          <t>UK TCR residual 2025/26 (£/site/day)</t>
        </is>
      </c>
      <c r="B19" s="102" t="n">
        <v>12796.715359</v>
      </c>
      <c r="C19" s="98" t="inlineStr">
        <is>
          <t>large</t>
        </is>
      </c>
      <c r="D19" s="100" t="inlineStr">
        <is>
          <t>NESO Final TNUoS 2025/26, Table 10 p.23. Band has 5 sites.</t>
        </is>
      </c>
    </row>
    <row r="20" ht="21.75" customHeight="1" s="78">
      <c r="A20" s="101" t="inlineStr">
        <is>
          <t>UK TCR residual 2026/27 (£/site/day)</t>
        </is>
      </c>
      <c r="B20" s="102" t="n">
        <v>20829.236682</v>
      </c>
      <c r="C20" s="98" t="inlineStr">
        <is>
          <t>large</t>
        </is>
      </c>
      <c r="D20" s="100" t="inlineStr">
        <is>
          <t>NESO Final TNUoS 2026/27, Tables T10/TB. Thresholds re-set for RIIO-3.</t>
        </is>
      </c>
    </row>
    <row r="21" ht="63.75" customHeight="1" s="78">
      <c r="A21" s="101" t="inlineStr">
        <is>
          <t>UK DNO — both Humber banks</t>
        </is>
      </c>
      <c r="B21" s="101" t="inlineStr">
        <is>
          <t>Northern Powergrid (Yorkshire)</t>
        </is>
      </c>
      <c r="C21" s="98" t="inlineStr">
        <is>
          <t>medium</t>
        </is>
      </c>
      <c r="D21" s="100" t="inlineStr">
        <is>
          <t>VERIFIED: North Lincolnshire is Northern Powergrid, NOT NGED East Midlands (nationalgrid.com Grimsby-Walpole 'Need for project'; northernpowergrid.com/about-us). See decision D5. Licence-name attribution high-confidence, not document-level (qc log).</t>
        </is>
      </c>
    </row>
    <row r="22" ht="23.25" customHeight="1" s="78">
      <c r="A22" s="101" t="inlineStr">
        <is>
          <t>UK DUoS statement — medium</t>
        </is>
      </c>
      <c r="B22" s="101" t="inlineStr">
        <is>
          <t>NPg (Yorkshire) LC14 CDCM 2025-26</t>
        </is>
      </c>
      <c r="C22" s="98" t="inlineStr">
        <is>
          <t>medium</t>
        </is>
      </c>
      <c r="D22" s="100" t="inlineStr">
        <is>
          <t>Title verified via site index only (JS-rendered page) — flagged in qc.</t>
        </is>
      </c>
    </row>
    <row r="23" ht="32.25" customHeight="1" s="78">
      <c r="A23" s="101" t="inlineStr">
        <is>
          <t>UK TCR band — medium (inferred)</t>
        </is>
      </c>
      <c r="B23" s="101" t="inlineStr">
        <is>
          <t>HV4 — £317.597969/site/day</t>
        </is>
      </c>
      <c r="C23" s="98" t="inlineStr">
        <is>
          <t>medium</t>
        </is>
      </c>
      <c r="D23" s="100" t="inlineStr">
        <is>
          <t>INFERRED from published kVA thresholds (HV4 &gt;1,800 kVA); allocation is done by DNO on agreed capacity. estimated=Y; qc log.</t>
        </is>
      </c>
    </row>
    <row r="24" ht="15" customHeight="1" s="78">
      <c r="A24" s="101" t="inlineStr">
        <is>
          <t>DE site</t>
        </is>
      </c>
      <c r="B24" s="101" t="inlineStr">
        <is>
          <t>Rhine-Ruhr</t>
        </is>
      </c>
      <c r="C24" s="98" t="inlineStr">
        <is>
          <t>both</t>
        </is>
      </c>
      <c r="D24" s="100" t="inlineStr">
        <is>
          <t>Locked.</t>
        </is>
      </c>
    </row>
    <row r="25" ht="21.75" customHeight="1" s="78">
      <c r="A25" s="101" t="inlineStr">
        <is>
          <t>DE TSO</t>
        </is>
      </c>
      <c r="B25" s="101" t="inlineStr">
        <is>
          <t>Amprion</t>
        </is>
      </c>
      <c r="C25" s="98" t="inlineStr">
        <is>
          <t>large</t>
        </is>
      </c>
      <c r="D25" s="100" t="inlineStr">
        <is>
          <t>amprion.net 'Unser Netz' — control area covers NRW/Rhine-Ruhr.</t>
        </is>
      </c>
    </row>
    <row r="26" ht="53.25" customHeight="1" s="78">
      <c r="A26" s="101" t="inlineStr">
        <is>
          <t>DE transmission charges harmonised?</t>
        </is>
      </c>
      <c r="B26" s="101" t="inlineStr">
        <is>
          <t>Yes, since 01.01.2023</t>
        </is>
      </c>
      <c r="C26" s="98" t="inlineStr">
        <is>
          <t>large</t>
        </is>
      </c>
      <c r="D26" s="100" t="inlineStr">
        <is>
          <t>StromNEV §3(3), §§14a–14d (bundeseinheitliche ÜNB-Entgelte), gesetze-im-internet.de. Joint ÜNB price sheet 2026 dated 05.12.2025, netztransparenz.de. Locational variable is therefore the DSO region, as hypothesised.</t>
        </is>
      </c>
    </row>
    <row r="27" ht="32.25" customHeight="1" s="78">
      <c r="A27" s="101" t="inlineStr">
        <is>
          <t>DE DSO</t>
        </is>
      </c>
      <c r="B27" s="101" t="inlineStr">
        <is>
          <t>Westnetz</t>
        </is>
      </c>
      <c r="C27" s="98" t="inlineStr">
        <is>
          <t>medium</t>
        </is>
      </c>
      <c r="D27" s="100" t="inlineStr">
        <is>
          <t>Largest German DSO, Rhine-Ruhr footprint; exact service-area sentence not readable on rendered page (qc log).</t>
        </is>
      </c>
    </row>
    <row r="28" ht="74.25" customHeight="1" s="78">
      <c r="A28" s="101" t="inlineStr">
        <is>
          <t>DE §19(2) StromNEV — large archetype</t>
        </is>
      </c>
      <c r="B28" s="101" t="inlineStr">
        <is>
          <t>Qualifies, Satz 2/3 Nr.3 (≥8,000h &amp; &gt;10 GWh) → floor 10%</t>
        </is>
      </c>
      <c r="C28" s="98" t="inlineStr">
        <is>
          <t>large</t>
        </is>
      </c>
      <c r="D28" s="100" t="inlineStr">
        <is>
          <t>StromNEV §19(2) current text, gesetze-im-internet.de: floors 20/15/10% at 7,000/7,500/8,000h — FLOORS, not tariffs. In force through 2028; abolition scheduled with StromNEV expiry end-2028, Bandlast grandfathering intended to 31.12.2031 (BNetzA AgNes Orientierungspunkte 22.04.2026, GBK-25-01-1#3, p.17).</t>
        </is>
      </c>
    </row>
    <row r="29" ht="32.25" customHeight="1" s="78">
      <c r="A29" s="101" t="inlineStr">
        <is>
          <t>DE §19(2) — medium archetype</t>
        </is>
      </c>
      <c r="B29" s="101" t="inlineStr">
        <is>
          <t>Does NOT qualify (5,000h &lt; 7,000h)</t>
        </is>
      </c>
      <c r="C29" s="98" t="inlineStr">
        <is>
          <t>medium</t>
        </is>
      </c>
      <c r="D29" s="100" t="inlineStr">
        <is>
          <t>Satz 2 requires ≥7,000h AND &gt;10 GWh. Atypical-use limb (Satz 1) fails for baseload — to establish in stage 4, not assumed.</t>
        </is>
      </c>
    </row>
    <row r="30" ht="42.75" customHeight="1" s="78">
      <c r="A30" s="101" t="inlineStr">
        <is>
          <t>DE 2026 transmission subsidy</t>
        </is>
      </c>
      <c r="B30" s="101" t="inlineStr">
        <is>
          <t>€6.5bn, federal (KTF)</t>
        </is>
      </c>
      <c r="C30" s="98" t="inlineStr">
        <is>
          <t>both</t>
        </is>
      </c>
      <c r="D30" s="100" t="inlineStr">
        <is>
          <t>§24c EnWG; Gesetz BGBl. 2025 I Nr. 317, in force 12.12.2025; 2026 only. Deducted from revenue caps → ~57% cut in avg HöS charge (TSO-sourced, verbatim unverified — qc). Incidence: (iii) taxpayer.</t>
        </is>
      </c>
    </row>
    <row r="31" ht="23.25" customHeight="1" s="78">
      <c r="A31" s="101" t="inlineStr">
        <is>
          <t>CN provincial basket</t>
        </is>
      </c>
      <c r="B31" s="101" t="inlineStr">
        <is>
          <t>JS, GD, SD, ZJ, HN, IM, SC</t>
        </is>
      </c>
      <c r="C31" s="98" t="inlineStr">
        <is>
          <t>both</t>
        </is>
      </c>
      <c r="D31" s="100" t="inlineStr">
        <is>
          <t>Locked. Weights below, 2024 vintage (decision D2), held constant.</t>
        </is>
      </c>
    </row>
    <row r="32" ht="57.75" customHeight="1" s="78">
      <c r="A32" s="101" t="inlineStr">
        <is>
          <t>CN weight set driving build-up</t>
        </is>
      </c>
      <c r="B32" s="103" t="inlineStr">
        <is>
          <t>C</t>
        </is>
      </c>
      <c r="C32" s="98" t="inlineStr">
        <is>
          <t>both</t>
        </is>
      </c>
      <c r="D32" s="100" t="inlineStr">
        <is>
          <t>TOGGLE: 'A' = closest-to-industrial (mixed categories); 'B' = 全社会 totals; 'C' = 第二产业 secondary industry, consistent basis, with fallbacks for GD (工业) and SC (全社会). RESOLVED (D11, user 2026-07-14): Set C.</t>
        </is>
      </c>
    </row>
    <row r="34" ht="15" customHeight="1" s="78">
      <c r="A34" s="95" t="inlineStr">
        <is>
          <t>C. CHINESE BASKET WEIGHTS (2024 consumption, 亿千瓦时; weights computed = estimated Y). Active set: C (decision D11).</t>
        </is>
      </c>
      <c r="B34" s="96" t="n"/>
      <c r="C34" s="96" t="n"/>
      <c r="D34" s="96" t="n"/>
      <c r="E34" s="96" t="n"/>
    </row>
    <row r="35" ht="42" customHeight="1" s="78">
      <c r="A35" s="97" t="inlineStr">
        <is>
          <t>Province</t>
        </is>
      </c>
      <c r="B35" s="97" t="inlineStr">
        <is>
          <t>Set A: closest-to-industrial (亿kWh)</t>
        </is>
      </c>
      <c r="C35" s="97" t="inlineStr">
        <is>
          <t>Set B: 全社会 total (亿kWh)</t>
        </is>
      </c>
      <c r="D35" s="97" t="inlineStr">
        <is>
          <t>Set C: 第二产业 (亿kWh)</t>
        </is>
      </c>
      <c r="E35" s="97" t="inlineStr">
        <is>
          <t>Category &amp; source flag</t>
        </is>
      </c>
    </row>
    <row r="36" ht="26.25" customHeight="1" s="78">
      <c r="A36" s="98" t="inlineStr">
        <is>
          <t>Jiangsu 江苏</t>
        </is>
      </c>
      <c r="B36" s="104" t="n">
        <v>5752</v>
      </c>
      <c r="C36" s="104" t="n">
        <v>8487</v>
      </c>
      <c r="D36" s="104" t="n">
        <v>5752</v>
      </c>
      <c r="E36" s="100" t="inlineStr">
        <is>
          <t>Set A = Set C = 第二产业 (SGCC Jiangsu 2024 CSR data via jiangsu.gov.cn 2025-03-26); 全社会 8486.93 per NEA Jiangsu office.</t>
        </is>
      </c>
    </row>
    <row r="37" ht="49.5" customHeight="1" s="78">
      <c r="A37" s="98" t="inlineStr">
        <is>
          <t>Guangdong 广东</t>
        </is>
      </c>
      <c r="B37" s="104" t="n">
        <v>5216.25</v>
      </c>
      <c r="C37" s="104" t="n">
        <v>9121.030000000001</v>
      </c>
      <c r="D37" s="105" t="n">
        <v>5216.25</v>
      </c>
      <c r="E37" s="100" t="inlineStr">
        <is>
          <t>FLAG (Set C): GD publishes NO 第二产业 aggregate (checked grid, energy bureau, 统计年鉴2025 表7-6) — fallback to 工业 5216.25 per D11. Derived alternative 工业5217.39+建筑业102.68=5320.07 (yearbook 7-6, NBS energy classification) noted, not used.</t>
        </is>
      </c>
    </row>
    <row r="38" ht="24" customHeight="1" s="78">
      <c r="A38" s="98" t="inlineStr">
        <is>
          <t>Shandong 山东</t>
        </is>
      </c>
      <c r="B38" s="104" t="n">
        <v>6005.1</v>
      </c>
      <c r="C38" s="104" t="n">
        <v>8319.700000000001</v>
      </c>
      <c r="D38" s="104" t="n">
        <v>6071.1</v>
      </c>
      <c r="E38" s="100" t="inlineStr">
        <is>
          <t>Set A = 工业; Set C = 第二产业 6071.1 (+2.8%) — Shandong Statistics Bureau note 2025-01-22, VERIFIED.</t>
        </is>
      </c>
    </row>
    <row r="39" ht="24" customHeight="1" s="78">
      <c r="A39" s="98" t="inlineStr">
        <is>
          <t>Zhejiang 浙江</t>
        </is>
      </c>
      <c r="B39" s="104" t="n">
        <v>4435.4</v>
      </c>
      <c r="C39" s="104" t="n">
        <v>6780</v>
      </c>
      <c r="D39" s="104" t="n">
        <v>4515.5</v>
      </c>
      <c r="E39" s="100" t="inlineStr">
        <is>
          <t>Set A = 工业; Set C = 第二产业 4515.5 (+7.8%) — 国网浙江 via 新华网 2025-01-20, VERIFIED (grid-company data flag).</t>
        </is>
      </c>
    </row>
    <row r="40" ht="24" customHeight="1" s="78">
      <c r="A40" s="98" t="inlineStr">
        <is>
          <t>Henan 河南</t>
        </is>
      </c>
      <c r="B40" s="104" t="n">
        <v>2283.25</v>
      </c>
      <c r="C40" s="104" t="n">
        <v>4319.94</v>
      </c>
      <c r="D40" s="104" t="n">
        <v>2330.71</v>
      </c>
      <c r="E40" s="100" t="inlineStr">
        <is>
          <t>Set A = 工业; Set C = 第二产业 2330.71 (本年累计, NEA Henan Table 2; row check 87.14+2330.71+925.09+977=4319.94 ✓), VERIFIED.</t>
        </is>
      </c>
    </row>
    <row r="41" ht="45" customHeight="1" s="78">
      <c r="A41" s="98" t="inlineStr">
        <is>
          <t>Inner Mongolia 内蒙古</t>
        </is>
      </c>
      <c r="B41" s="104" t="n">
        <v>4539.12</v>
      </c>
      <c r="C41" s="104" t="n">
        <v>5193.41</v>
      </c>
      <c r="D41" s="104" t="n">
        <v>4539.12</v>
      </c>
      <c r="E41" s="100" t="inlineStr">
        <is>
          <t>Set A = Set C = 第二产业. FLAG: source is industry-association republication of grid statistics (now read directly; no better official source exists — 2024 statistical bulletin has no consumption breakdown). Swing constituent — report basket with/without.</t>
        </is>
      </c>
    </row>
    <row r="42" ht="47.25" customHeight="1" s="78">
      <c r="A42" s="98" t="inlineStr">
        <is>
          <t>Sichuan 四川</t>
        </is>
      </c>
      <c r="B42" s="104" t="n">
        <v>4000</v>
      </c>
      <c r="C42" s="104" t="n">
        <v>4000</v>
      </c>
      <c r="D42" s="105" t="n">
        <v>2404.56</v>
      </c>
      <c r="E42" s="100" t="inlineStr">
        <is>
          <t>Set C = 第二产业 2404.56 亿千瓦时 (2024, +3.36%) — Q6 CLOSED 2026-07-15 via 硕电汇/北极星 year-end summary (news.bjx.com.cn/html/20250123/1424280.shtml, image tables); components sum to 全社会 3999.69 exactly (38.84+2404.56+780.93+775.36). Set A/B still 全社会 placeholder 4000 — flagged (active set = C per D11).</t>
        </is>
      </c>
    </row>
    <row r="43" ht="15" customHeight="1" s="78">
      <c r="A43" s="106" t="inlineStr">
        <is>
          <t>Sum</t>
        </is>
      </c>
      <c r="B43" s="107">
        <f>SUM(B36:B42)</f>
        <v/>
      </c>
      <c r="C43" s="107">
        <f>SUM(C36:C42)</f>
        <v/>
      </c>
      <c r="D43" s="107">
        <f>SUM(D36:D42)</f>
        <v/>
      </c>
    </row>
    <row r="44" ht="15" customHeight="1" s="78">
      <c r="A44" s="94" t="inlineStr">
        <is>
          <t>Normalised weights (formula-driven):</t>
        </is>
      </c>
    </row>
    <row r="45" ht="15" customHeight="1" s="78">
      <c r="A45" s="97" t="inlineStr">
        <is>
          <t>Province</t>
        </is>
      </c>
      <c r="B45" s="97" t="inlineStr">
        <is>
          <t>Weight A</t>
        </is>
      </c>
      <c r="C45" s="97" t="inlineStr">
        <is>
          <t>Weight B</t>
        </is>
      </c>
      <c r="D45" s="97" t="inlineStr">
        <is>
          <t>Weight C</t>
        </is>
      </c>
      <c r="E45" s="97" t="inlineStr">
        <is>
          <t>Active weight (per toggle B32)</t>
        </is>
      </c>
    </row>
    <row r="46" ht="15" customHeight="1" s="78">
      <c r="A46" s="98" t="inlineStr">
        <is>
          <t>Jiangsu 江苏</t>
        </is>
      </c>
      <c r="B46" s="108">
        <f>B36/$B$43</f>
        <v/>
      </c>
      <c r="C46" s="108">
        <f>C36/$C$43</f>
        <v/>
      </c>
      <c r="D46" s="108">
        <f>D36/$D$43</f>
        <v/>
      </c>
      <c r="E46" s="108">
        <f>IF($B$32="A",B46,IF($B$32="B",C46,D46))</f>
        <v/>
      </c>
    </row>
    <row r="47" ht="15" customHeight="1" s="78">
      <c r="A47" s="98" t="inlineStr">
        <is>
          <t>Guangdong 广东</t>
        </is>
      </c>
      <c r="B47" s="108">
        <f>B37/$B$43</f>
        <v/>
      </c>
      <c r="C47" s="108">
        <f>C37/$C$43</f>
        <v/>
      </c>
      <c r="D47" s="108">
        <f>D37/$D$43</f>
        <v/>
      </c>
      <c r="E47" s="108">
        <f>IF($B$32="A",B47,IF($B$32="B",C47,D47))</f>
        <v/>
      </c>
    </row>
    <row r="48" ht="15" customHeight="1" s="78">
      <c r="A48" s="98" t="inlineStr">
        <is>
          <t>Shandong 山东</t>
        </is>
      </c>
      <c r="B48" s="108">
        <f>B38/$B$43</f>
        <v/>
      </c>
      <c r="C48" s="108">
        <f>C38/$C$43</f>
        <v/>
      </c>
      <c r="D48" s="108">
        <f>D38/$D$43</f>
        <v/>
      </c>
      <c r="E48" s="108">
        <f>IF($B$32="A",B48,IF($B$32="B",C48,D48))</f>
        <v/>
      </c>
    </row>
    <row r="49" ht="15" customHeight="1" s="78">
      <c r="A49" s="98" t="inlineStr">
        <is>
          <t>Zhejiang 浙江</t>
        </is>
      </c>
      <c r="B49" s="108">
        <f>B39/$B$43</f>
        <v/>
      </c>
      <c r="C49" s="108">
        <f>C39/$C$43</f>
        <v/>
      </c>
      <c r="D49" s="108">
        <f>D39/$D$43</f>
        <v/>
      </c>
      <c r="E49" s="108">
        <f>IF($B$32="A",B49,IF($B$32="B",C49,D49))</f>
        <v/>
      </c>
    </row>
    <row r="50" ht="15" customHeight="1" s="78">
      <c r="A50" s="98" t="inlineStr">
        <is>
          <t>Henan 河南</t>
        </is>
      </c>
      <c r="B50" s="108">
        <f>B40/$B$43</f>
        <v/>
      </c>
      <c r="C50" s="108">
        <f>C40/$C$43</f>
        <v/>
      </c>
      <c r="D50" s="108">
        <f>D40/$D$43</f>
        <v/>
      </c>
      <c r="E50" s="108">
        <f>IF($B$32="A",B50,IF($B$32="B",C50,D50))</f>
        <v/>
      </c>
    </row>
    <row r="51" ht="15" customHeight="1" s="78">
      <c r="A51" s="98" t="inlineStr">
        <is>
          <t>Inner Mongolia 内蒙古</t>
        </is>
      </c>
      <c r="B51" s="108">
        <f>B41/$B$43</f>
        <v/>
      </c>
      <c r="C51" s="108">
        <f>C41/$C$43</f>
        <v/>
      </c>
      <c r="D51" s="108">
        <f>D41/$D$43</f>
        <v/>
      </c>
      <c r="E51" s="108">
        <f>IF($B$32="A",B51,IF($B$32="B",C51,D51))</f>
        <v/>
      </c>
    </row>
    <row r="52" ht="15" customHeight="1" s="78">
      <c r="A52" s="98" t="inlineStr">
        <is>
          <t>Sichuan 四川</t>
        </is>
      </c>
      <c r="B52" s="108">
        <f>B42/$B$43</f>
        <v/>
      </c>
      <c r="C52" s="108">
        <f>C42/$C$43</f>
        <v/>
      </c>
      <c r="D52" s="108">
        <f>D42/$D$43</f>
        <v/>
      </c>
      <c r="E52" s="108">
        <f>IF($B$32="A",B52,IF($B$32="B",C52,D52))</f>
        <v/>
      </c>
    </row>
    <row r="54" ht="15" customHeight="1" s="78">
      <c r="A54" s="95" t="inlineStr">
        <is>
          <t>D. OTHER LOCKED CONVENTIONS &amp; SENSITIVITY INPUTS</t>
        </is>
      </c>
      <c r="B54" s="96" t="n"/>
      <c r="C54" s="96" t="n"/>
      <c r="D54" s="96" t="n"/>
    </row>
    <row r="55" ht="32.25" customHeight="1" s="78">
      <c r="A55" s="101" t="inlineStr">
        <is>
          <t>Hedging / procurement convention</t>
        </is>
      </c>
      <c r="B55" s="101" t="inlineStr">
        <is>
          <t>Rolling year-ahead baseload</t>
        </is>
      </c>
      <c r="D55" s="100" t="inlineStr">
        <is>
          <t>Locked; identical in all three countries. Day-ahead (N2EX/EPEX) is an input, not the price. Mandatory sensitivity vs day-ahead-indexed (stage 4).</t>
        </is>
      </c>
    </row>
    <row r="56" ht="32.25" customHeight="1" s="78">
      <c r="A56" s="101" t="inlineStr">
        <is>
          <t>Load-factor sensitivity (h/yr)</t>
        </is>
      </c>
      <c r="B56" s="102" t="n">
        <v>6500</v>
      </c>
      <c r="D56" s="100" t="inlineStr">
        <is>
          <t>Mandatory: whole build-up re-run at non-qualifying load factor; German 7,000h threshold charted explicitly (stage 4).</t>
        </is>
      </c>
    </row>
    <row r="57" ht="34.5" customHeight="1" s="78">
      <c r="A57" s="101" t="inlineStr">
        <is>
          <t>FX source</t>
        </is>
      </c>
      <c r="B57" s="101" t="inlineStr">
        <is>
          <t>Federal Reserve H.10 / G.5A annual averages (via FRED)</t>
        </is>
      </c>
      <c r="D57" s="100" t="inlineStr">
        <is>
          <t>Decision D1, user-approved 2026-07-14. One source, all three currencies.</t>
        </is>
      </c>
    </row>
    <row r="58" ht="34.5" customHeight="1" s="78">
      <c r="A58" s="101" t="inlineStr">
        <is>
          <t>Deflator</t>
        </is>
      </c>
      <c r="B58" s="101" t="inlineStr">
        <is>
          <t>US CPI-U annual average, NSA (BLS CUUR0000SA0)</t>
        </is>
      </c>
      <c r="D58" s="100" t="inlineStr">
        <is>
          <t>House rule 1. 2025 annual average final (321.943).</t>
        </is>
      </c>
    </row>
    <row r="59" ht="45.75" customHeight="1" s="78">
      <c r="A59" s="101" t="inlineStr">
        <is>
          <t>Currency/unit convention</t>
        </is>
      </c>
      <c r="B59" s="101" t="inlineStr">
        <is>
          <t>Real 2025 USD/MWh; market FX; no PPP; VAT excluded (CN series 含税 as published — Q84)</t>
        </is>
      </c>
      <c r="D59" s="100" t="inlineStr">
        <is>
          <t>House rule 1. Chart footnote fixed.</t>
        </is>
      </c>
    </row>
    <row r="60" ht="45" customHeight="1" s="78">
      <c r="A60" s="101" t="inlineStr">
        <is>
          <t>Snapshot years</t>
        </is>
      </c>
      <c r="B60" s="101" t="inlineStr">
        <is>
          <t>2025 AND 2026</t>
        </is>
      </c>
      <c r="D60" s="100" t="inlineStr">
        <is>
          <t>All three regimes change in 2026 (UK NCC 60→90%; DE €6.5bn subsidy + §19 reform path; CN 136号文 + 4th-period T&amp;D). 2025→2026 delta is an explicit exhibit.</t>
        </is>
      </c>
    </row>
    <row r="61" ht="90.75" customHeight="1" s="78">
      <c r="A61" s="101" t="inlineStr">
        <is>
          <t>UK EII relief parameters (verified)</t>
        </is>
      </c>
      <c r="B61" s="101" t="inlineStr">
        <is>
          <t>100% CfD/RO/FiT exemption (from 04/2024); 100% CM exemption (10/2024); NCC 60% (04/2025, backdated 04/2024) → 90% from 01.04.2026</t>
        </is>
      </c>
      <c r="D61" s="100" t="inlineStr">
        <is>
          <t>DBT consultation response upd. 31.10.2025, gov.uk; SI 2024/409; SI 2026/243. Recovery: EII Support Levy on licensed suppliers — incidence (ii) other electricity users. NCC pays 12 months in arrears.</t>
        </is>
      </c>
    </row>
    <row r="62" ht="15" customHeight="1" s="78">
      <c r="A62" s="77" t="inlineStr">
        <is>
          <t>Medium archetype E2 status</t>
        </is>
      </c>
      <c r="B62" s="77" t="inlineStr">
        <is>
          <t>EII status assumed — UK reliefs + DE BesAR apply (no §19: fails 7,000h)</t>
        </is>
      </c>
      <c r="D62" s="77" t="inlineStr">
        <is>
          <t>Decision D24, user-approved 2026-07-15. Stated on every E2 chart.</t>
        </is>
      </c>
    </row>
    <row r="64" ht="15" customHeight="1" s="78">
      <c r="A64" s="109" t="inlineStr">
        <is>
          <t>E. STAGE 8 INPUTS (evidence stage; every value tagged; blank=unavailable, NOT zero)</t>
        </is>
      </c>
    </row>
    <row r="65" ht="15" customHeight="1" s="78">
      <c r="A65" s="77" t="inlineStr">
        <is>
          <t>Real-2025 basis</t>
        </is>
      </c>
      <c r="B65" s="77" t="inlineStr">
        <is>
          <t>real 2025 USD (house rule 1) / real 2025 GBP (UK deflator, Stage-8 only)</t>
        </is>
      </c>
      <c r="E65" s="77" t="inlineStr">
        <is>
          <t>USD via fx_deflator; GBP via HMT GDP deflator S120</t>
        </is>
      </c>
    </row>
    <row r="66" ht="15" customHeight="1" s="78">
      <c r="A66" s="77" t="inlineStr">
        <is>
          <t>Nuclear proxy WACC (real)</t>
        </is>
      </c>
      <c r="B66" s="77" t="n">
        <v>0.07000000000000001</v>
      </c>
      <c r="E66" s="77" t="inlineStr">
        <is>
          <t>Stage-8 nuclear indicative LCOE proxies (Vogtle) + Flamanville central case</t>
        </is>
      </c>
    </row>
    <row r="67" ht="15" customHeight="1" s="78">
      <c r="A67" s="77" t="inlineStr">
        <is>
          <t>Nuclear proxy life (yr)</t>
        </is>
      </c>
      <c r="B67" s="77" t="n">
        <v>60</v>
      </c>
      <c r="E67" s="77" t="inlineStr">
        <is>
          <t>OECD/NEA convention; capital-recovery-factor basis</t>
        </is>
      </c>
    </row>
    <row r="68" ht="15" customHeight="1" s="78">
      <c r="A68" s="77" t="inlineStr">
        <is>
          <t>Capital recovery factor @7%/60yr</t>
        </is>
      </c>
      <c r="B68" s="77">
        <f>0.07*(1.07^60)/((1.07^60)-1)</f>
        <v/>
      </c>
      <c r="E68" s="77" t="inlineStr">
        <is>
          <t>CRF for annualised-cost proxies (shown, not hard-coded)</t>
        </is>
      </c>
    </row>
    <row r="69" ht="15" customHeight="1" s="78">
      <c r="A69" s="77" t="inlineStr">
        <is>
          <t>Vogtle assumed capacity factor</t>
        </is>
      </c>
      <c r="B69" s="77" t="n">
        <v>0.9</v>
      </c>
      <c r="E69" s="77" t="inlineStr">
        <is>
          <t>ASSUMED — Vogtle annual generation not disclosed (GAP); conservative CF on 2x1117 MW net</t>
        </is>
      </c>
    </row>
    <row r="70" ht="15" customHeight="1" s="78">
      <c r="A70" s="77" t="inlineStr">
        <is>
          <t>Vogtle net capacity (MW)</t>
        </is>
      </c>
      <c r="B70" s="77" t="n">
        <v>2234</v>
      </c>
      <c r="E70" s="77" t="inlineStr">
        <is>
          <t>2 x 1117 MWe net (Georgia Power fact sheet / IAEA PRIS)</t>
        </is>
      </c>
    </row>
    <row r="71" ht="15" customHeight="1" s="78">
      <c r="A71" s="77" t="inlineStr">
        <is>
          <t>Vogtle O&amp;M+fuel assumption (USD/MWh, 2018)</t>
        </is>
      </c>
      <c r="B71" s="77" t="n">
        <v>20.93</v>
      </c>
      <c r="E71" s="77" t="inlineStr">
        <is>
          <t>DISCLOSED PROXY = OECD/NEA 2020 US LWR O&amp;M 11.60 + fuel 9.33 (2018 USD); Vogtle-specific value is GAP</t>
        </is>
      </c>
    </row>
    <row r="72" ht="15" customHeight="1" s="78">
      <c r="A72" s="77" t="inlineStr">
        <is>
          <t>Flexibility baseline GB peak 2024 (GW)</t>
        </is>
      </c>
      <c r="B72" s="77" t="n">
        <v>46</v>
      </c>
      <c r="E72" s="77" t="inlineStr">
        <is>
          <t>DUKES 5.10.A GB simultaneous max (Stage-7 anchor)</t>
        </is>
      </c>
    </row>
    <row r="73" ht="15" customHeight="1" s="78">
      <c r="A73" s="77" t="inlineStr">
        <is>
          <t>Flexibility baseline GB supplied 2024 (TWh)</t>
        </is>
      </c>
      <c r="B73" s="77" t="n">
        <v>270.88</v>
      </c>
      <c r="E73" s="77" t="inlineStr">
        <is>
          <t>DUKES 5.1.2 (Stage-7 anchor)</t>
        </is>
      </c>
    </row>
    <row r="74" ht="15" customHeight="1" s="78">
      <c r="A74" s="77" t="inlineStr">
        <is>
          <t>Flexibility firm peak reduction low/central/high (GW)</t>
        </is>
      </c>
      <c r="B74" s="77" t="inlineStr">
        <is>
          <t>3 / 6 / 12</t>
        </is>
      </c>
      <c r="E74" s="77" t="inlineStr">
        <is>
          <t>SCENARIO inputs (grounded in NIC/CT/FES ranges; this-decade firm reduction)</t>
        </is>
      </c>
    </row>
    <row r="75" ht="15" customHeight="1" s="78">
      <c r="A75" s="77" t="inlineStr">
        <is>
          <t>TNUoS demand residual 2026/27 (GBP bn)</t>
        </is>
      </c>
      <c r="B75" s="77" t="n">
        <v>6.26517</v>
      </c>
      <c r="E75" s="77" t="inlineStr">
        <is>
          <t>NESO Final TNUoS Tariffs 2026/27, 30.01.2026, doc 376336, Table 10 (S2) — re-verified against the primary 2026-07-26. Fixed banded GBP/site/day under TCR. Q99 2026-07-26: RE-BASED from the Five-Year View v3.0 forecast of GBP 7.52bn (S107), which was 17% high. Documentation row — no formula reads this cell.</t>
        </is>
      </c>
    </row>
    <row r="76" ht="15" customHeight="1" s="78">
      <c r="A76" s="77" t="inlineStr">
        <is>
          <t>UK GDP deflator basis</t>
        </is>
      </c>
      <c r="B76" s="77" t="inlineStr">
        <is>
          <t>HMT GDP deflators June 2026, L8GG, FY, 2025-26=100</t>
        </is>
      </c>
      <c r="E76" s="77" t="inlineStr">
        <is>
          <t>S120; calendar-&gt;FY map = FY starting in year Y (estimated=Y)</t>
        </is>
      </c>
    </row>
    <row r="78">
      <c r="A78" s="77" t="inlineStr">
        <is>
          <t>UK line losses — demand TLM (transmission), all archetypes</t>
        </is>
      </c>
      <c r="B78" s="77" t="n">
        <v>0.008</v>
      </c>
      <c r="C78" s="77" t="inlineStr">
        <is>
          <t>Elexon BSC Section T: TLM = 1 + TLF + TLMO-. Demand takes 55% of transmission losses. TLMO- annual averages 0.0077 (BSC yr 2021/22) to 0.0118 (2024/25), 0.0092 (2026/27); Yorkshire (zone 12, GSP _M) TLF is a small negative in all seasons — exact value portal-gated, so the zonal term is set to 0 and the residual TLMO- carries it. Central 0.008, range 0.003-0.012. Cross-check: NESO puts GB transmission losses at ~1.7% of transfer, x55% = 0.94%. S197.</t>
        </is>
      </c>
    </row>
    <row r="79">
      <c r="A79" s="77" t="inlineStr">
        <is>
          <t>UK line losses — distribution LLF, LARGE (CVA transmission-connected)</t>
        </is>
      </c>
      <c r="B79" s="77" t="n">
        <v>1</v>
      </c>
      <c r="C79" s="77" t="inlineStr">
        <is>
          <t>A CVA transmission-connected site takes no distribution LLF. If the large archetype were instead 132 kV on the DNO network the figure would be 1.010 (NPg Yorkshire &gt;22kV demand, annual blend) and the uplift would roughly double — a 1pp swing, flagged. S197.</t>
        </is>
      </c>
    </row>
    <row r="80">
      <c r="A80" s="77" t="inlineStr">
        <is>
          <t>UK line losses — distribution LLF, MEDIUM (HV network)</t>
        </is>
      </c>
      <c r="B80" s="77" t="n">
        <v>1.024</v>
      </c>
      <c r="C80" s="77" t="inlineStr">
        <is>
          <t>Northern Powergrid (Yorkshire) Annex 5, HV Network class, annual blend, charging year 2025/26. Multiplier applied to metered volume in settlement. Effectively FLAT over the panel: P1 1.032 (2017/18) -&gt; 1.029 (2020/21) -&gt; 1.028 (2023/24) -&gt; 1.028 (2025/26); pre-2017 values not found, constant held and flagged. Note LV moved the OTHER way (1.110 -&gt; 1.150) because non-technical losses land there — do not reuse this constant for LV. S197.</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M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77" min="1" max="1"/>
    <col width="16" customWidth="1" style="77" min="2" max="5"/>
    <col width="18" customWidth="1" style="77" min="6" max="6"/>
  </cols>
  <sheetData>
    <row r="1" ht="15.75" customHeight="1" s="78">
      <c r="A1" s="93" t="inlineStr">
        <is>
          <t>FX &amp; DEFLATOR — Fed H.10/G.5A annual averages (FRED); BLS CPI-U CUUR0000SA0 M13. Retrieved 2026-07-14.</t>
        </is>
      </c>
    </row>
    <row r="2" ht="15" customHeight="1" s="78">
      <c r="A2" s="94" t="inlineStr">
        <is>
          <t>G.5A release 05.01.2026 cross-checks FRED exactly for 2022–2025. CPI-U 2025 final per BLS API (no footnote flag). No 2026 annual averages exist yet — any 2026 conversion is provisional (decision D6).</t>
        </is>
      </c>
    </row>
    <row r="3" ht="15" customHeight="1" s="78">
      <c r="H3" s="109" t="inlineStr">
        <is>
          <t>HELPER — contiguous 2010–2026 lookup for timeseries formulas (references the blocks above; 2026 FX blank per D6)</t>
        </is>
      </c>
    </row>
    <row r="4" ht="26.25" customHeight="1" s="78">
      <c r="A4" s="97" t="inlineStr">
        <is>
          <t>Year</t>
        </is>
      </c>
      <c r="B4" s="97" t="inlineStr">
        <is>
          <t>USD per GBP</t>
        </is>
      </c>
      <c r="C4" s="97" t="inlineStr">
        <is>
          <t>USD per EUR</t>
        </is>
      </c>
      <c r="D4" s="97" t="inlineStr">
        <is>
          <t>CNY per USD</t>
        </is>
      </c>
      <c r="E4" s="97" t="inlineStr">
        <is>
          <t>CPI-U (1982-84=100)</t>
        </is>
      </c>
      <c r="F4" s="97" t="inlineStr">
        <is>
          <t>Deflator to 2025</t>
        </is>
      </c>
      <c r="H4" s="109" t="inlineStr">
        <is>
          <t>Year</t>
        </is>
      </c>
      <c r="I4" s="109" t="inlineStr">
        <is>
          <t>USD per GBP</t>
        </is>
      </c>
      <c r="J4" s="109" t="inlineStr">
        <is>
          <t>USD per EUR</t>
        </is>
      </c>
      <c r="K4" s="109" t="inlineStr">
        <is>
          <t>CNY per USD</t>
        </is>
      </c>
      <c r="L4" s="109" t="inlineStr">
        <is>
          <t>CPI-U</t>
        </is>
      </c>
      <c r="M4" s="109" t="inlineStr">
        <is>
          <t>Deflator to 2025</t>
        </is>
      </c>
    </row>
    <row r="5" ht="15" customHeight="1" s="78">
      <c r="A5" s="110" t="n">
        <v>2020</v>
      </c>
      <c r="B5" s="111" t="n">
        <v>1.2829</v>
      </c>
      <c r="C5" s="111" t="n">
        <v>1.141</v>
      </c>
      <c r="D5" s="111" t="n">
        <v>6.9042</v>
      </c>
      <c r="E5" s="112" t="n">
        <v>258.811</v>
      </c>
      <c r="F5" s="113">
        <f>$E$10/E5</f>
        <v/>
      </c>
      <c r="H5" s="77" t="n">
        <v>2010</v>
      </c>
      <c r="I5" s="77">
        <f>B13</f>
        <v/>
      </c>
      <c r="J5" s="77">
        <f>C13</f>
        <v/>
      </c>
      <c r="K5" s="77">
        <f>D13</f>
        <v/>
      </c>
      <c r="L5" s="114">
        <f>E13</f>
        <v/>
      </c>
      <c r="M5" s="115">
        <f>F13</f>
        <v/>
      </c>
    </row>
    <row r="6" ht="15" customHeight="1" s="78">
      <c r="A6" s="110" t="n">
        <v>2021</v>
      </c>
      <c r="B6" s="111" t="n">
        <v>1.3764</v>
      </c>
      <c r="C6" s="111" t="n">
        <v>1.183</v>
      </c>
      <c r="D6" s="111" t="n">
        <v>6.4508</v>
      </c>
      <c r="E6" s="112" t="n">
        <v>270.97</v>
      </c>
      <c r="F6" s="113">
        <f>$E$10/E6</f>
        <v/>
      </c>
      <c r="H6" s="77" t="n">
        <v>2011</v>
      </c>
      <c r="I6" s="77">
        <f>B14</f>
        <v/>
      </c>
      <c r="J6" s="77">
        <f>C14</f>
        <v/>
      </c>
      <c r="K6" s="77">
        <f>D14</f>
        <v/>
      </c>
      <c r="L6" s="114">
        <f>E14</f>
        <v/>
      </c>
      <c r="M6" s="115">
        <f>F14</f>
        <v/>
      </c>
    </row>
    <row r="7" ht="15" customHeight="1" s="78">
      <c r="A7" s="110" t="n">
        <v>2022</v>
      </c>
      <c r="B7" s="111" t="n">
        <v>1.2371</v>
      </c>
      <c r="C7" s="111" t="n">
        <v>1.0534</v>
      </c>
      <c r="D7" s="111" t="n">
        <v>6.729</v>
      </c>
      <c r="E7" s="112" t="n">
        <v>292.655</v>
      </c>
      <c r="F7" s="113">
        <f>$E$10/E7</f>
        <v/>
      </c>
      <c r="H7" s="77" t="n">
        <v>2012</v>
      </c>
      <c r="I7" s="77">
        <f>B15</f>
        <v/>
      </c>
      <c r="J7" s="77">
        <f>C15</f>
        <v/>
      </c>
      <c r="K7" s="77">
        <f>D15</f>
        <v/>
      </c>
      <c r="L7" s="114">
        <f>E15</f>
        <v/>
      </c>
      <c r="M7" s="115">
        <f>F15</f>
        <v/>
      </c>
    </row>
    <row r="8" ht="15" customHeight="1" s="78">
      <c r="A8" s="110" t="n">
        <v>2023</v>
      </c>
      <c r="B8" s="111" t="n">
        <v>1.244</v>
      </c>
      <c r="C8" s="111" t="n">
        <v>1.0817</v>
      </c>
      <c r="D8" s="111" t="n">
        <v>7.0809</v>
      </c>
      <c r="E8" s="112" t="n">
        <v>304.702</v>
      </c>
      <c r="F8" s="113">
        <f>$E$10/E8</f>
        <v/>
      </c>
      <c r="H8" s="77" t="n">
        <v>2013</v>
      </c>
      <c r="I8" s="77">
        <f>B16</f>
        <v/>
      </c>
      <c r="J8" s="77">
        <f>C16</f>
        <v/>
      </c>
      <c r="K8" s="77">
        <f>D16</f>
        <v/>
      </c>
      <c r="L8" s="114">
        <f>E16</f>
        <v/>
      </c>
      <c r="M8" s="115">
        <f>F16</f>
        <v/>
      </c>
    </row>
    <row r="9" ht="15" customHeight="1" s="78">
      <c r="A9" s="110" t="n">
        <v>2024</v>
      </c>
      <c r="B9" s="111" t="n">
        <v>1.2781</v>
      </c>
      <c r="C9" s="111" t="n">
        <v>1.082</v>
      </c>
      <c r="D9" s="111" t="n">
        <v>7.1957</v>
      </c>
      <c r="E9" s="112" t="n">
        <v>313.689</v>
      </c>
      <c r="F9" s="113">
        <f>$E$10/E9</f>
        <v/>
      </c>
      <c r="H9" s="77" t="n">
        <v>2014</v>
      </c>
      <c r="I9" s="77">
        <f>B17</f>
        <v/>
      </c>
      <c r="J9" s="77">
        <f>C17</f>
        <v/>
      </c>
      <c r="K9" s="77">
        <f>D17</f>
        <v/>
      </c>
      <c r="L9" s="114">
        <f>E17</f>
        <v/>
      </c>
      <c r="M9" s="115">
        <f>F17</f>
        <v/>
      </c>
    </row>
    <row r="10" ht="15" customHeight="1" s="78">
      <c r="A10" s="110" t="n">
        <v>2025</v>
      </c>
      <c r="B10" s="111" t="n">
        <v>1.3192</v>
      </c>
      <c r="C10" s="111" t="n">
        <v>1.1306</v>
      </c>
      <c r="D10" s="111" t="n">
        <v>7.1875</v>
      </c>
      <c r="E10" s="112" t="n">
        <v>321.943</v>
      </c>
      <c r="F10" s="113">
        <f>$E$10/E10</f>
        <v/>
      </c>
      <c r="H10" s="77" t="n">
        <v>2015</v>
      </c>
      <c r="I10" s="77">
        <f>B18</f>
        <v/>
      </c>
      <c r="J10" s="77">
        <f>C18</f>
        <v/>
      </c>
      <c r="K10" s="77">
        <f>D18</f>
        <v/>
      </c>
      <c r="L10" s="114">
        <f>E18</f>
        <v/>
      </c>
      <c r="M10" s="115">
        <f>F18</f>
        <v/>
      </c>
    </row>
    <row r="11" ht="15" customHeight="1" s="78">
      <c r="H11" s="77" t="n">
        <v>2016</v>
      </c>
      <c r="I11" s="77">
        <f>B19</f>
        <v/>
      </c>
      <c r="J11" s="77">
        <f>C19</f>
        <v/>
      </c>
      <c r="K11" s="77">
        <f>D19</f>
        <v/>
      </c>
      <c r="L11" s="114">
        <f>E19</f>
        <v/>
      </c>
      <c r="M11" s="115">
        <f>F19</f>
        <v/>
      </c>
    </row>
    <row r="12" ht="15" customHeight="1" s="78">
      <c r="A12" s="94" t="inlineStr">
        <is>
          <t>Additional years: CPI-U (BLS API, retr. 2026-07-14); FX 2010–2019 added 2026-07-15 (FRED fredgraph.csv annual avg: DEXUSUK, DEXUSEU, DEXCHUS — Fed H.10, per D1).</t>
        </is>
      </c>
      <c r="H12" s="77" t="n">
        <v>2017</v>
      </c>
      <c r="I12" s="77">
        <f>B20</f>
        <v/>
      </c>
      <c r="J12" s="77">
        <f>C20</f>
        <v/>
      </c>
      <c r="K12" s="77">
        <f>D20</f>
        <v/>
      </c>
      <c r="L12" s="114">
        <f>E20</f>
        <v/>
      </c>
      <c r="M12" s="115">
        <f>F20</f>
        <v/>
      </c>
    </row>
    <row r="13" ht="15" customHeight="1" s="78">
      <c r="A13" s="110" t="n">
        <v>2010</v>
      </c>
      <c r="B13" s="77" t="n">
        <v>1.5452</v>
      </c>
      <c r="C13" s="77" t="n">
        <v>1.3261</v>
      </c>
      <c r="D13" s="77" t="n">
        <v>6.7696</v>
      </c>
      <c r="E13" s="112" t="n">
        <v>218.056</v>
      </c>
      <c r="F13" s="113">
        <f>$E$10/E13</f>
        <v/>
      </c>
      <c r="H13" s="77" t="n">
        <v>2018</v>
      </c>
      <c r="I13" s="77">
        <f>B21</f>
        <v/>
      </c>
      <c r="J13" s="77">
        <f>C21</f>
        <v/>
      </c>
      <c r="K13" s="77">
        <f>D21</f>
        <v/>
      </c>
      <c r="L13" s="114">
        <f>E21</f>
        <v/>
      </c>
      <c r="M13" s="115">
        <f>F21</f>
        <v/>
      </c>
    </row>
    <row r="14" ht="15" customHeight="1" s="78">
      <c r="A14" s="110" t="n">
        <v>2011</v>
      </c>
      <c r="B14" s="77" t="n">
        <v>1.6043</v>
      </c>
      <c r="C14" s="77" t="n">
        <v>1.3931</v>
      </c>
      <c r="D14" s="77" t="n">
        <v>6.463</v>
      </c>
      <c r="E14" s="112" t="n">
        <v>224.939</v>
      </c>
      <c r="F14" s="113">
        <f>$E$10/E14</f>
        <v/>
      </c>
      <c r="H14" s="77" t="n">
        <v>2019</v>
      </c>
      <c r="I14" s="77">
        <f>B22</f>
        <v/>
      </c>
      <c r="J14" s="77">
        <f>C22</f>
        <v/>
      </c>
      <c r="K14" s="77">
        <f>D22</f>
        <v/>
      </c>
      <c r="L14" s="114">
        <f>E22</f>
        <v/>
      </c>
      <c r="M14" s="115">
        <f>F22</f>
        <v/>
      </c>
    </row>
    <row r="15" ht="15" customHeight="1" s="78">
      <c r="A15" s="110" t="n">
        <v>2012</v>
      </c>
      <c r="B15" s="77" t="n">
        <v>1.5853</v>
      </c>
      <c r="C15" s="77" t="n">
        <v>1.2859</v>
      </c>
      <c r="D15" s="77" t="n">
        <v>6.3093</v>
      </c>
      <c r="E15" s="112" t="n">
        <v>229.594</v>
      </c>
      <c r="F15" s="113">
        <f>$E$10/E15</f>
        <v/>
      </c>
      <c r="H15" s="77" t="n">
        <v>2020</v>
      </c>
      <c r="I15" s="116">
        <f>B5</f>
        <v/>
      </c>
      <c r="J15" s="116">
        <f>C5</f>
        <v/>
      </c>
      <c r="K15" s="116">
        <f>D5</f>
        <v/>
      </c>
      <c r="L15" s="114">
        <f>E5</f>
        <v/>
      </c>
      <c r="M15" s="115">
        <f>F5</f>
        <v/>
      </c>
    </row>
    <row r="16" ht="15" customHeight="1" s="78">
      <c r="A16" s="110" t="n">
        <v>2013</v>
      </c>
      <c r="B16" s="77" t="n">
        <v>1.5642</v>
      </c>
      <c r="C16" s="77" t="n">
        <v>1.3281</v>
      </c>
      <c r="D16" s="77" t="n">
        <v>6.1478</v>
      </c>
      <c r="E16" s="112" t="n">
        <v>232.957</v>
      </c>
      <c r="F16" s="113">
        <f>$E$10/E16</f>
        <v/>
      </c>
      <c r="H16" s="77" t="n">
        <v>2021</v>
      </c>
      <c r="I16" s="116">
        <f>B6</f>
        <v/>
      </c>
      <c r="J16" s="116">
        <f>C6</f>
        <v/>
      </c>
      <c r="K16" s="116">
        <f>D6</f>
        <v/>
      </c>
      <c r="L16" s="114">
        <f>E6</f>
        <v/>
      </c>
      <c r="M16" s="115">
        <f>F6</f>
        <v/>
      </c>
    </row>
    <row r="17" ht="15" customHeight="1" s="78">
      <c r="A17" s="110" t="n">
        <v>2014</v>
      </c>
      <c r="B17" s="77" t="n">
        <v>1.6484</v>
      </c>
      <c r="C17" s="77" t="n">
        <v>1.3297</v>
      </c>
      <c r="D17" s="77" t="n">
        <v>6.162</v>
      </c>
      <c r="E17" s="112" t="n">
        <v>236.736</v>
      </c>
      <c r="F17" s="113">
        <f>$E$10/E17</f>
        <v/>
      </c>
      <c r="H17" s="77" t="n">
        <v>2022</v>
      </c>
      <c r="I17" s="116">
        <f>B7</f>
        <v/>
      </c>
      <c r="J17" s="116">
        <f>C7</f>
        <v/>
      </c>
      <c r="K17" s="116">
        <f>D7</f>
        <v/>
      </c>
      <c r="L17" s="114">
        <f>E7</f>
        <v/>
      </c>
      <c r="M17" s="115">
        <f>F7</f>
        <v/>
      </c>
    </row>
    <row r="18" ht="15" customHeight="1" s="78">
      <c r="A18" s="110" t="n">
        <v>2015</v>
      </c>
      <c r="B18" s="77" t="n">
        <v>1.5284</v>
      </c>
      <c r="C18" s="77" t="n">
        <v>1.1096</v>
      </c>
      <c r="D18" s="77" t="n">
        <v>6.2827</v>
      </c>
      <c r="E18" s="112" t="n">
        <v>237.017</v>
      </c>
      <c r="F18" s="113">
        <f>$E$10/E18</f>
        <v/>
      </c>
      <c r="H18" s="77" t="n">
        <v>2023</v>
      </c>
      <c r="I18" s="116">
        <f>B8</f>
        <v/>
      </c>
      <c r="J18" s="116">
        <f>C8</f>
        <v/>
      </c>
      <c r="K18" s="116">
        <f>D8</f>
        <v/>
      </c>
      <c r="L18" s="114">
        <f>E8</f>
        <v/>
      </c>
      <c r="M18" s="115">
        <f>F8</f>
        <v/>
      </c>
    </row>
    <row r="19" ht="15" customHeight="1" s="78">
      <c r="A19" s="110" t="n">
        <v>2016</v>
      </c>
      <c r="B19" s="77" t="n">
        <v>1.3555</v>
      </c>
      <c r="C19" s="77" t="n">
        <v>1.1072</v>
      </c>
      <c r="D19" s="77" t="n">
        <v>6.64</v>
      </c>
      <c r="E19" s="112" t="n">
        <v>240.007</v>
      </c>
      <c r="F19" s="113">
        <f>$E$10/E19</f>
        <v/>
      </c>
      <c r="H19" s="77" t="n">
        <v>2024</v>
      </c>
      <c r="I19" s="116">
        <f>B9</f>
        <v/>
      </c>
      <c r="J19" s="116">
        <f>C9</f>
        <v/>
      </c>
      <c r="K19" s="116">
        <f>D9</f>
        <v/>
      </c>
      <c r="L19" s="114">
        <f>E9</f>
        <v/>
      </c>
      <c r="M19" s="115">
        <f>F9</f>
        <v/>
      </c>
    </row>
    <row r="20" ht="15" customHeight="1" s="78">
      <c r="A20" s="110" t="n">
        <v>2017</v>
      </c>
      <c r="B20" s="77" t="n">
        <v>1.289</v>
      </c>
      <c r="C20" s="77" t="n">
        <v>1.1301</v>
      </c>
      <c r="D20" s="77" t="n">
        <v>6.7569</v>
      </c>
      <c r="E20" s="112" t="n">
        <v>245.12</v>
      </c>
      <c r="F20" s="113">
        <f>$E$10/E20</f>
        <v/>
      </c>
      <c r="H20" s="77" t="n">
        <v>2025</v>
      </c>
      <c r="I20" s="116">
        <f>B10</f>
        <v/>
      </c>
      <c r="J20" s="116">
        <f>C10</f>
        <v/>
      </c>
      <c r="K20" s="116">
        <f>D10</f>
        <v/>
      </c>
      <c r="L20" s="114">
        <f>E10</f>
        <v/>
      </c>
      <c r="M20" s="115">
        <f>F10</f>
        <v/>
      </c>
    </row>
    <row r="21" ht="15" customHeight="1" s="78">
      <c r="A21" s="110" t="n">
        <v>2018</v>
      </c>
      <c r="B21" s="77" t="n">
        <v>1.3363</v>
      </c>
      <c r="C21" s="77" t="n">
        <v>1.1817</v>
      </c>
      <c r="D21" s="77" t="n">
        <v>6.609</v>
      </c>
      <c r="E21" s="112" t="n">
        <v>251.107</v>
      </c>
      <c r="F21" s="113">
        <f>$E$10/E21</f>
        <v/>
      </c>
      <c r="H21" s="77" t="n">
        <v>2026</v>
      </c>
    </row>
    <row r="22" ht="15" customHeight="1" s="78">
      <c r="A22" s="110" t="n">
        <v>2019</v>
      </c>
      <c r="B22" s="77" t="n">
        <v>1.2768</v>
      </c>
      <c r="C22" s="77" t="n">
        <v>1.1194</v>
      </c>
      <c r="D22" s="77" t="n">
        <v>6.9081</v>
      </c>
      <c r="E22" s="112" t="n">
        <v>255.657</v>
      </c>
      <c r="F22" s="113">
        <f>$E$10/E22</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N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77" min="1" max="1"/>
    <col width="46" customWidth="1" style="77" min="2" max="2"/>
    <col width="14" customWidth="1" style="77" min="3" max="3"/>
    <col width="16" customWidth="1" style="77" min="4" max="4"/>
    <col width="8" customWidth="1" style="77" min="5" max="6"/>
    <col width="14" customWidth="1" style="77" min="7" max="7"/>
    <col width="12" customWidth="1" style="77" min="8" max="8"/>
    <col width="14" customWidth="1" style="77" min="9" max="9"/>
    <col width="12" customWidth="1" style="77" min="10" max="10"/>
    <col width="14" customWidth="1" style="77" min="11" max="11"/>
    <col width="10" customWidth="1" style="77" min="12" max="12"/>
    <col width="12" customWidth="1" style="77" min="13" max="13"/>
    <col width="70" customWidth="1" style="77" min="14" max="14"/>
  </cols>
  <sheetData>
    <row r="1" ht="15.75" customHeight="1" s="78">
      <c r="A1" s="93" t="inlineStr">
        <is>
          <t>GOLDEN NUMBERS — published anchors reproduced through the full house-rule pipeline (nominal local → Fed H.10 annual-avg FX → US CPI-U → real 2025 USD/MWh). Permanent regression tests.</t>
        </is>
      </c>
    </row>
    <row r="2" ht="15" customHeight="1" s="78">
      <c r="A2" s="94" t="inlineStr">
        <is>
          <t>Set approved by user 2026-07-14 (decision D3). Conversion columns are FORMULAS reading fx_deflator and assumptions. 'estimated=Y' marks any computed (not retrieved) step. Excludes VAT throughout.</t>
        </is>
      </c>
    </row>
    <row r="4" ht="26.25" customHeight="1" s="78">
      <c r="A4" s="97" t="inlineStr">
        <is>
          <t>GN</t>
        </is>
      </c>
      <c r="B4" s="97" t="inlineStr">
        <is>
          <t>Description</t>
        </is>
      </c>
      <c r="C4" s="97" t="inlineStr">
        <is>
          <t>As-published value</t>
        </is>
      </c>
      <c r="D4" s="97" t="inlineStr">
        <is>
          <t>Native unit</t>
        </is>
      </c>
      <c r="E4" s="97" t="inlineStr">
        <is>
          <t>Data year</t>
        </is>
      </c>
      <c r="F4" s="97" t="inlineStr">
        <is>
          <t>FX year</t>
        </is>
      </c>
      <c r="G4" s="97" t="inlineStr">
        <is>
          <t>Local /MWh</t>
        </is>
      </c>
      <c r="H4" s="97" t="inlineStr">
        <is>
          <t>FX rate</t>
        </is>
      </c>
      <c r="I4" s="97" t="inlineStr">
        <is>
          <t>Nominal USD/MWh</t>
        </is>
      </c>
      <c r="J4" s="97" t="inlineStr">
        <is>
          <t>Deflator</t>
        </is>
      </c>
      <c r="K4" s="97" t="inlineStr">
        <is>
          <t>Real 2025 USD/MWh</t>
        </is>
      </c>
      <c r="L4" s="97" t="inlineStr">
        <is>
          <t>estimated?</t>
        </is>
      </c>
      <c r="M4" s="97" t="inlineStr">
        <is>
          <t>Modelled/observed</t>
        </is>
      </c>
      <c r="N4" s="97" t="inlineStr">
        <is>
          <t>Citation (source — table/page — URL — retrieved 2026-07-14)</t>
        </is>
      </c>
    </row>
    <row r="5" ht="53.25" customHeight="1" s="78">
      <c r="A5" s="106" t="inlineStr">
        <is>
          <t>GN1a</t>
        </is>
      </c>
      <c r="B5" s="101" t="inlineStr">
        <is>
          <t>DESNZ QEP: UK non-domestic electricity price, Extra Large band (&gt;150,000 MWh/yr), 2024 annual, EXCL CCL, excl VAT</t>
        </is>
      </c>
      <c r="C5" s="117" t="n">
        <v>21.697864840205</v>
      </c>
      <c r="D5" s="98" t="inlineStr">
        <is>
          <t>p/kWh</t>
        </is>
      </c>
      <c r="E5" s="98" t="n">
        <v>2024</v>
      </c>
      <c r="F5" s="98" t="n">
        <v>2024</v>
      </c>
      <c r="G5" s="118">
        <f>C5*10</f>
        <v/>
      </c>
      <c r="H5" s="119">
        <f>fx_deflator!$B$9</f>
        <v/>
      </c>
      <c r="I5" s="120">
        <f>IF(D5="CNY/MWh basis",G5/H5,G5*H5)</f>
        <v/>
      </c>
      <c r="J5" s="119">
        <f>fx_deflator!$F$9</f>
        <v/>
      </c>
      <c r="K5" s="107">
        <f>I5*J5</f>
        <v/>
      </c>
      <c r="L5" s="98" t="inlineStr">
        <is>
          <t>N</t>
        </is>
      </c>
      <c r="M5" s="98" t="inlineStr">
        <is>
          <t>Observed (published)</t>
        </is>
      </c>
      <c r="N5" s="100" t="inlineStr">
        <is>
          <t>DESNZ QEP, Gas &amp; electricity prices in the non-domestic sector, table_341.xlsx, sheet '3.4.1 (Annual excl CCL)' (pub. 30.06.2026) — https://assets.publishing.service.gov.uk/media/6942bd3536f089d38be1f246/table_341.xlsx — retr. 2026-07-14. Displays as 21.70. Note: 3.4.x = non-domestic consumers (not the GB manufacturing tables 3.1.x).</t>
        </is>
      </c>
    </row>
    <row r="6" ht="15" customHeight="1" s="78">
      <c r="A6" s="106" t="inlineStr">
        <is>
          <t>GN1b</t>
        </is>
      </c>
      <c r="B6" s="101" t="inlineStr">
        <is>
          <t>Same, INCLUDING CCL (variant)</t>
        </is>
      </c>
      <c r="C6" s="117" t="n">
        <v>22.1463819453282</v>
      </c>
      <c r="D6" s="98" t="inlineStr">
        <is>
          <t>p/kWh</t>
        </is>
      </c>
      <c r="E6" s="98" t="n">
        <v>2024</v>
      </c>
      <c r="F6" s="98" t="n">
        <v>2024</v>
      </c>
      <c r="G6" s="118">
        <f>C6*10</f>
        <v/>
      </c>
      <c r="H6" s="119">
        <f>fx_deflator!$B$9</f>
        <v/>
      </c>
      <c r="I6" s="120">
        <f>IF(D6="CNY/MWh basis",G6/H6,G6*H6)</f>
        <v/>
      </c>
      <c r="J6" s="119">
        <f>fx_deflator!$F$9</f>
        <v/>
      </c>
      <c r="K6" s="107">
        <f>I6*J6</f>
        <v/>
      </c>
      <c r="L6" s="98" t="inlineStr">
        <is>
          <t>N</t>
        </is>
      </c>
      <c r="M6" s="98" t="inlineStr">
        <is>
          <t>Observed (published)</t>
        </is>
      </c>
      <c r="N6" s="100" t="inlineStr">
        <is>
          <t>Same file, sheet '3.4.2 (Annual inc CCL)'. Displays as 22.15. VAT excluded in both.</t>
        </is>
      </c>
    </row>
    <row r="7" ht="57" customHeight="1" s="78">
      <c r="A7" s="106" t="inlineStr">
        <is>
          <t>GN2</t>
        </is>
      </c>
      <c r="B7" s="101" t="inlineStr">
        <is>
          <t>NESO TNUoS 2025/26, T-Demand4 residual (Humber zone 5; locational tariff = 0, zero-floored). Per-MWh line converts the published £/site/day through the LARGE archetype (×365 ÷ assumptions!B6) — construction check, computed</t>
        </is>
      </c>
      <c r="C7" s="117" t="n">
        <v>12796.715359</v>
      </c>
      <c r="D7" s="98" t="inlineStr">
        <is>
          <t>£/site/day</t>
        </is>
      </c>
      <c r="E7" s="98" t="n">
        <v>2025</v>
      </c>
      <c r="F7" s="98" t="n">
        <v>2025</v>
      </c>
      <c r="G7" s="118">
        <f>C7*365/assumptions!$B$6</f>
        <v/>
      </c>
      <c r="H7" s="119">
        <f>fx_deflator!$B$10</f>
        <v/>
      </c>
      <c r="I7" s="120">
        <f>IF(D7="CNY/MWh basis",G7/H7,G7*H7)</f>
        <v/>
      </c>
      <c r="J7" s="119">
        <f>fx_deflator!$F$10</f>
        <v/>
      </c>
      <c r="K7" s="107">
        <f>I7*J7</f>
        <v/>
      </c>
      <c r="L7" s="121" t="inlineStr">
        <is>
          <t>Y</t>
        </is>
      </c>
      <c r="M7" s="98" t="inlineStr">
        <is>
          <t>Published tariff; per-MWh step modelled</t>
        </is>
      </c>
      <c r="N7" s="100" t="inlineStr">
        <is>
          <t>NESO, Final TNUoS Tariffs 2025/26 v1.0 (31.01.2025), Table 10 p.23 (residual), Table 9 p.22 &amp; Table 11 p.24 (zero floor zones 1–7), App. H p.68 (zone map) — https://www.neso.energy/document/353086/download — retr. 2026-07-14. 2026/27: £20,829.236682/site/day (doc 376336/376341). FX-year mapping per decision D4.</t>
        </is>
      </c>
    </row>
    <row r="8" ht="45.75" customHeight="1" s="78">
      <c r="A8" s="106" t="inlineStr">
        <is>
          <t>GN3</t>
        </is>
      </c>
      <c r="B8" s="101" t="inlineStr">
        <is>
          <t>BDEW Strompreisanalyse (Apr 2026 ed.): industrial price, kleine/mittlere Industrie Musterkunde (avg of 5 cases 160 MWh–20 GWh/yr, Mittelspannung, new contracts, incl reduced Stromsteuer), 2025 annual</t>
        </is>
      </c>
      <c r="C8" s="117" t="n">
        <v>17.6</v>
      </c>
      <c r="D8" s="98" t="inlineStr">
        <is>
          <t>ct/kWh</t>
        </is>
      </c>
      <c r="E8" s="98" t="n">
        <v>2025</v>
      </c>
      <c r="F8" s="98" t="n">
        <v>2025</v>
      </c>
      <c r="G8" s="118">
        <f>C8*10</f>
        <v/>
      </c>
      <c r="H8" s="119">
        <f>fx_deflator!$C$10</f>
        <v/>
      </c>
      <c r="I8" s="120">
        <f>IF(D8="CNY/MWh basis",G8/H8,G8*H8)</f>
        <v/>
      </c>
      <c r="J8" s="119">
        <f>fx_deflator!$F$10</f>
        <v/>
      </c>
      <c r="K8" s="107">
        <f>I8*J8</f>
        <v/>
      </c>
      <c r="L8" s="98" t="inlineStr">
        <is>
          <t>N</t>
        </is>
      </c>
      <c r="M8" s="98" t="inlineStr">
        <is>
          <t>Observed (published)</t>
        </is>
      </c>
      <c r="N8" s="100" t="inlineStr">
        <is>
          <t>BDEW-Strompreisanalyse April 2026 (15.04.2026), Folie 12 annual series (2024: 17.3; 2026: 16.7) — https://www.bdew.de/media/documents/BDEW_Strompreisanalyse_042026.pdf — retr. 2026-07-14. 2026 figure NOT converted: no 2026 annual FX exists yet (decision D6). Closest match to MEDIUM archetype.</t>
        </is>
      </c>
    </row>
    <row r="9" ht="32.25" customHeight="1" s="78">
      <c r="A9" s="106" t="inlineStr">
        <is>
          <t>GN4s1</t>
        </is>
      </c>
      <c r="B9" s="101" t="inlineStr">
        <is>
          <t>Eurostat nrg_pc_205, DE, band IF (70–150 GWh), 2024-S1, X_VAT (excl VAT &amp; other recoverable)</t>
        </is>
      </c>
      <c r="C9" s="117" t="n">
        <v>0.1394</v>
      </c>
      <c r="D9" s="98" t="inlineStr">
        <is>
          <t>EUR/kWh</t>
        </is>
      </c>
      <c r="E9" s="98" t="n">
        <v>2024</v>
      </c>
      <c r="F9" s="98" t="n">
        <v>2024</v>
      </c>
      <c r="G9" s="118">
        <f>C9*1000</f>
        <v/>
      </c>
      <c r="H9" s="119">
        <f>fx_deflator!$C$9</f>
        <v/>
      </c>
      <c r="I9" s="120">
        <f>IF(D9="CNY/MWh basis",G9/H9,G9*H9)</f>
        <v/>
      </c>
      <c r="J9" s="119">
        <f>fx_deflator!$F$9</f>
        <v/>
      </c>
      <c r="K9" s="107">
        <f>I9*J9</f>
        <v/>
      </c>
      <c r="L9" s="98" t="inlineStr">
        <is>
          <t>N</t>
        </is>
      </c>
      <c r="M9" s="98" t="inlineStr">
        <is>
          <t>Observed (published)</t>
        </is>
      </c>
      <c r="N9" s="100" t="inlineStr">
        <is>
          <t>Eurostat dissemination API, nrg_pc_205, geo=DE, nrg_cons=MWH70000-149999, tax=X_VAT, currency=EUR (dataset update 2026-05-19) — retr. 2026-07-14. X_TAX variant: 0.1276 (S1) / 0.1313 (S2).</t>
        </is>
      </c>
    </row>
    <row r="10" ht="15" customHeight="1" s="78">
      <c r="A10" s="106" t="inlineStr">
        <is>
          <t>GN4s2</t>
        </is>
      </c>
      <c r="B10" s="101" t="inlineStr">
        <is>
          <t>Same, 2024-S2</t>
        </is>
      </c>
      <c r="C10" s="117" t="n">
        <v>0.143</v>
      </c>
      <c r="D10" s="98" t="inlineStr">
        <is>
          <t>EUR/kWh</t>
        </is>
      </c>
      <c r="E10" s="98" t="n">
        <v>2024</v>
      </c>
      <c r="F10" s="98" t="n">
        <v>2024</v>
      </c>
      <c r="G10" s="118">
        <f>C10*1000</f>
        <v/>
      </c>
      <c r="H10" s="119">
        <f>fx_deflator!$C$9</f>
        <v/>
      </c>
      <c r="I10" s="120">
        <f>IF(D10="CNY/MWh basis",G10/H10,G10*H10)</f>
        <v/>
      </c>
      <c r="J10" s="119">
        <f>fx_deflator!$F$9</f>
        <v/>
      </c>
      <c r="K10" s="107">
        <f>I10*J10</f>
        <v/>
      </c>
      <c r="L10" s="98" t="inlineStr">
        <is>
          <t>N</t>
        </is>
      </c>
      <c r="M10" s="98" t="inlineStr">
        <is>
          <t>Observed (published)</t>
        </is>
      </c>
      <c r="N10" s="100" t="inlineStr">
        <is>
          <t>As GN4s1.</t>
        </is>
      </c>
    </row>
    <row r="11" ht="23.25" customHeight="1" s="78">
      <c r="A11" s="106" t="inlineStr">
        <is>
          <t>GN4</t>
        </is>
      </c>
      <c r="B11" s="101" t="inlineStr">
        <is>
          <t>Eurostat IF DE 2024 annual = simple semester average — COMPUTED (Eurostat publishes no annual value)</t>
        </is>
      </c>
      <c r="G11" s="118">
        <f>(G9+G10)/2</f>
        <v/>
      </c>
      <c r="H11" s="119">
        <f>fx_deflator!$C$9</f>
        <v/>
      </c>
      <c r="I11" s="120">
        <f>G11*H11</f>
        <v/>
      </c>
      <c r="J11" s="119">
        <f>fx_deflator!$F$9</f>
        <v/>
      </c>
      <c r="K11" s="107">
        <f>I11*J11</f>
        <v/>
      </c>
      <c r="L11" s="121" t="inlineStr">
        <is>
          <t>Y</t>
        </is>
      </c>
      <c r="M11" s="98" t="inlineStr">
        <is>
          <t>Computed from published</t>
        </is>
      </c>
      <c r="N11" s="100" t="inlineStr">
        <is>
          <t>Average of GN4s1/GN4s2. estimated=Y.</t>
        </is>
      </c>
    </row>
    <row r="12" ht="64.5" customHeight="1" s="78">
      <c r="A12" s="106" t="inlineStr">
        <is>
          <t>GN5a</t>
        </is>
      </c>
      <c r="B12" s="101" t="inlineStr">
        <is>
          <t>NDRC 526号文: Jiangsu T&amp;D price (输配电价), 工商业 two-part, 220kV+, VOLUMETRIC 电量电价 (3rd regulatory period, eff. 01.06.2023; still applied in SGCC Jiangsu Mar-2026 agency-purchase notice) 含税 as published (Q84).</t>
        </is>
      </c>
      <c r="C12" s="117" t="n">
        <v>0.0597</v>
      </c>
      <c r="D12" s="98" t="inlineStr">
        <is>
          <t>CNY/MWh basis</t>
        </is>
      </c>
      <c r="E12" s="98" t="n">
        <v>2025</v>
      </c>
      <c r="F12" s="98" t="n">
        <v>2025</v>
      </c>
      <c r="G12" s="118">
        <f>C12*1000</f>
        <v/>
      </c>
      <c r="H12" s="119">
        <f>fx_deflator!$D$10</f>
        <v/>
      </c>
      <c r="I12" s="120">
        <f>IF(D12="CNY/MWh basis",G12/H12,G12*H12)</f>
        <v/>
      </c>
      <c r="J12" s="119">
        <f>fx_deflator!$F$10</f>
        <v/>
      </c>
      <c r="K12" s="107">
        <f>I12*J12</f>
        <v/>
      </c>
      <c r="L12" s="98" t="inlineStr">
        <is>
          <t>N</t>
        </is>
      </c>
      <c r="M12" s="98" t="inlineStr">
        <is>
          <t>Observed (published)</t>
        </is>
      </c>
      <c r="N12" s="122" t="inlineStr">
        <is>
          <t>国家发展改革委 发改价格〔2023〕526号, annex 省级电网输配电价表, 江苏 row 工商业·两部制 — https://www.ndrc.gov.cn/xxgk/zcfb/tz/202305/P020230515609052875117.pdf — retr. 2026-07-14. Cross-check: SGCC Jiangsu 2026-03 代理购电公告 附件6 (0.0597 / 41.6 / 26.0). Includes VAT &amp; base-period cross-subsidy; excludes 政府性基金及附加, line loss (3.18%), pumped-storage capacity fee. Native unit 元/千瓦时.</t>
        </is>
      </c>
    </row>
    <row r="13" ht="48.75" customHeight="1" s="78">
      <c r="A13" s="106" t="inlineStr">
        <is>
          <t>GN5b</t>
        </is>
      </c>
      <c r="B13" s="101" t="inlineStr">
        <is>
          <t>Same row: DEMAND charge 需量电价 41.6 元/kW·月, converted to per-MWh through the LARGE archetype: ×12 months ÷ (hours×MW→MWh per kW = B7/1000) — computed</t>
        </is>
      </c>
      <c r="C13" s="117" t="n">
        <v>41.6</v>
      </c>
      <c r="D13" s="98" t="inlineStr">
        <is>
          <t>CNY/MWh basis</t>
        </is>
      </c>
      <c r="E13" s="98" t="n">
        <v>2025</v>
      </c>
      <c r="F13" s="98" t="n">
        <v>2025</v>
      </c>
      <c r="G13" s="118">
        <f>C13*12/(assumptions!$B$7/1000)</f>
        <v/>
      </c>
      <c r="H13" s="119">
        <f>fx_deflator!$D$10</f>
        <v/>
      </c>
      <c r="I13" s="120">
        <f>IF(D13="CNY/MWh basis",G13/H13,G13*H13)</f>
        <v/>
      </c>
      <c r="J13" s="119">
        <f>fx_deflator!$F$10</f>
        <v/>
      </c>
      <c r="K13" s="107">
        <f>I13*J13</f>
        <v/>
      </c>
      <c r="L13" s="121" t="inlineStr">
        <is>
          <t>Y</t>
        </is>
      </c>
      <c r="M13" s="98" t="inlineStr">
        <is>
          <t>Published tariff; per-MWh step modelled</t>
        </is>
      </c>
      <c r="N13" s="100" t="inlineStr">
        <is>
          <t>Same table/row, column 需量电价. Capacity variant 容量电价 26.0 元/kVA·月. At 8,000h: 499.2 元/kW·yr ÷ 8 MWh/kW = 62.4 元/MWh. Load-factor sensitivity runs through assumptions!B7.</t>
        </is>
      </c>
    </row>
    <row r="14" ht="34.5" customHeight="1" s="78">
      <c r="A14" s="106" t="inlineStr">
        <is>
          <t>GN5</t>
        </is>
      </c>
      <c r="B14" s="101" t="inlineStr">
        <is>
          <t>Jiangsu 220kV all-in T&amp;D for large archetype (volumetric + demand) — construction check</t>
        </is>
      </c>
      <c r="I14" s="120">
        <f>I12+I13</f>
        <v/>
      </c>
      <c r="J14" s="119">
        <f>fx_deflator!$F$10</f>
        <v/>
      </c>
      <c r="K14" s="107">
        <f>I14*J14</f>
        <v/>
      </c>
      <c r="L14" s="121" t="inlineStr">
        <is>
          <t>Y</t>
        </is>
      </c>
      <c r="M14" s="98" t="inlineStr">
        <is>
          <t>Modelled from published</t>
        </is>
      </c>
      <c r="N14" s="100" t="inlineStr">
        <is>
          <t>Sum of GN5a + GN5b nominal USD. Note 4th-period notice (发改价格〔2026〕1077号, reported 10.07.2026) reportedly supersedes from 2026 — UNVERIFIED at primary level, see qc Q1.</t>
        </is>
      </c>
    </row>
    <row r="16" ht="15" customHeight="1" s="78">
      <c r="A16" s="94" t="inlineStr">
        <is>
          <t>Chart/table footnote (house rule 1): "Real 2025 USD/MWh. Converted at annual-average market FX. Excludes VAT (UK/DE; CN carried 含税 as published — Q84)."</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S6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77" min="1" max="1"/>
    <col width="22" customWidth="1" style="77" min="2" max="2"/>
    <col width="26" customWidth="1" style="77" min="3" max="3"/>
    <col width="11" customWidth="1" style="77" min="4" max="5"/>
    <col width="12" customWidth="1" style="77" min="6" max="7"/>
    <col width="10" customWidth="1" style="77" min="8" max="8"/>
    <col width="12" customWidth="1" style="77" min="9" max="9"/>
    <col width="16" customWidth="1" style="77" min="10" max="10"/>
    <col width="12" customWidth="1" style="77" min="11" max="11"/>
    <col width="9" customWidth="1" style="77" min="12" max="12"/>
    <col width="14" customWidth="1" style="77" min="13" max="14"/>
    <col width="9" customWidth="1" style="77" min="15" max="15"/>
    <col width="13" customWidth="1" style="77" min="16" max="17"/>
    <col width="64" customWidth="1" style="77" min="18" max="19"/>
  </cols>
  <sheetData>
    <row r="1" ht="15.75" customHeight="1" s="78">
      <c r="A1" s="93" t="inlineStr">
        <is>
          <t>LCOE COMPARISON — UK / DE / CN (stage 3). LCOE IS CONTEXT, NOT CAUSE: it is not the driver of industrial retail prices; the archetype build-up (stages 4/6) is the study's spine.</t>
        </is>
      </c>
    </row>
    <row r="2" ht="15" customHeight="1" s="78">
      <c r="A2" s="94" t="inlineStr">
        <is>
          <t>Footnote (all USD columns): Real 2025 USD/MWh. Converted at annual-average market FX. Excludes VAT. As-published values quoted exactly in native units/price base; every conversion and every modelled figure is estimated=Y.</t>
        </is>
      </c>
    </row>
    <row r="4" ht="15" customHeight="1" s="78">
      <c r="A4" s="95" t="inlineStr">
        <is>
          <t>1. AS-PUBLISHED LCOE + MANDATORY ASSUMPTIONS (WACC, CF, fuel, carbon, lifetime, capex)</t>
        </is>
      </c>
      <c r="B4" s="96" t="n"/>
      <c r="C4" s="96" t="n"/>
      <c r="D4" s="96" t="n"/>
      <c r="E4" s="96" t="n"/>
      <c r="F4" s="96" t="n"/>
      <c r="G4" s="96" t="n"/>
      <c r="H4" s="96" t="n"/>
      <c r="I4" s="96" t="n"/>
      <c r="J4" s="96" t="n"/>
      <c r="K4" s="96" t="n"/>
      <c r="L4" s="96" t="n"/>
      <c r="M4" s="96" t="n"/>
      <c r="N4" s="96" t="n"/>
      <c r="O4" s="96" t="n"/>
      <c r="P4" s="96" t="n"/>
      <c r="Q4" s="96" t="n"/>
      <c r="R4" s="96" t="n"/>
    </row>
    <row r="5" ht="39" customHeight="1" s="78">
      <c r="A5" s="97" t="inlineStr">
        <is>
          <t>Ctry</t>
        </is>
      </c>
      <c r="B5" s="97" t="inlineStr">
        <is>
          <t>Technology</t>
        </is>
      </c>
      <c r="C5" s="97" t="inlineStr">
        <is>
          <t>Source / edition</t>
        </is>
      </c>
      <c r="D5" s="97" t="inlineStr">
        <is>
          <t>LCOE low</t>
        </is>
      </c>
      <c r="E5" s="97" t="inlineStr">
        <is>
          <t>LCOE high/pt</t>
        </is>
      </c>
      <c r="F5" s="97" t="inlineStr">
        <is>
          <t>Native unit</t>
        </is>
      </c>
      <c r="G5" s="97" t="inlineStr">
        <is>
          <t>Price base</t>
        </is>
      </c>
      <c r="H5" s="97" t="inlineStr">
        <is>
          <t>Data yr</t>
        </is>
      </c>
      <c r="I5" s="97" t="inlineStr">
        <is>
          <t>WACC (native)</t>
        </is>
      </c>
      <c r="J5" s="97" t="inlineStr">
        <is>
          <t>WACC basis</t>
        </is>
      </c>
      <c r="K5" s="97" t="inlineStr">
        <is>
          <t>CF / FLH</t>
        </is>
      </c>
      <c r="L5" s="97" t="inlineStr">
        <is>
          <t>Life (y)</t>
        </is>
      </c>
      <c r="M5" s="97" t="inlineStr">
        <is>
          <t>Capex as published</t>
        </is>
      </c>
      <c r="N5" s="97" t="inlineStr">
        <is>
          <t>Fuel assumption</t>
        </is>
      </c>
      <c r="O5" s="97" t="inlineStr">
        <is>
          <t>Carbon assumption</t>
        </is>
      </c>
      <c r="P5" s="97" t="inlineStr">
        <is>
          <t>estimated?</t>
        </is>
      </c>
      <c r="Q5" s="97" t="inlineStr">
        <is>
          <t>Real25 USD low</t>
        </is>
      </c>
      <c r="R5" s="97" t="inlineStr">
        <is>
          <t>Real25 USD high/pt</t>
        </is>
      </c>
      <c r="S5" s="97" t="inlineStr">
        <is>
          <t>Citation (retrieved 2026-07-14)</t>
        </is>
      </c>
    </row>
    <row r="6" ht="53.25" customHeight="1" s="78">
      <c r="A6" s="98" t="inlineStr">
        <is>
          <t>UK</t>
        </is>
      </c>
      <c r="B6" s="101" t="inlineStr">
        <is>
          <t>CCGT H-class</t>
        </is>
      </c>
      <c r="C6" s="101" t="inlineStr">
        <is>
          <t>DESNZ EGC 2023, Tbl 10 + Annex A</t>
        </is>
      </c>
      <c r="E6" s="123" t="n">
        <v>114</v>
      </c>
      <c r="F6" s="98" t="inlineStr">
        <is>
          <t>£/MWh</t>
        </is>
      </c>
      <c r="G6" s="98" t="inlineStr">
        <is>
          <t>real 2021 GBP</t>
        </is>
      </c>
      <c r="H6" s="98" t="inlineStr">
        <is>
          <t>2025 comm.</t>
        </is>
      </c>
      <c r="I6" s="98" t="inlineStr">
        <is>
          <t>7.5%</t>
        </is>
      </c>
      <c r="J6" s="100" t="inlineStr">
        <is>
          <t>hurdle, pre-tax real</t>
        </is>
      </c>
      <c r="K6" s="98" t="inlineStr">
        <is>
          <t>93% LF</t>
        </is>
      </c>
      <c r="L6" s="98" t="n">
        <v>25</v>
      </c>
      <c r="M6" s="100" t="inlineStr">
        <is>
          <t>£610/kW + infra</t>
        </is>
      </c>
      <c r="N6" s="100" t="inlineStr">
        <is>
          <t>component £43/MWh (EGC 2023 basis)</t>
        </is>
      </c>
      <c r="O6" s="100" t="inlineStr">
        <is>
          <t>component £60/MWh</t>
        </is>
      </c>
      <c r="P6" s="98" t="inlineStr">
        <is>
          <t>N</t>
        </is>
      </c>
      <c r="R6" s="124">
        <f>E6*fx_deflator!$B$6*fx_deflator!$F$6</f>
        <v/>
      </c>
      <c r="S6" s="100" t="inlineStr">
        <is>
          <t>DESNZ, Electricity Generation Costs 2023 (Nov 2023), Table 10 p.24; Annex A 2023 sheets 'Additional estimates 2025' / 'Technical and cost assumptions' — gov.uk — retr. 2026-07-14. USER DECISION D16: 2023 edition used for 2025 commissioning; EGC 2025 (Jan 2026) starts at 2030 and uses a different carbon methodology — not like-for-like.</t>
        </is>
      </c>
    </row>
    <row r="7" ht="21.75" customHeight="1" s="78">
      <c r="A7" s="98" t="inlineStr">
        <is>
          <t>UK</t>
        </is>
      </c>
      <c r="B7" s="101" t="inlineStr">
        <is>
          <t>OCGT (300MW, 2000h)</t>
        </is>
      </c>
      <c r="C7" s="101" t="inlineStr">
        <is>
          <t>DESNZ EGC 2023, Annex A</t>
        </is>
      </c>
      <c r="E7" s="123" t="n">
        <v>197</v>
      </c>
      <c r="F7" s="98" t="inlineStr">
        <is>
          <t>£/MWh</t>
        </is>
      </c>
      <c r="G7" s="98" t="inlineStr">
        <is>
          <t>real 2021 GBP</t>
        </is>
      </c>
      <c r="H7" s="98" t="inlineStr">
        <is>
          <t>2025 comm.</t>
        </is>
      </c>
      <c r="I7" s="98" t="inlineStr">
        <is>
          <t>7.1%</t>
        </is>
      </c>
      <c r="J7" s="100" t="inlineStr">
        <is>
          <t>hurdle, pre-tax real</t>
        </is>
      </c>
      <c r="K7" s="98" t="inlineStr">
        <is>
          <t>22% LF</t>
        </is>
      </c>
      <c r="L7" s="98" t="n">
        <v>25</v>
      </c>
      <c r="M7" s="100" t="inlineStr">
        <is>
          <t>£530/kW + infra</t>
        </is>
      </c>
      <c r="N7" s="100" t="inlineStr">
        <is>
          <t>component £67/MWh</t>
        </is>
      </c>
      <c r="O7" s="100" t="inlineStr">
        <is>
          <t>component £94/MWh</t>
        </is>
      </c>
      <c r="P7" s="98" t="inlineStr">
        <is>
          <t>N</t>
        </is>
      </c>
      <c r="R7" s="124">
        <f>E7*fx_deflator!$B$6*fx_deflator!$F$6</f>
        <v/>
      </c>
      <c r="S7" s="100" t="inlineStr">
        <is>
          <t>Annex A 2023, 'Additional estimates 2025', column 'OCGT 300MW 2000 hr' Total = 197.</t>
        </is>
      </c>
    </row>
    <row r="8" ht="15" customHeight="1" s="78">
      <c r="A8" s="98" t="inlineStr">
        <is>
          <t>UK</t>
        </is>
      </c>
      <c r="B8" s="101" t="inlineStr">
        <is>
          <t>Onshore wind</t>
        </is>
      </c>
      <c r="C8" s="101" t="inlineStr">
        <is>
          <t>DESNZ EGC 2023, Tbl 10</t>
        </is>
      </c>
      <c r="E8" s="123" t="n">
        <v>38</v>
      </c>
      <c r="F8" s="98" t="inlineStr">
        <is>
          <t>£/MWh</t>
        </is>
      </c>
      <c r="G8" s="98" t="inlineStr">
        <is>
          <t>real 2021 GBP</t>
        </is>
      </c>
      <c r="H8" s="98" t="inlineStr">
        <is>
          <t>2025 comm.</t>
        </is>
      </c>
      <c r="I8" s="98" t="inlineStr">
        <is>
          <t>5.2%</t>
        </is>
      </c>
      <c r="J8" s="100" t="inlineStr">
        <is>
          <t>hurdle, pre-tax real</t>
        </is>
      </c>
      <c r="K8" s="98" t="inlineStr">
        <is>
          <t>45% LF</t>
        </is>
      </c>
      <c r="L8" s="98" t="n">
        <v>25</v>
      </c>
      <c r="M8" s="100" t="inlineStr">
        <is>
          <t>£1,230/kW + infra</t>
        </is>
      </c>
      <c r="N8" s="100" t="inlineStr">
        <is>
          <t>—</t>
        </is>
      </c>
      <c r="O8" s="100" t="inlineStr">
        <is>
          <t>—</t>
        </is>
      </c>
      <c r="P8" s="98" t="inlineStr">
        <is>
          <t>N</t>
        </is>
      </c>
      <c r="R8" s="124">
        <f>E8*fx_deflator!$B$6*fx_deflator!$F$6</f>
        <v/>
      </c>
      <c r="S8" s="100" t="inlineStr">
        <is>
          <t>Table 10 p.24.</t>
        </is>
      </c>
    </row>
    <row r="9" ht="15" customHeight="1" s="78">
      <c r="A9" s="98" t="inlineStr">
        <is>
          <t>UK</t>
        </is>
      </c>
      <c r="B9" s="101" t="inlineStr">
        <is>
          <t>Offshore wind</t>
        </is>
      </c>
      <c r="C9" s="101" t="inlineStr">
        <is>
          <t>DESNZ EGC 2023, Tbl 10</t>
        </is>
      </c>
      <c r="E9" s="123" t="n">
        <v>44</v>
      </c>
      <c r="F9" s="98" t="inlineStr">
        <is>
          <t>£/MWh</t>
        </is>
      </c>
      <c r="G9" s="98" t="inlineStr">
        <is>
          <t>real 2021 GBP</t>
        </is>
      </c>
      <c r="H9" s="98" t="inlineStr">
        <is>
          <t>2025 comm.</t>
        </is>
      </c>
      <c r="I9" s="98" t="inlineStr">
        <is>
          <t>6.3%</t>
        </is>
      </c>
      <c r="J9" s="100" t="inlineStr">
        <is>
          <t>hurdle, pre-tax real</t>
        </is>
      </c>
      <c r="K9" s="98" t="inlineStr">
        <is>
          <t>61% LF</t>
        </is>
      </c>
      <c r="L9" s="98" t="n">
        <v>30</v>
      </c>
      <c r="M9" s="100" t="inlineStr">
        <is>
          <t>£1,630/kW + infra</t>
        </is>
      </c>
      <c r="N9" s="100" t="inlineStr">
        <is>
          <t>—</t>
        </is>
      </c>
      <c r="O9" s="100" t="inlineStr">
        <is>
          <t>—</t>
        </is>
      </c>
      <c r="P9" s="98" t="inlineStr">
        <is>
          <t>N</t>
        </is>
      </c>
      <c r="R9" s="124">
        <f>E9*fx_deflator!$B$6*fx_deflator!$F$6</f>
        <v/>
      </c>
      <c r="S9" s="100" t="inlineStr">
        <is>
          <t>Table 10 p.24.</t>
        </is>
      </c>
    </row>
    <row r="10" ht="15" customHeight="1" s="78">
      <c r="A10" s="98" t="inlineStr">
        <is>
          <t>UK</t>
        </is>
      </c>
      <c r="B10" s="101" t="inlineStr">
        <is>
          <t>Solar PV (large)</t>
        </is>
      </c>
      <c r="C10" s="101" t="inlineStr">
        <is>
          <t>DESNZ EGC 2023, Tbl 10</t>
        </is>
      </c>
      <c r="E10" s="123" t="n">
        <v>41</v>
      </c>
      <c r="F10" s="98" t="inlineStr">
        <is>
          <t>£/MWh</t>
        </is>
      </c>
      <c r="G10" s="98" t="inlineStr">
        <is>
          <t>real 2021 GBP</t>
        </is>
      </c>
      <c r="H10" s="98" t="inlineStr">
        <is>
          <t>2025 comm.</t>
        </is>
      </c>
      <c r="I10" s="98" t="inlineStr">
        <is>
          <t>5.0%</t>
        </is>
      </c>
      <c r="J10" s="100" t="inlineStr">
        <is>
          <t>hurdle, pre-tax real</t>
        </is>
      </c>
      <c r="K10" s="98" t="inlineStr">
        <is>
          <t>11% LF</t>
        </is>
      </c>
      <c r="L10" s="98" t="n">
        <v>35</v>
      </c>
      <c r="M10" s="100" t="inlineStr">
        <is>
          <t>£450/kW + infra</t>
        </is>
      </c>
      <c r="N10" s="100" t="inlineStr">
        <is>
          <t>—</t>
        </is>
      </c>
      <c r="O10" s="100" t="inlineStr">
        <is>
          <t>—</t>
        </is>
      </c>
      <c r="P10" s="98" t="inlineStr">
        <is>
          <t>N</t>
        </is>
      </c>
      <c r="R10" s="124">
        <f>E10*fx_deflator!$B$6*fx_deflator!$F$6</f>
        <v/>
      </c>
      <c r="S10" s="100" t="inlineStr">
        <is>
          <t>Table 10 p.24.</t>
        </is>
      </c>
    </row>
    <row r="11" ht="15" customHeight="1" s="78">
      <c r="A11" s="98" t="inlineStr">
        <is>
          <t>UK</t>
        </is>
      </c>
      <c r="B11" s="101" t="inlineStr">
        <is>
          <t>Coal</t>
        </is>
      </c>
      <c r="C11" s="101" t="inlineStr">
        <is>
          <t>—</t>
        </is>
      </c>
      <c r="F11" s="98" t="n"/>
      <c r="G11" s="98" t="n"/>
      <c r="H11" s="98" t="n"/>
      <c r="I11" s="98" t="n"/>
      <c r="J11" s="100" t="n"/>
      <c r="K11" s="98" t="n"/>
      <c r="L11" s="98" t="n"/>
      <c r="M11" s="100" t="n"/>
      <c r="N11" s="100" t="n"/>
      <c r="O11" s="100" t="n"/>
      <c r="P11" s="121" t="inlineStr">
        <is>
          <t>GAP</t>
        </is>
      </c>
      <c r="S11" s="100" t="inlineStr">
        <is>
          <t>NOT COVERED by DESNZ series (recent editions). Gap is a finding.</t>
        </is>
      </c>
    </row>
    <row r="12" ht="21.75" customHeight="1" s="78">
      <c r="A12" s="98" t="inlineStr">
        <is>
          <t>UK</t>
        </is>
      </c>
      <c r="B12" s="101" t="inlineStr">
        <is>
          <t>Nuclear</t>
        </is>
      </c>
      <c r="C12" s="101" t="inlineStr">
        <is>
          <t>—</t>
        </is>
      </c>
      <c r="F12" s="98" t="n"/>
      <c r="G12" s="98" t="n"/>
      <c r="H12" s="98" t="n"/>
      <c r="I12" s="98" t="n"/>
      <c r="J12" s="100" t="n"/>
      <c r="K12" s="98" t="n"/>
      <c r="L12" s="98" t="n"/>
      <c r="M12" s="100" t="n"/>
      <c r="N12" s="100" t="n"/>
      <c r="O12" s="100" t="n"/>
      <c r="P12" s="121" t="inlineStr">
        <is>
          <t>GAP</t>
        </is>
      </c>
      <c r="S12" s="100" t="inlineStr">
        <is>
          <t>NOT PUBLISHED: EGC 2025 withholds Sizewell C / SMR costs as commercially sensitive; no nuclear LCOE in 2023/2020 editions (last: 2016 edition, not retrieved).</t>
        </is>
      </c>
    </row>
    <row r="13" ht="32.25" customHeight="1" s="78">
      <c r="A13" s="98" t="inlineStr">
        <is>
          <t>DE</t>
        </is>
      </c>
      <c r="B13" s="101" t="inlineStr">
        <is>
          <t>Lignite (new build)</t>
        </is>
      </c>
      <c r="C13" s="101" t="inlineStr">
        <is>
          <t>Fraunhofer ISE Jul 2024</t>
        </is>
      </c>
      <c r="D13" s="123" t="n">
        <v>15.1</v>
      </c>
      <c r="E13" s="123" t="n">
        <v>25.7</v>
      </c>
      <c r="F13" s="98" t="inlineStr">
        <is>
          <t>ct/kWh</t>
        </is>
      </c>
      <c r="G13" s="98" t="inlineStr">
        <is>
          <t>real 2024 EUR</t>
        </is>
      </c>
      <c r="H13" s="98" t="n">
        <v>2024</v>
      </c>
      <c r="I13" s="98" t="inlineStr">
        <is>
          <t>6.8%</t>
        </is>
      </c>
      <c r="J13" s="100" t="inlineStr">
        <is>
          <t>WACC real (nom 8.6%)</t>
        </is>
      </c>
      <c r="K13" s="98" t="inlineStr">
        <is>
          <t>4,300–6,300 FLH</t>
        </is>
      </c>
      <c r="L13" s="98" t="n">
        <v>40</v>
      </c>
      <c r="M13" s="100" t="inlineStr">
        <is>
          <t>€1,850–2,550/kW</t>
        </is>
      </c>
      <c r="N13" s="100" t="inlineStr">
        <is>
          <t>€2.3/MWh_th</t>
        </is>
      </c>
      <c r="O13" s="100" t="inlineStr">
        <is>
          <t>EU ETS €75–90/t (2024)</t>
        </is>
      </c>
      <c r="P13" s="98" t="inlineStr">
        <is>
          <t>N</t>
        </is>
      </c>
      <c r="Q13" s="124">
        <f>D13*10*fx_deflator!$C$9*fx_deflator!$F$9</f>
        <v/>
      </c>
      <c r="R13" s="124">
        <f>E13*10*fx_deflator!$C$9*fx_deflator!$F$9</f>
        <v/>
      </c>
      <c r="S13" s="100" t="inlineStr">
        <is>
          <t>Fraunhofer ISE, Stromgestehungskosten Erneuerbare Energien, Juli 2024, pp.3/19 (bands), Tabellen 1–7 (assumptions) — ise.fraunhofer.de — retr. 2026-07-14. Bands: low capex+best resource / high capex+worst.</t>
        </is>
      </c>
    </row>
    <row r="14" ht="21.75" customHeight="1" s="78">
      <c r="A14" s="98" t="inlineStr">
        <is>
          <t>DE</t>
        </is>
      </c>
      <c r="B14" s="101" t="inlineStr">
        <is>
          <t>Hard coal (new build)</t>
        </is>
      </c>
      <c r="C14" s="101" t="inlineStr">
        <is>
          <t>Fraunhofer ISE Jul 2024</t>
        </is>
      </c>
      <c r="D14" s="123" t="n">
        <v>17.3</v>
      </c>
      <c r="E14" s="123" t="n">
        <v>29.3</v>
      </c>
      <c r="F14" s="98" t="inlineStr">
        <is>
          <t>ct/kWh</t>
        </is>
      </c>
      <c r="G14" s="98" t="inlineStr">
        <is>
          <t>real 2024 EUR</t>
        </is>
      </c>
      <c r="H14" s="98" t="n">
        <v>2024</v>
      </c>
      <c r="I14" s="98" t="inlineStr">
        <is>
          <t>6.8%</t>
        </is>
      </c>
      <c r="J14" s="100" t="inlineStr">
        <is>
          <t>WACC real</t>
        </is>
      </c>
      <c r="K14" s="98" t="inlineStr">
        <is>
          <t>3,000–5,200 FLH</t>
        </is>
      </c>
      <c r="L14" s="98" t="n">
        <v>30</v>
      </c>
      <c r="M14" s="100" t="inlineStr">
        <is>
          <t>€1,700–2,300/kW</t>
        </is>
      </c>
      <c r="N14" s="100" t="inlineStr">
        <is>
          <t>€11.6/MWh_th</t>
        </is>
      </c>
      <c r="O14" s="100" t="inlineStr">
        <is>
          <t>EU ETS €75–90/t</t>
        </is>
      </c>
      <c r="P14" s="98" t="inlineStr">
        <is>
          <t>N</t>
        </is>
      </c>
      <c r="Q14" s="124">
        <f>D14*10*fx_deflator!$C$9*fx_deflator!$F$9</f>
        <v/>
      </c>
      <c r="R14" s="124">
        <f>E14*10*fx_deflator!$C$9*fx_deflator!$F$9</f>
        <v/>
      </c>
      <c r="S14" s="100" t="inlineStr">
        <is>
          <t>Same, pp.3/19.</t>
        </is>
      </c>
    </row>
    <row r="15" ht="21.75" customHeight="1" s="78">
      <c r="A15" s="98" t="inlineStr">
        <is>
          <t>DE</t>
        </is>
      </c>
      <c r="B15" s="101" t="inlineStr">
        <is>
          <t>CCGT (GuD)</t>
        </is>
      </c>
      <c r="C15" s="101" t="inlineStr">
        <is>
          <t>Fraunhofer ISE Jul 2024</t>
        </is>
      </c>
      <c r="D15" s="123" t="n">
        <v>10.9</v>
      </c>
      <c r="E15" s="123" t="n">
        <v>18.1</v>
      </c>
      <c r="F15" s="98" t="inlineStr">
        <is>
          <t>ct/kWh</t>
        </is>
      </c>
      <c r="G15" s="98" t="inlineStr">
        <is>
          <t>real 2024 EUR</t>
        </is>
      </c>
      <c r="H15" s="98" t="n">
        <v>2024</v>
      </c>
      <c r="I15" s="98" t="inlineStr">
        <is>
          <t>6.4%</t>
        </is>
      </c>
      <c r="J15" s="100" t="inlineStr">
        <is>
          <t>WACC real</t>
        </is>
      </c>
      <c r="K15" s="98" t="inlineStr">
        <is>
          <t>3,000–6,300 FLH</t>
        </is>
      </c>
      <c r="L15" s="98" t="n">
        <v>30</v>
      </c>
      <c r="M15" s="100" t="inlineStr">
        <is>
          <t>€900–1,300/kW</t>
        </is>
      </c>
      <c r="N15" s="100" t="inlineStr">
        <is>
          <t>€38/MWh_th (27 from 2030)</t>
        </is>
      </c>
      <c r="O15" s="100" t="inlineStr">
        <is>
          <t>EU ETS €75–90/t</t>
        </is>
      </c>
      <c r="P15" s="98" t="inlineStr">
        <is>
          <t>N</t>
        </is>
      </c>
      <c r="Q15" s="124">
        <f>D15*10*fx_deflator!$C$9*fx_deflator!$F$9</f>
        <v/>
      </c>
      <c r="R15" s="124">
        <f>E15*10*fx_deflator!$C$9*fx_deflator!$F$9</f>
        <v/>
      </c>
      <c r="S15" s="100" t="inlineStr">
        <is>
          <t>Same, pp.3–4/19 (p.4 prints 18.0 — internal source discrepancy, flagged qc).</t>
        </is>
      </c>
    </row>
    <row r="16" ht="21.75" customHeight="1" s="78">
      <c r="A16" s="98" t="inlineStr">
        <is>
          <t>DE</t>
        </is>
      </c>
      <c r="B16" s="101" t="inlineStr">
        <is>
          <t>OCGT (Gasturbine)</t>
        </is>
      </c>
      <c r="C16" s="101" t="inlineStr">
        <is>
          <t>Fraunhofer ISE Jul 2024</t>
        </is>
      </c>
      <c r="D16" s="123" t="n">
        <v>15.4</v>
      </c>
      <c r="E16" s="123" t="n">
        <v>32.6</v>
      </c>
      <c r="F16" s="98" t="inlineStr">
        <is>
          <t>ct/kWh</t>
        </is>
      </c>
      <c r="G16" s="98" t="inlineStr">
        <is>
          <t>real 2024 EUR</t>
        </is>
      </c>
      <c r="H16" s="98" t="n">
        <v>2024</v>
      </c>
      <c r="I16" s="98" t="inlineStr">
        <is>
          <t>6.4%</t>
        </is>
      </c>
      <c r="J16" s="100" t="inlineStr">
        <is>
          <t>WACC real</t>
        </is>
      </c>
      <c r="K16" s="98" t="inlineStr">
        <is>
          <t>500–3,000 FLH</t>
        </is>
      </c>
      <c r="L16" s="98" t="n">
        <v>30</v>
      </c>
      <c r="M16" s="100" t="inlineStr">
        <is>
          <t>€450–700/kW</t>
        </is>
      </c>
      <c r="N16" s="100" t="inlineStr">
        <is>
          <t>€38/MWh_th</t>
        </is>
      </c>
      <c r="O16" s="100" t="inlineStr">
        <is>
          <t>EU ETS €75–90/t</t>
        </is>
      </c>
      <c r="P16" s="98" t="inlineStr">
        <is>
          <t>N</t>
        </is>
      </c>
      <c r="Q16" s="124">
        <f>D16*10*fx_deflator!$C$9*fx_deflator!$F$9</f>
        <v/>
      </c>
      <c r="R16" s="124">
        <f>E16*10*fx_deflator!$C$9*fx_deflator!$F$9</f>
        <v/>
      </c>
      <c r="S16" s="100" t="inlineStr">
        <is>
          <t>Same, pp.3/19.</t>
        </is>
      </c>
    </row>
    <row r="17" ht="15" customHeight="1" s="78">
      <c r="A17" s="98" t="inlineStr">
        <is>
          <t>DE</t>
        </is>
      </c>
      <c r="B17" s="101" t="inlineStr">
        <is>
          <t>Onshore wind</t>
        </is>
      </c>
      <c r="C17" s="101" t="inlineStr">
        <is>
          <t>Fraunhofer ISE Jul 2024</t>
        </is>
      </c>
      <c r="D17" s="125" t="n">
        <v>4.3</v>
      </c>
      <c r="E17" s="123" t="n">
        <v>9.199999999999999</v>
      </c>
      <c r="F17" s="98" t="inlineStr">
        <is>
          <t>ct/kWh</t>
        </is>
      </c>
      <c r="G17" s="98" t="inlineStr">
        <is>
          <t>real 2024 EUR</t>
        </is>
      </c>
      <c r="H17" s="98" t="n">
        <v>2024</v>
      </c>
      <c r="I17" s="98" t="inlineStr">
        <is>
          <t>3.9%</t>
        </is>
      </c>
      <c r="J17" s="100" t="inlineStr">
        <is>
          <t>WACC real</t>
        </is>
      </c>
      <c r="K17" s="98" t="inlineStr">
        <is>
          <t>1,800–3,200 FLH</t>
        </is>
      </c>
      <c r="L17" s="98" t="n">
        <v>25</v>
      </c>
      <c r="M17" s="100" t="inlineStr">
        <is>
          <t>€1,300–1,900/kW</t>
        </is>
      </c>
      <c r="N17" s="100" t="inlineStr">
        <is>
          <t>—</t>
        </is>
      </c>
      <c r="O17" s="100" t="inlineStr">
        <is>
          <t>—</t>
        </is>
      </c>
      <c r="P17" s="98" t="inlineStr">
        <is>
          <t>N</t>
        </is>
      </c>
      <c r="Q17" s="124">
        <f>D17*10*fx_deflator!$C$9*fx_deflator!$F$9</f>
        <v/>
      </c>
      <c r="R17" s="124">
        <f>E17*10*fx_deflator!$C$9*fx_deflator!$F$9</f>
        <v/>
      </c>
      <c r="S17" s="100" t="inlineStr">
        <is>
          <t>Same, pp.3/19.</t>
        </is>
      </c>
    </row>
    <row r="18" ht="32.25" customHeight="1" s="78">
      <c r="A18" s="98" t="inlineStr">
        <is>
          <t>DE</t>
        </is>
      </c>
      <c r="B18" s="101" t="inlineStr">
        <is>
          <t>Offshore wind</t>
        </is>
      </c>
      <c r="C18" s="101" t="inlineStr">
        <is>
          <t>Fraunhofer ISE Jul 2024</t>
        </is>
      </c>
      <c r="D18" s="123" t="n">
        <v>5.5</v>
      </c>
      <c r="E18" s="123" t="n">
        <v>10.3</v>
      </c>
      <c r="F18" s="98" t="inlineStr">
        <is>
          <t>ct/kWh</t>
        </is>
      </c>
      <c r="G18" s="98" t="inlineStr">
        <is>
          <t>real 2024 EUR</t>
        </is>
      </c>
      <c r="H18" s="98" t="n">
        <v>2024</v>
      </c>
      <c r="I18" s="98" t="inlineStr">
        <is>
          <t>6.0%</t>
        </is>
      </c>
      <c r="J18" s="100" t="inlineStr">
        <is>
          <t>WACC real</t>
        </is>
      </c>
      <c r="K18" s="98" t="inlineStr">
        <is>
          <t>3,200–4,500 FLH</t>
        </is>
      </c>
      <c r="L18" s="98" t="n">
        <v>25</v>
      </c>
      <c r="M18" s="100" t="inlineStr">
        <is>
          <t>€2,200–3,400/kW (incl. shore connection)</t>
        </is>
      </c>
      <c r="N18" s="100" t="inlineStr">
        <is>
          <t>—</t>
        </is>
      </c>
      <c r="O18" s="100" t="inlineStr">
        <is>
          <t>—</t>
        </is>
      </c>
      <c r="P18" s="98" t="inlineStr">
        <is>
          <t>N</t>
        </is>
      </c>
      <c r="Q18" s="124">
        <f>D18*10*fx_deflator!$C$9*fx_deflator!$F$9</f>
        <v/>
      </c>
      <c r="R18" s="124">
        <f>E18*10*fx_deflator!$C$9*fx_deflator!$F$9</f>
        <v/>
      </c>
      <c r="S18" s="100" t="inlineStr">
        <is>
          <t>Same, pp.3/19.</t>
        </is>
      </c>
    </row>
    <row r="19" ht="15" customHeight="1" s="78">
      <c r="A19" s="98" t="inlineStr">
        <is>
          <t>DE</t>
        </is>
      </c>
      <c r="B19" s="101" t="inlineStr">
        <is>
          <t>Solar PV (Freifläche)</t>
        </is>
      </c>
      <c r="C19" s="101" t="inlineStr">
        <is>
          <t>Fraunhofer ISE Jul 2024</t>
        </is>
      </c>
      <c r="D19" s="125" t="n">
        <v>4.1</v>
      </c>
      <c r="E19" s="123" t="n">
        <v>6.9</v>
      </c>
      <c r="F19" s="98" t="inlineStr">
        <is>
          <t>ct/kWh</t>
        </is>
      </c>
      <c r="G19" s="98" t="inlineStr">
        <is>
          <t>real 2024 EUR</t>
        </is>
      </c>
      <c r="H19" s="98" t="n">
        <v>2024</v>
      </c>
      <c r="I19" s="98" t="inlineStr">
        <is>
          <t>3.5%</t>
        </is>
      </c>
      <c r="J19" s="100" t="inlineStr">
        <is>
          <t>WACC real</t>
        </is>
      </c>
      <c r="K19" s="98" t="inlineStr">
        <is>
          <t>935–1,280 kWh/kWp</t>
        </is>
      </c>
      <c r="L19" s="98" t="n">
        <v>30</v>
      </c>
      <c r="M19" s="100" t="inlineStr">
        <is>
          <t>€700–900/kW</t>
        </is>
      </c>
      <c r="N19" s="100" t="inlineStr">
        <is>
          <t>—</t>
        </is>
      </c>
      <c r="O19" s="100" t="inlineStr">
        <is>
          <t>—</t>
        </is>
      </c>
      <c r="P19" s="98" t="inlineStr">
        <is>
          <t>N</t>
        </is>
      </c>
      <c r="Q19" s="124">
        <f>D19*10*fx_deflator!$C$9*fx_deflator!$F$9</f>
        <v/>
      </c>
      <c r="R19" s="124">
        <f>E19*10*fx_deflator!$C$9*fx_deflator!$F$9</f>
        <v/>
      </c>
      <c r="S19" s="100" t="inlineStr">
        <is>
          <t>Same, pp.18–19/21.</t>
        </is>
      </c>
    </row>
    <row r="20" ht="21.75" customHeight="1" s="78">
      <c r="A20" s="98" t="inlineStr">
        <is>
          <t>DE</t>
        </is>
      </c>
      <c r="B20" s="101" t="inlineStr">
        <is>
          <t>Nuclear (new build)</t>
        </is>
      </c>
      <c r="C20" s="101" t="inlineStr">
        <is>
          <t>Fraunhofer ISE Jul 2024</t>
        </is>
      </c>
      <c r="D20" s="123" t="n">
        <v>13.6</v>
      </c>
      <c r="E20" s="123" t="n">
        <v>49</v>
      </c>
      <c r="F20" s="98" t="inlineStr">
        <is>
          <t>ct/kWh</t>
        </is>
      </c>
      <c r="G20" s="98" t="inlineStr">
        <is>
          <t>real 2024 EUR</t>
        </is>
      </c>
      <c r="H20" s="98" t="n">
        <v>2024</v>
      </c>
      <c r="I20" s="98" t="inlineStr">
        <is>
          <t>7.8%</t>
        </is>
      </c>
      <c r="J20" s="100" t="inlineStr">
        <is>
          <t>WACC real</t>
        </is>
      </c>
      <c r="K20" s="98" t="inlineStr">
        <is>
          <t>4,300–6,300 FLH</t>
        </is>
      </c>
      <c r="L20" s="98" t="n">
        <v>45</v>
      </c>
      <c r="M20" s="100" t="inlineStr">
        <is>
          <t>€6,000–16,000/kW</t>
        </is>
      </c>
      <c r="N20" s="100" t="inlineStr">
        <is>
          <t>uranium €8/MWh_th</t>
        </is>
      </c>
      <c r="O20" s="100" t="inlineStr">
        <is>
          <t>—</t>
        </is>
      </c>
      <c r="P20" s="98" t="inlineStr">
        <is>
          <t>N</t>
        </is>
      </c>
      <c r="Q20" s="124">
        <f>D20*10*fx_deflator!$C$9*fx_deflator!$F$9</f>
        <v/>
      </c>
      <c r="R20" s="124">
        <f>E20*10*fx_deflator!$C$9*fx_deflator!$F$9</f>
        <v/>
      </c>
      <c r="S20" s="100" t="inlineStr">
        <is>
          <t>Same, pp.3/19. EXCLUDES back-end/decommissioning/final storage (p.3) — health warning on any chart.</t>
        </is>
      </c>
    </row>
    <row r="21" ht="32.25" customHeight="1" s="78">
      <c r="A21" s="98" t="inlineStr">
        <is>
          <t>CN</t>
        </is>
      </c>
      <c r="B21" s="101" t="inlineStr">
        <is>
          <t>Coal (new build)</t>
        </is>
      </c>
      <c r="C21" s="101" t="inlineStr">
        <is>
          <t>IEA WEO 2025, Tbl B.4a</t>
        </is>
      </c>
      <c r="E21" s="123" t="n">
        <v>65</v>
      </c>
      <c r="F21" s="98" t="inlineStr">
        <is>
          <t>USD/MWh</t>
        </is>
      </c>
      <c r="G21" s="98" t="inlineStr">
        <is>
          <t>2024 USD</t>
        </is>
      </c>
      <c r="H21" s="98" t="n">
        <v>2024</v>
      </c>
      <c r="I21" s="98" t="inlineStr">
        <is>
          <t>8–9%</t>
        </is>
      </c>
      <c r="J21" s="100" t="inlineStr">
        <is>
          <t>standard WACC, thermal</t>
        </is>
      </c>
      <c r="K21" s="98" t="inlineStr">
        <is>
          <t>50% CF</t>
        </is>
      </c>
      <c r="L21" s="98" t="inlineStr">
        <is>
          <t>n/p</t>
        </is>
      </c>
      <c r="M21" s="100" t="inlineStr">
        <is>
          <t>$800/kW</t>
        </is>
      </c>
      <c r="N21" s="100" t="inlineStr">
        <is>
          <t>10-yr avg from 2024</t>
        </is>
      </c>
      <c r="O21" s="100" t="inlineStr">
        <is>
          <t>in scenario</t>
        </is>
      </c>
      <c r="P21" s="98" t="inlineStr">
        <is>
          <t>N</t>
        </is>
      </c>
      <c r="R21" s="124">
        <f>E21*fx_deflator!$F$9</f>
        <v/>
      </c>
      <c r="S21" s="100" t="inlineStr">
        <is>
          <t>IEA, World Energy Outlook 2025 (12.11.2025), Annex B, Table B.4a p.454 (2024 values identical in B.4b) — iea.org — retr. 2026-07-14. USER DECISION D17: international analyses for CN thermal/nuclear.</t>
        </is>
      </c>
    </row>
    <row r="22" ht="21.75" customHeight="1" s="78">
      <c r="A22" s="98" t="inlineStr">
        <is>
          <t>CN</t>
        </is>
      </c>
      <c r="B22" s="101" t="inlineStr">
        <is>
          <t>Gas CCGT</t>
        </is>
      </c>
      <c r="C22" s="101" t="inlineStr">
        <is>
          <t>IEA WEO 2025, Tbl B.4a</t>
        </is>
      </c>
      <c r="E22" s="123" t="n">
        <v>100</v>
      </c>
      <c r="F22" s="98" t="inlineStr">
        <is>
          <t>USD/MWh</t>
        </is>
      </c>
      <c r="G22" s="98" t="inlineStr">
        <is>
          <t>2024 USD</t>
        </is>
      </c>
      <c r="H22" s="98" t="n">
        <v>2024</v>
      </c>
      <c r="I22" s="98" t="inlineStr">
        <is>
          <t>8–9%</t>
        </is>
      </c>
      <c r="J22" s="100" t="inlineStr">
        <is>
          <t>standard WACC, thermal</t>
        </is>
      </c>
      <c r="K22" s="98" t="inlineStr">
        <is>
          <t>30% CF</t>
        </is>
      </c>
      <c r="L22" s="98" t="inlineStr">
        <is>
          <t>n/p</t>
        </is>
      </c>
      <c r="M22" s="100" t="inlineStr">
        <is>
          <t>$560/kW</t>
        </is>
      </c>
      <c r="N22" s="100" t="inlineStr">
        <is>
          <t>10-yr avg from 2024</t>
        </is>
      </c>
      <c r="O22" s="100" t="inlineStr">
        <is>
          <t>in scenario</t>
        </is>
      </c>
      <c r="P22" s="98" t="inlineStr">
        <is>
          <t>N</t>
        </is>
      </c>
      <c r="R22" s="124">
        <f>E22*fx_deflator!$F$9</f>
        <v/>
      </c>
      <c r="S22" s="100" t="inlineStr">
        <is>
          <t>Same table.</t>
        </is>
      </c>
    </row>
    <row r="23" ht="21.75" customHeight="1" s="78">
      <c r="A23" s="98" t="inlineStr">
        <is>
          <t>CN</t>
        </is>
      </c>
      <c r="B23" s="101" t="inlineStr">
        <is>
          <t>Nuclear</t>
        </is>
      </c>
      <c r="C23" s="101" t="inlineStr">
        <is>
          <t>IEA WEO 2025, Tbl B.4a</t>
        </is>
      </c>
      <c r="E23" s="123" t="n">
        <v>70</v>
      </c>
      <c r="F23" s="98" t="inlineStr">
        <is>
          <t>USD/MWh</t>
        </is>
      </c>
      <c r="G23" s="98" t="inlineStr">
        <is>
          <t>2024 USD</t>
        </is>
      </c>
      <c r="H23" s="98" t="n">
        <v>2024</v>
      </c>
      <c r="I23" s="98" t="inlineStr">
        <is>
          <t>8–9%</t>
        </is>
      </c>
      <c r="J23" s="100" t="inlineStr">
        <is>
          <t>standard WACC</t>
        </is>
      </c>
      <c r="K23" s="98" t="inlineStr">
        <is>
          <t>75% CF</t>
        </is>
      </c>
      <c r="L23" s="98" t="inlineStr">
        <is>
          <t>n/p</t>
        </is>
      </c>
      <c r="M23" s="100" t="inlineStr">
        <is>
          <t>$2,800/kW (NOAK)</t>
        </is>
      </c>
      <c r="N23" s="100" t="inlineStr">
        <is>
          <t>—</t>
        </is>
      </c>
      <c r="O23" s="100" t="inlineStr">
        <is>
          <t>—</t>
        </is>
      </c>
      <c r="P23" s="98" t="inlineStr">
        <is>
          <t>N</t>
        </is>
      </c>
      <c r="R23" s="124">
        <f>E23*fx_deflator!$F$9</f>
        <v/>
      </c>
      <c r="S23" s="100" t="inlineStr">
        <is>
          <t>Same table.</t>
        </is>
      </c>
    </row>
    <row r="24" ht="21.75" customHeight="1" s="78">
      <c r="A24" s="98" t="inlineStr">
        <is>
          <t>CN</t>
        </is>
      </c>
      <c r="B24" s="101" t="inlineStr">
        <is>
          <t>Solar PV (utility)</t>
        </is>
      </c>
      <c r="C24" s="101" t="inlineStr">
        <is>
          <t>IEA WEO 2025, Tbl B.4a</t>
        </is>
      </c>
      <c r="E24" s="123" t="n">
        <v>45</v>
      </c>
      <c r="F24" s="98" t="inlineStr">
        <is>
          <t>USD/MWh</t>
        </is>
      </c>
      <c r="G24" s="98" t="inlineStr">
        <is>
          <t>2024 USD</t>
        </is>
      </c>
      <c r="H24" s="98" t="n">
        <v>2024</v>
      </c>
      <c r="I24" s="98" t="inlineStr">
        <is>
          <t>4–7%</t>
        </is>
      </c>
      <c r="J24" s="100" t="inlineStr">
        <is>
          <t>Cost of Capital Observatory</t>
        </is>
      </c>
      <c r="K24" s="98" t="inlineStr">
        <is>
          <t>12% CF</t>
        </is>
      </c>
      <c r="L24" s="98" t="inlineStr">
        <is>
          <t>n/p</t>
        </is>
      </c>
      <c r="M24" s="100" t="inlineStr">
        <is>
          <t>$590/kW</t>
        </is>
      </c>
      <c r="N24" s="100" t="inlineStr">
        <is>
          <t>—</t>
        </is>
      </c>
      <c r="O24" s="100" t="inlineStr">
        <is>
          <t>—</t>
        </is>
      </c>
      <c r="P24" s="98" t="inlineStr">
        <is>
          <t>N</t>
        </is>
      </c>
      <c r="R24" s="124">
        <f>E24*fx_deflator!$F$9</f>
        <v/>
      </c>
      <c r="S24" s="100" t="inlineStr">
        <is>
          <t>Same table.</t>
        </is>
      </c>
    </row>
    <row r="25" ht="15" customHeight="1" s="78">
      <c r="A25" s="98" t="inlineStr">
        <is>
          <t>CN</t>
        </is>
      </c>
      <c r="B25" s="101" t="inlineStr">
        <is>
          <t>Onshore wind</t>
        </is>
      </c>
      <c r="C25" s="101" t="inlineStr">
        <is>
          <t>IEA WEO 2025, Tbl B.4a</t>
        </is>
      </c>
      <c r="E25" s="123" t="n">
        <v>40</v>
      </c>
      <c r="F25" s="98" t="inlineStr">
        <is>
          <t>USD/MWh</t>
        </is>
      </c>
      <c r="G25" s="98" t="inlineStr">
        <is>
          <t>2024 USD</t>
        </is>
      </c>
      <c r="H25" s="98" t="n">
        <v>2024</v>
      </c>
      <c r="I25" s="98" t="inlineStr">
        <is>
          <t>4–7%</t>
        </is>
      </c>
      <c r="J25" s="100" t="inlineStr">
        <is>
          <t>as PV</t>
        </is>
      </c>
      <c r="K25" s="98" t="inlineStr">
        <is>
          <t>23% CF</t>
        </is>
      </c>
      <c r="L25" s="98" t="inlineStr">
        <is>
          <t>n/p</t>
        </is>
      </c>
      <c r="M25" s="100" t="inlineStr">
        <is>
          <t>$860/kW</t>
        </is>
      </c>
      <c r="N25" s="100" t="inlineStr">
        <is>
          <t>—</t>
        </is>
      </c>
      <c r="O25" s="100" t="inlineStr">
        <is>
          <t>—</t>
        </is>
      </c>
      <c r="P25" s="98" t="inlineStr">
        <is>
          <t>N</t>
        </is>
      </c>
      <c r="R25" s="124">
        <f>E25*fx_deflator!$F$9</f>
        <v/>
      </c>
      <c r="S25" s="100" t="inlineStr">
        <is>
          <t>Same table.</t>
        </is>
      </c>
    </row>
    <row r="26" ht="15" customHeight="1" s="78">
      <c r="A26" s="98" t="inlineStr">
        <is>
          <t>CN</t>
        </is>
      </c>
      <c r="B26" s="101" t="inlineStr">
        <is>
          <t>Offshore wind</t>
        </is>
      </c>
      <c r="C26" s="101" t="inlineStr">
        <is>
          <t>IEA WEO 2025, Tbl B.4a</t>
        </is>
      </c>
      <c r="E26" s="123" t="n">
        <v>60</v>
      </c>
      <c r="F26" s="98" t="inlineStr">
        <is>
          <t>USD/MWh</t>
        </is>
      </c>
      <c r="G26" s="98" t="inlineStr">
        <is>
          <t>2024 USD</t>
        </is>
      </c>
      <c r="H26" s="98" t="n">
        <v>2024</v>
      </c>
      <c r="I26" s="98" t="inlineStr">
        <is>
          <t>5–8%</t>
        </is>
      </c>
      <c r="J26" s="100" t="inlineStr">
        <is>
          <t>offshore band</t>
        </is>
      </c>
      <c r="K26" s="98" t="inlineStr">
        <is>
          <t>30% CF</t>
        </is>
      </c>
      <c r="L26" s="98" t="inlineStr">
        <is>
          <t>n/p</t>
        </is>
      </c>
      <c r="M26" s="100" t="inlineStr">
        <is>
          <t>$1,520/kW</t>
        </is>
      </c>
      <c r="N26" s="100" t="inlineStr">
        <is>
          <t>—</t>
        </is>
      </c>
      <c r="O26" s="100" t="inlineStr">
        <is>
          <t>—</t>
        </is>
      </c>
      <c r="P26" s="98" t="inlineStr">
        <is>
          <t>N</t>
        </is>
      </c>
      <c r="R26" s="124">
        <f>E26*fx_deflator!$F$9</f>
        <v/>
      </c>
      <c r="S26" s="100" t="inlineStr">
        <is>
          <t>Same table.</t>
        </is>
      </c>
    </row>
    <row r="27" ht="36.75" customHeight="1" s="78">
      <c r="A27" s="98" t="inlineStr">
        <is>
          <t>CN</t>
        </is>
      </c>
      <c r="B27" s="101" t="inlineStr">
        <is>
          <t>Solar PV (utility)</t>
        </is>
      </c>
      <c r="C27" s="101" t="inlineStr">
        <is>
          <t>CREEI 造价报告 2024 (28.05.2025)</t>
        </is>
      </c>
      <c r="E27" s="125" t="n">
        <v>0.2</v>
      </c>
      <c r="F27" s="126" t="inlineStr">
        <is>
          <t>元/kWh</t>
        </is>
      </c>
      <c r="G27" s="98" t="inlineStr">
        <is>
          <t>2024 CNY</t>
        </is>
      </c>
      <c r="H27" s="98" t="n">
        <v>2024</v>
      </c>
      <c r="I27" s="98" t="inlineStr">
        <is>
          <t>5%</t>
        </is>
      </c>
      <c r="J27" s="122" t="inlineStr">
        <is>
          <t>折现率 (real/nom unstated — qc)</t>
        </is>
      </c>
      <c r="K27" s="98" t="inlineStr">
        <is>
          <t>1,200 h</t>
        </is>
      </c>
      <c r="L27" s="98" t="inlineStr">
        <is>
          <t>n/p</t>
        </is>
      </c>
      <c r="M27" s="100" t="inlineStr">
        <is>
          <t>≈3,450 元/kW</t>
        </is>
      </c>
      <c r="N27" s="100" t="inlineStr">
        <is>
          <t>—</t>
        </is>
      </c>
      <c r="O27" s="100" t="inlineStr">
        <is>
          <t>—</t>
        </is>
      </c>
      <c r="P27" s="98" t="inlineStr">
        <is>
          <t>N</t>
        </is>
      </c>
      <c r="R27" s="124">
        <f>E27*1000/fx_deflator!$D$9*fx_deflator!$F$9</f>
        <v/>
      </c>
      <c r="S27" s="122" t="inlineStr">
        <is>
          <t>水电水利规划设计总院, 中国可再生能源工程造价管理报告2024年度 — primary PDF not retrievable; verified via 2 independent reproductions (CPEM 29.05.2025; 光伏們/Sina 28.05.2025) — retr. 2026-07-14. Flag qc Q13.</t>
        </is>
      </c>
    </row>
    <row r="28" ht="15" customHeight="1" s="78">
      <c r="A28" s="98" t="inlineStr">
        <is>
          <t>CN</t>
        </is>
      </c>
      <c r="B28" s="101" t="inlineStr">
        <is>
          <t>Onshore wind</t>
        </is>
      </c>
      <c r="C28" s="101" t="inlineStr">
        <is>
          <t>CREEI 造价报告 2024</t>
        </is>
      </c>
      <c r="E28" s="125" t="n">
        <v>0.18</v>
      </c>
      <c r="F28" s="126" t="inlineStr">
        <is>
          <t>元/kWh</t>
        </is>
      </c>
      <c r="G28" s="98" t="inlineStr">
        <is>
          <t>2024 CNY</t>
        </is>
      </c>
      <c r="H28" s="98" t="n">
        <v>2024</v>
      </c>
      <c r="I28" s="98" t="inlineStr">
        <is>
          <t>5%</t>
        </is>
      </c>
      <c r="J28" s="100" t="inlineStr">
        <is>
          <t>as above</t>
        </is>
      </c>
      <c r="K28" s="98" t="inlineStr">
        <is>
          <t>2,000 h</t>
        </is>
      </c>
      <c r="L28" s="98" t="inlineStr">
        <is>
          <t>n/p</t>
        </is>
      </c>
      <c r="M28" s="100" t="inlineStr">
        <is>
          <t>≈4,200 元/kW</t>
        </is>
      </c>
      <c r="N28" s="100" t="inlineStr">
        <is>
          <t>—</t>
        </is>
      </c>
      <c r="O28" s="100" t="inlineStr">
        <is>
          <t>—</t>
        </is>
      </c>
      <c r="P28" s="98" t="inlineStr">
        <is>
          <t>N</t>
        </is>
      </c>
      <c r="R28" s="124">
        <f>E28*1000/fx_deflator!$D$9*fx_deflator!$F$9</f>
        <v/>
      </c>
      <c r="S28" s="100" t="inlineStr">
        <is>
          <t>As above.</t>
        </is>
      </c>
    </row>
    <row r="29" ht="24" customHeight="1" s="78">
      <c r="A29" s="98" t="inlineStr">
        <is>
          <t>CN</t>
        </is>
      </c>
      <c r="B29" s="101" t="inlineStr">
        <is>
          <t>Offshore wind</t>
        </is>
      </c>
      <c r="C29" s="101" t="inlineStr">
        <is>
          <t>CREEI 造价报告 2024</t>
        </is>
      </c>
      <c r="D29" s="125" t="n">
        <v>0.25</v>
      </c>
      <c r="E29" s="125" t="n">
        <v>0.33</v>
      </c>
      <c r="F29" s="126" t="inlineStr">
        <is>
          <t>元/kWh</t>
        </is>
      </c>
      <c r="G29" s="98" t="inlineStr">
        <is>
          <t>2024 CNY</t>
        </is>
      </c>
      <c r="H29" s="98" t="n">
        <v>2024</v>
      </c>
      <c r="I29" s="98" t="inlineStr">
        <is>
          <t>5%</t>
        </is>
      </c>
      <c r="J29" s="100" t="inlineStr">
        <is>
          <t>as above</t>
        </is>
      </c>
      <c r="K29" s="98" t="inlineStr">
        <is>
          <t>2,800 h</t>
        </is>
      </c>
      <c r="L29" s="98" t="inlineStr">
        <is>
          <t>n/p</t>
        </is>
      </c>
      <c r="M29" s="100" t="inlineStr">
        <is>
          <t>9,000–12,500 元/kW (typ. 9,680)</t>
        </is>
      </c>
      <c r="N29" s="100" t="inlineStr">
        <is>
          <t>—</t>
        </is>
      </c>
      <c r="O29" s="100" t="inlineStr">
        <is>
          <t>—</t>
        </is>
      </c>
      <c r="P29" s="98" t="inlineStr">
        <is>
          <t>N</t>
        </is>
      </c>
      <c r="Q29" s="124">
        <f>D29*1000/fx_deflator!$D$9*fx_deflator!$F$9</f>
        <v/>
      </c>
      <c r="R29" s="124">
        <f>E29*1000/fx_deflator!$D$9*fx_deflator!$F$9</f>
        <v/>
      </c>
      <c r="S29" s="100" t="inlineStr">
        <is>
          <t>As above.</t>
        </is>
      </c>
    </row>
    <row r="30" ht="32.25" customHeight="1" s="78">
      <c r="A30" s="98" t="inlineStr">
        <is>
          <t>CN</t>
        </is>
      </c>
      <c r="B30" s="101" t="inlineStr">
        <is>
          <t>Solar PV / onshore / offshore</t>
        </is>
      </c>
      <c r="C30" s="101" t="inlineStr">
        <is>
          <t>IRENA RPGC 2024 (Jul 2025) — cross-check</t>
        </is>
      </c>
      <c r="F30" s="98" t="inlineStr">
        <is>
          <t>USD/kWh</t>
        </is>
      </c>
      <c r="G30" s="98" t="inlineStr">
        <is>
          <t>2024 USD</t>
        </is>
      </c>
      <c r="H30" s="98" t="n">
        <v>2024</v>
      </c>
      <c r="I30" s="98" t="inlineStr">
        <is>
          <t>≈5% real after-tax (default)</t>
        </is>
      </c>
      <c r="J30" s="100" t="inlineStr">
        <is>
          <t>IRENA benchmark</t>
        </is>
      </c>
      <c r="K30" s="98" t="inlineStr">
        <is>
          <t>offshore CF 37%</t>
        </is>
      </c>
      <c r="L30" s="98" t="n">
        <v>25</v>
      </c>
      <c r="M30" s="100" t="inlineStr">
        <is>
          <t>offshore TIC $1,520/kW</t>
        </is>
      </c>
      <c r="N30" s="100" t="inlineStr">
        <is>
          <t>—</t>
        </is>
      </c>
      <c r="O30" s="100" t="inlineStr">
        <is>
          <t>—</t>
        </is>
      </c>
      <c r="P30" s="98" t="inlineStr">
        <is>
          <t>N</t>
        </is>
      </c>
      <c r="S30" s="100" t="inlineStr">
        <is>
          <t>IRENA, Renewable Power Generation Costs in 2024, pp.13–18/31/43–46: PV $0.033, onshore $0.029, offshore $0.056/kWh — retr. 2026-07-14. Cross-check only; converted rows below use WEO/CREEI.</t>
        </is>
      </c>
    </row>
    <row r="31" ht="32.25" customHeight="1" s="78">
      <c r="A31" s="98" t="inlineStr">
        <is>
          <t>CN</t>
        </is>
      </c>
      <c r="B31" s="101" t="inlineStr">
        <is>
          <t>Coal / CCGT / nuclear @7% real</t>
        </is>
      </c>
      <c r="C31" s="101" t="inlineStr">
        <is>
          <t>IEA/NEA EGC 2020 (published harmonised)</t>
        </is>
      </c>
      <c r="F31" s="98" t="inlineStr">
        <is>
          <t>USD/MWh</t>
        </is>
      </c>
      <c r="G31" s="98" t="inlineStr">
        <is>
          <t>2018 USD</t>
        </is>
      </c>
      <c r="H31" s="98" t="inlineStr">
        <is>
          <t>2025 comm.</t>
        </is>
      </c>
      <c r="I31" s="98" t="inlineStr">
        <is>
          <t>7% real</t>
        </is>
      </c>
      <c r="J31" s="100" t="inlineStr">
        <is>
          <t>standardised</t>
        </is>
      </c>
      <c r="K31" s="98" t="inlineStr">
        <is>
          <t>85% CF</t>
        </is>
      </c>
      <c r="L31" s="98" t="inlineStr">
        <is>
          <t>40/30/60</t>
        </is>
      </c>
      <c r="M31" s="100" t="inlineStr">
        <is>
          <t>$800/560/2500 per kW</t>
        </is>
      </c>
      <c r="N31" s="100" t="inlineStr">
        <is>
          <t>coal $88/t 6000kcal; gas $9.1/MBtu</t>
        </is>
      </c>
      <c r="O31" s="100" t="inlineStr">
        <is>
          <t>$30/tCO2 harmonised</t>
        </is>
      </c>
      <c r="P31" s="98" t="inlineStr">
        <is>
          <t>N</t>
        </is>
      </c>
      <c r="S31" s="100" t="inlineStr">
        <is>
          <t>IEA/NEA, Projected Costs of Generating Electricity 2020, Tables 3.11a/3.12/3.13a — coal 74.66, CCGT 84.00, nuclear 66.01 USD/MWh @7% — retr. 2026-07-14. 2020 vintage: pre-dates 2021–24 Chinese capex declines. Converted in section 2.</t>
        </is>
      </c>
    </row>
    <row r="32" ht="21.75" customHeight="1" s="78">
      <c r="A32" s="98" t="inlineStr">
        <is>
          <t>CN</t>
        </is>
      </c>
      <c r="B32" s="101" t="inlineStr">
        <is>
          <t>OCGT</t>
        </is>
      </c>
      <c r="C32" s="101" t="inlineStr">
        <is>
          <t>—</t>
        </is>
      </c>
      <c r="F32" s="98" t="n"/>
      <c r="G32" s="98" t="n"/>
      <c r="H32" s="98" t="n"/>
      <c r="I32" s="98" t="n"/>
      <c r="J32" s="100" t="n"/>
      <c r="K32" s="98" t="n"/>
      <c r="L32" s="98" t="n"/>
      <c r="M32" s="100" t="n"/>
      <c r="N32" s="100" t="n"/>
      <c r="O32" s="100" t="n"/>
      <c r="P32" s="121" t="inlineStr">
        <is>
          <t>GAP</t>
        </is>
      </c>
      <c r="S32" s="100" t="inlineStr">
        <is>
          <t>NO source anywhere (incl. EGC 2020 — China submitted no OCGT). Complete gap; a finding.</t>
        </is>
      </c>
    </row>
    <row r="33">
      <c r="A33" s="98" t="inlineStr">
        <is>
          <t>UK</t>
        </is>
      </c>
      <c r="B33" s="101" t="inlineStr">
        <is>
          <t>Nuclear — Hinkley Point C CfD price (NOT an LCOE)</t>
        </is>
      </c>
      <c r="C33" s="101" t="inlineStr">
        <is>
          <t>NAO, Sizewell C (HC 33), 20.05.2026, para 2.19</t>
        </is>
      </c>
      <c r="E33" s="123" t="n">
        <v>128.94</v>
      </c>
      <c r="F33" s="98" t="inlineStr">
        <is>
          <t>£/MWh</t>
        </is>
      </c>
      <c r="G33" s="98" t="inlineStr">
        <is>
          <t>2025 prices</t>
        </is>
      </c>
      <c r="H33" s="98" t="inlineStr">
        <is>
          <t>contract, 35 yrs from operation</t>
        </is>
      </c>
      <c r="I33" s="98" t="inlineStr">
        <is>
          <t>n/a</t>
        </is>
      </c>
      <c r="J33" s="100" t="inlineStr">
        <is>
          <t>negotiated price embedding EDF return</t>
        </is>
      </c>
      <c r="K33" s="98" t="inlineStr">
        <is>
          <t>n/a</t>
        </is>
      </c>
      <c r="L33" s="98" t="inlineStr">
        <is>
          <t>35 (contract)</t>
        </is>
      </c>
      <c r="M33" s="100" t="inlineStr">
        <is>
          <t>£31-35bn build (NAO 2023 range)</t>
        </is>
      </c>
      <c r="N33" s="100" t="inlineStr">
        <is>
          <t>in price</t>
        </is>
      </c>
      <c r="O33" s="100" t="inlineStr">
        <is>
          <t>in price</t>
        </is>
      </c>
      <c r="P33" s="98" t="inlineStr">
        <is>
          <t>N</t>
        </is>
      </c>
      <c r="R33" s="124" t="n">
        <v>170.1</v>
      </c>
      <c r="S33" s="100" t="inlineStr">
        <is>
          <t>NAO Sizewell C 2026 p.44: HPC CfD = GBP 128.94/MWh in 2025 prices, on the GBP 89.50 (2012-price) basis — the GBP 3 reduction from 92.50 TRIGGERED at the SZC FID of 22.07.2025 (NAO para 1.14). Contractual indexation: CPI D7BT, base Oct-2011 = 94.5, reset each 1 April on January CPI (LCCC SPA Guidance Feb 2026 v7): 2025/26 season 89.50 x 135.4/94.5 = 128.24; 2026/27 = 132.12. A negotiated PRICE embedding the developer return, not an LCOE (NAO 2017: consumers locked into a risky and expensive project). USD = x1.3192 (2025 avg). S200.</t>
        </is>
      </c>
    </row>
    <row r="34">
      <c r="A34" s="98" t="inlineStr">
        <is>
          <t>DE</t>
        </is>
      </c>
      <c r="B34" s="101" t="inlineStr">
        <is>
          <t>Nuclear — restart of closed fleet</t>
        </is>
      </c>
      <c r="C34" s="101" t="inlineStr">
        <is>
          <t>Radiant Energy Group, Restarting Germany’s Reactors: Viability and Outlook, Jun 2026, pp.15-19</t>
        </is>
      </c>
      <c r="D34" s="123" t="n">
        <v>37</v>
      </c>
      <c r="E34" s="123" t="n">
        <v>71</v>
      </c>
      <c r="F34" s="98" t="inlineStr">
        <is>
          <t>EUR/MWh</t>
        </is>
      </c>
      <c r="G34" s="98" t="inlineStr">
        <is>
          <t>2026 prices</t>
        </is>
      </c>
      <c r="H34" s="98" t="inlineStr">
        <is>
          <t>2026</t>
        </is>
      </c>
      <c r="I34" s="98" t="inlineStr">
        <is>
          <t>4.25% (state) / 7.38% (private)</t>
        </is>
      </c>
      <c r="J34" s="100" t="inlineStr">
        <is>
          <t>WACC scenarios II / I</t>
        </is>
      </c>
      <c r="K34" s="98" t="inlineStr">
        <is>
          <t>147 TWh/yr fleet</t>
        </is>
      </c>
      <c r="L34" s="98" t="inlineStr">
        <is>
          <t>20-yr repayment</t>
        </is>
      </c>
      <c r="M34" s="100" t="inlineStr">
        <is>
          <t>EUR 1.0-4.8bn/unit; program EUR 39.3bn</t>
        </is>
      </c>
      <c r="N34" s="100" t="inlineStr">
        <is>
          <t>industry-expert opex/fuel</t>
        </is>
      </c>
      <c r="O34" s="100" t="inlineStr">
        <is>
          <t>EUR 4/MWh waste/decom</t>
        </is>
      </c>
      <c r="P34" s="98" t="inlineStr">
        <is>
          <t>Y</t>
        </is>
      </c>
      <c r="Q34" s="124" t="n">
        <v>41.83</v>
      </c>
      <c r="R34" s="124" t="n">
        <v>80.27</v>
      </c>
      <c r="S34" s="100" t="inlineStr">
        <is>
          <t>14 restartable reactors, 18.7 GW, in 3 priority groups; group LCOE means: state-backed (Scen II) A/B EUR 37, C 58; private (Scen I) A 41 / B 42 / C 71; cheapest unit Brokdorf 31-33. Range entered = 37 (Scen II A/B) to 71 (Scen I C). CAVEATS: restart-advocacy-adjacent source, anonymous industry opex sourcing, not peer-reviewed; 35% baseline overrun adder +/-20% is in the numbers. Nearest independent anchor: IEA/NEA EGC 2020 Table 8.1 LTO (lifetime extension) USD 26.4-48.5/MWh, central 31-36 at 7%/85%CF (S200). USD = x1.1306 (2025 avg; 2026 annual FX does not exist yet per D6 — deviation immaterial vs the model’s own overrun band). estimated=Y.</t>
        </is>
      </c>
    </row>
    <row r="35" ht="15" customHeight="1" s="78">
      <c r="A35" s="95" t="inlineStr">
        <is>
          <t>2. HARMONISED-WACC VARIANT — ALL MODELLED (estimated=Y). Method (decision D15): capital component = capex × CRF(WACC, life) ÷ annual generation per kW; residual = published LCOE − capital component (holds fuel, carbon, O&amp;M); harmonised LCOE = capital at common WACC + residual. Common rate:</t>
        </is>
      </c>
      <c r="B35" s="96" t="n"/>
      <c r="C35" s="96" t="n"/>
      <c r="D35" s="96" t="n"/>
      <c r="E35" s="96" t="n"/>
      <c r="F35" s="96" t="n"/>
      <c r="G35" s="96" t="n"/>
      <c r="H35" s="96" t="n"/>
      <c r="I35" s="96" t="n"/>
      <c r="J35" s="96" t="n"/>
      <c r="K35" s="96" t="n"/>
      <c r="L35" s="96" t="n"/>
      <c r="M35" s="96" t="n"/>
      <c r="N35" s="96" t="n"/>
      <c r="O35" s="96" t="n"/>
      <c r="P35" s="96" t="n"/>
      <c r="Q35" s="96" t="n"/>
      <c r="R35" s="96" t="n"/>
    </row>
    <row r="36" ht="15" customHeight="1" s="78">
      <c r="A36" s="98" t="inlineStr">
        <is>
          <t>Common real WACC (editable input; user-approved 2026-07-14):</t>
        </is>
      </c>
      <c r="D36" s="127" t="n">
        <v>0.07000000000000001</v>
      </c>
    </row>
    <row r="37" ht="39" customHeight="1" s="78">
      <c r="A37" s="97" t="inlineStr">
        <is>
          <t>Ctry</t>
        </is>
      </c>
      <c r="B37" s="97" t="inlineStr">
        <is>
          <t>Tech / case</t>
        </is>
      </c>
      <c r="C37" s="97" t="inlineStr">
        <is>
          <t>Basis</t>
        </is>
      </c>
      <c r="D37" s="97" t="inlineStr">
        <is>
          <t>Capex total (loc/kW)</t>
        </is>
      </c>
      <c r="E37" s="97" t="inlineStr">
        <is>
          <t>Gen (MWh/kW·yr)</t>
        </is>
      </c>
      <c r="F37" s="97" t="inlineStr">
        <is>
          <t>Life (y)</t>
        </is>
      </c>
      <c r="G37" s="97" t="inlineStr">
        <is>
          <t>Native WACC</t>
        </is>
      </c>
      <c r="H37" s="97" t="inlineStr">
        <is>
          <t>CRF native</t>
        </is>
      </c>
      <c r="I37" s="97" t="inlineStr">
        <is>
          <t>CRF common</t>
        </is>
      </c>
      <c r="J37" s="97" t="inlineStr">
        <is>
          <t>Capital native (/MWh)</t>
        </is>
      </c>
      <c r="K37" s="97" t="inlineStr">
        <is>
          <t>Published LCOE (loc/MWh)</t>
        </is>
      </c>
      <c r="L37" s="97" t="inlineStr">
        <is>
          <t>Residual</t>
        </is>
      </c>
      <c r="M37" s="97" t="inlineStr">
        <is>
          <t>Resid. chk</t>
        </is>
      </c>
      <c r="N37" s="97" t="inlineStr">
        <is>
          <t>Harmonised (loc/MWh)</t>
        </is>
      </c>
      <c r="O37" s="97" t="inlineStr">
        <is>
          <t>est?</t>
        </is>
      </c>
      <c r="P37" s="97" t="inlineStr">
        <is>
          <t>Real25 USD/MWh</t>
        </is>
      </c>
      <c r="Q37" s="97" t="n"/>
      <c r="R37" s="97" t="inlineStr">
        <is>
          <t>Notes</t>
        </is>
      </c>
    </row>
    <row r="38" ht="15" customHeight="1" s="78">
      <c r="A38" s="98" t="inlineStr">
        <is>
          <t>UK</t>
        </is>
      </c>
      <c r="B38" s="101" t="inlineStr">
        <is>
          <t>CCGT H-class</t>
        </is>
      </c>
      <c r="C38" s="101" t="inlineStr">
        <is>
          <t>DESNZ 2023 inputs</t>
        </is>
      </c>
      <c r="D38" s="104" t="n">
        <v>624.42</v>
      </c>
      <c r="E38" s="111" t="n">
        <v>8.146800000000001</v>
      </c>
      <c r="F38" s="99" t="n">
        <v>25</v>
      </c>
      <c r="G38" s="128" t="n">
        <v>0.075</v>
      </c>
      <c r="H38" s="113">
        <f>G38*(1+G38)^F38/((1+G38)^F38-1)</f>
        <v/>
      </c>
      <c r="I38" s="113">
        <f>$D$36*(1+$D$36)^F38/((1+$D$36)^F38-1)</f>
        <v/>
      </c>
      <c r="J38" s="120">
        <f>D38*H38/E38</f>
        <v/>
      </c>
      <c r="K38" s="104" t="n">
        <v>114</v>
      </c>
      <c r="L38" s="120">
        <f>K38-J38</f>
        <v/>
      </c>
      <c r="M38" s="98">
        <f>IF(L38&lt;0,"NEG-flag","ok")</f>
        <v/>
      </c>
      <c r="N38" s="107">
        <f>D38*I38/E38+L38</f>
        <v/>
      </c>
      <c r="O38" s="121" t="inlineStr">
        <is>
          <t>Y</t>
        </is>
      </c>
      <c r="P38" s="129">
        <f>N38*fx_deflator!$B$6*fx_deflator!$F$6</f>
        <v/>
      </c>
      <c r="R38" s="100" t="inlineStr">
        <is>
          <t>Capex £610/kW + infra £17.3m/1200MW. Gen = 8.76×93%.</t>
        </is>
      </c>
    </row>
    <row r="39" ht="15" customHeight="1" s="78">
      <c r="A39" s="98" t="inlineStr">
        <is>
          <t>UK</t>
        </is>
      </c>
      <c r="B39" s="101" t="inlineStr">
        <is>
          <t>OCGT 300MW 2000h</t>
        </is>
      </c>
      <c r="C39" s="101" t="inlineStr">
        <is>
          <t>DESNZ 2023 inputs</t>
        </is>
      </c>
      <c r="D39" s="104" t="n">
        <v>579.78</v>
      </c>
      <c r="E39" s="111" t="n">
        <v>1.9272</v>
      </c>
      <c r="F39" s="99" t="n">
        <v>25</v>
      </c>
      <c r="G39" s="128" t="n">
        <v>0.07099999999999999</v>
      </c>
      <c r="H39" s="113">
        <f>G39*(1+G39)^F39/((1+G39)^F39-1)</f>
        <v/>
      </c>
      <c r="I39" s="113">
        <f>$D$36*(1+$D$36)^F39/((1+$D$36)^F39-1)</f>
        <v/>
      </c>
      <c r="J39" s="120">
        <f>D39*H39/E39</f>
        <v/>
      </c>
      <c r="K39" s="104" t="n">
        <v>197</v>
      </c>
      <c r="L39" s="120">
        <f>K39-J39</f>
        <v/>
      </c>
      <c r="M39" s="98">
        <f>IF(L39&lt;0,"NEG-flag","ok")</f>
        <v/>
      </c>
      <c r="N39" s="107">
        <f>D39*I39/E39+L39</f>
        <v/>
      </c>
      <c r="O39" s="121" t="inlineStr">
        <is>
          <t>Y</t>
        </is>
      </c>
      <c r="P39" s="129">
        <f>N39*fx_deflator!$B$6*fx_deflator!$F$6</f>
        <v/>
      </c>
      <c r="R39" s="100" t="inlineStr">
        <is>
          <t>£530/kW + £15.5m/311.36MW; 8.76×22%.</t>
        </is>
      </c>
    </row>
    <row r="40" ht="15" customHeight="1" s="78">
      <c r="A40" s="98" t="inlineStr">
        <is>
          <t>UK</t>
        </is>
      </c>
      <c r="B40" s="101" t="inlineStr">
        <is>
          <t>Onshore wind</t>
        </is>
      </c>
      <c r="C40" s="101" t="inlineStr">
        <is>
          <t>DESNZ 2023 inputs</t>
        </is>
      </c>
      <c r="D40" s="104" t="n">
        <v>1304.07</v>
      </c>
      <c r="E40" s="111" t="n">
        <v>3.942</v>
      </c>
      <c r="F40" s="99" t="n">
        <v>25</v>
      </c>
      <c r="G40" s="128" t="n">
        <v>0.052</v>
      </c>
      <c r="H40" s="113">
        <f>G40*(1+G40)^F40/((1+G40)^F40-1)</f>
        <v/>
      </c>
      <c r="I40" s="113">
        <f>$D$36*(1+$D$36)^F40/((1+$D$36)^F40-1)</f>
        <v/>
      </c>
      <c r="J40" s="120">
        <f>D40*H40/E40</f>
        <v/>
      </c>
      <c r="K40" s="104" t="n">
        <v>38</v>
      </c>
      <c r="L40" s="120">
        <f>K40-J40</f>
        <v/>
      </c>
      <c r="M40" s="98">
        <f>IF(L40&lt;0,"NEG-flag","ok")</f>
        <v/>
      </c>
      <c r="N40" s="107">
        <f>D40*I40/E40+L40</f>
        <v/>
      </c>
      <c r="O40" s="121" t="inlineStr">
        <is>
          <t>Y</t>
        </is>
      </c>
      <c r="P40" s="129">
        <f>N40*fx_deflator!$B$6*fx_deflator!$F$6</f>
        <v/>
      </c>
      <c r="R40" s="100" t="inlineStr">
        <is>
          <t>£1,230/kW + £3.8m/51.3MW; 8.76×45%.</t>
        </is>
      </c>
    </row>
    <row r="41" ht="15" customHeight="1" s="78">
      <c r="A41" s="98" t="inlineStr">
        <is>
          <t>UK</t>
        </is>
      </c>
      <c r="B41" s="101" t="inlineStr">
        <is>
          <t>Offshore wind</t>
        </is>
      </c>
      <c r="C41" s="101" t="inlineStr">
        <is>
          <t>DESNZ 2023 inputs</t>
        </is>
      </c>
      <c r="D41" s="104" t="n">
        <v>1694.3</v>
      </c>
      <c r="E41" s="111" t="n">
        <v>5.3436</v>
      </c>
      <c r="F41" s="99" t="n">
        <v>30</v>
      </c>
      <c r="G41" s="128" t="n">
        <v>0.063</v>
      </c>
      <c r="H41" s="113">
        <f>G41*(1+G41)^F41/((1+G41)^F41-1)</f>
        <v/>
      </c>
      <c r="I41" s="113">
        <f>$D$36*(1+$D$36)^F41/((1+$D$36)^F41-1)</f>
        <v/>
      </c>
      <c r="J41" s="120">
        <f>D41*H41/E41</f>
        <v/>
      </c>
      <c r="K41" s="104" t="n">
        <v>44</v>
      </c>
      <c r="L41" s="120">
        <f>K41-J41</f>
        <v/>
      </c>
      <c r="M41" s="98">
        <f>IF(L41&lt;0,"NEG-flag","ok")</f>
        <v/>
      </c>
      <c r="N41" s="107">
        <f>D41*I41/E41+L41</f>
        <v/>
      </c>
      <c r="O41" s="121" t="inlineStr">
        <is>
          <t>Y</t>
        </is>
      </c>
      <c r="P41" s="129">
        <f>N41*fx_deflator!$B$6*fx_deflator!$F$6</f>
        <v/>
      </c>
      <c r="R41" s="100" t="inlineStr">
        <is>
          <t>£1,630/kW + £64.3m/1000MW; 8.76×61%.</t>
        </is>
      </c>
    </row>
    <row r="42" ht="15" customHeight="1" s="78">
      <c r="A42" s="98" t="inlineStr">
        <is>
          <t>UK</t>
        </is>
      </c>
      <c r="B42" s="101" t="inlineStr">
        <is>
          <t>Solar PV large</t>
        </is>
      </c>
      <c r="C42" s="101" t="inlineStr">
        <is>
          <t>DESNZ 2023 inputs</t>
        </is>
      </c>
      <c r="D42" s="104" t="n">
        <v>520</v>
      </c>
      <c r="E42" s="111" t="n">
        <v>0.9636</v>
      </c>
      <c r="F42" s="99" t="n">
        <v>35</v>
      </c>
      <c r="G42" s="128" t="n">
        <v>0.05</v>
      </c>
      <c r="H42" s="113">
        <f>G42*(1+G42)^F42/((1+G42)^F42-1)</f>
        <v/>
      </c>
      <c r="I42" s="113">
        <f>$D$36*(1+$D$36)^F42/((1+$D$36)^F42-1)</f>
        <v/>
      </c>
      <c r="J42" s="120">
        <f>D42*H42/E42</f>
        <v/>
      </c>
      <c r="K42" s="104" t="n">
        <v>41</v>
      </c>
      <c r="L42" s="120">
        <f>K42-J42</f>
        <v/>
      </c>
      <c r="M42" s="98">
        <f>IF(L42&lt;0,"NEG-flag","ok")</f>
        <v/>
      </c>
      <c r="N42" s="107">
        <f>D42*I42/E42+L42</f>
        <v/>
      </c>
      <c r="O42" s="121" t="inlineStr">
        <is>
          <t>Y</t>
        </is>
      </c>
      <c r="P42" s="129">
        <f>N42*fx_deflator!$B$6*fx_deflator!$F$6</f>
        <v/>
      </c>
      <c r="R42" s="100" t="inlineStr">
        <is>
          <t>£450/kW + £1.4m/20MW; 8.76×11%.</t>
        </is>
      </c>
    </row>
    <row r="43" ht="15" customHeight="1" s="78">
      <c r="A43" s="98" t="inlineStr">
        <is>
          <t>DE</t>
        </is>
      </c>
      <c r="B43" s="101" t="inlineStr">
        <is>
          <t>Lignite — min</t>
        </is>
      </c>
      <c r="C43" s="101" t="inlineStr">
        <is>
          <t>ISE 2024 inputs</t>
        </is>
      </c>
      <c r="D43" s="104" t="n">
        <v>1850</v>
      </c>
      <c r="E43" s="111" t="n">
        <v>6.3</v>
      </c>
      <c r="F43" s="99" t="n">
        <v>40</v>
      </c>
      <c r="G43" s="128" t="n">
        <v>0.068</v>
      </c>
      <c r="H43" s="113">
        <f>G43*(1+G43)^F43/((1+G43)^F43-1)</f>
        <v/>
      </c>
      <c r="I43" s="113">
        <f>$D$36*(1+$D$36)^F43/((1+$D$36)^F43-1)</f>
        <v/>
      </c>
      <c r="J43" s="120">
        <f>D43*H43/E43</f>
        <v/>
      </c>
      <c r="K43" s="104" t="n">
        <v>151</v>
      </c>
      <c r="L43" s="120">
        <f>K43-J43</f>
        <v/>
      </c>
      <c r="M43" s="98">
        <f>IF(L43&lt;0,"NEG-flag","ok")</f>
        <v/>
      </c>
      <c r="N43" s="107">
        <f>D43*I43/E43+L43</f>
        <v/>
      </c>
      <c r="O43" s="121" t="inlineStr">
        <is>
          <t>Y</t>
        </is>
      </c>
      <c r="P43" s="129">
        <f>N43*fx_deflator!$C$9*fx_deflator!$F$9</f>
        <v/>
      </c>
      <c r="R43" s="100" t="inlineStr">
        <is>
          <t>Band convention: min = low capex + best FLH.</t>
        </is>
      </c>
    </row>
    <row r="44" ht="15" customHeight="1" s="78">
      <c r="A44" s="98" t="inlineStr">
        <is>
          <t>DE</t>
        </is>
      </c>
      <c r="B44" s="101" t="inlineStr">
        <is>
          <t>Lignite — max</t>
        </is>
      </c>
      <c r="C44" s="101" t="inlineStr">
        <is>
          <t>ISE 2024 inputs</t>
        </is>
      </c>
      <c r="D44" s="104" t="n">
        <v>2550</v>
      </c>
      <c r="E44" s="111" t="n">
        <v>4.3</v>
      </c>
      <c r="F44" s="99" t="n">
        <v>40</v>
      </c>
      <c r="G44" s="128" t="n">
        <v>0.068</v>
      </c>
      <c r="H44" s="113">
        <f>G44*(1+G44)^F44/((1+G44)^F44-1)</f>
        <v/>
      </c>
      <c r="I44" s="113">
        <f>$D$36*(1+$D$36)^F44/((1+$D$36)^F44-1)</f>
        <v/>
      </c>
      <c r="J44" s="120">
        <f>D44*H44/E44</f>
        <v/>
      </c>
      <c r="K44" s="104" t="n">
        <v>257</v>
      </c>
      <c r="L44" s="120">
        <f>K44-J44</f>
        <v/>
      </c>
      <c r="M44" s="98">
        <f>IF(L44&lt;0,"NEG-flag","ok")</f>
        <v/>
      </c>
      <c r="N44" s="107">
        <f>D44*I44/E44+L44</f>
        <v/>
      </c>
      <c r="O44" s="121" t="inlineStr">
        <is>
          <t>Y</t>
        </is>
      </c>
      <c r="P44" s="129">
        <f>N44*fx_deflator!$C$9*fx_deflator!$F$9</f>
        <v/>
      </c>
      <c r="R44" s="100" t="inlineStr">
        <is>
          <t>max = high capex + worst FLH.</t>
        </is>
      </c>
    </row>
    <row r="45" ht="15" customHeight="1" s="78">
      <c r="A45" s="98" t="inlineStr">
        <is>
          <t>DE</t>
        </is>
      </c>
      <c r="B45" s="101" t="inlineStr">
        <is>
          <t>Hard coal — min</t>
        </is>
      </c>
      <c r="C45" s="101" t="inlineStr">
        <is>
          <t>ISE 2024 inputs</t>
        </is>
      </c>
      <c r="D45" s="104" t="n">
        <v>1700</v>
      </c>
      <c r="E45" s="111" t="n">
        <v>5.2</v>
      </c>
      <c r="F45" s="99" t="n">
        <v>30</v>
      </c>
      <c r="G45" s="128" t="n">
        <v>0.068</v>
      </c>
      <c r="H45" s="113">
        <f>G45*(1+G45)^F45/((1+G45)^F45-1)</f>
        <v/>
      </c>
      <c r="I45" s="113">
        <f>$D$36*(1+$D$36)^F45/((1+$D$36)^F45-1)</f>
        <v/>
      </c>
      <c r="J45" s="120">
        <f>D45*H45/E45</f>
        <v/>
      </c>
      <c r="K45" s="104" t="n">
        <v>173</v>
      </c>
      <c r="L45" s="120">
        <f>K45-J45</f>
        <v/>
      </c>
      <c r="M45" s="98">
        <f>IF(L45&lt;0,"NEG-flag","ok")</f>
        <v/>
      </c>
      <c r="N45" s="107">
        <f>D45*I45/E45+L45</f>
        <v/>
      </c>
      <c r="O45" s="121" t="inlineStr">
        <is>
          <t>Y</t>
        </is>
      </c>
      <c r="P45" s="129">
        <f>N45*fx_deflator!$C$9*fx_deflator!$F$9</f>
        <v/>
      </c>
      <c r="R45" s="100" t="n"/>
    </row>
    <row r="46" ht="15" customHeight="1" s="78">
      <c r="A46" s="98" t="inlineStr">
        <is>
          <t>DE</t>
        </is>
      </c>
      <c r="B46" s="101" t="inlineStr">
        <is>
          <t>Hard coal — max</t>
        </is>
      </c>
      <c r="C46" s="101" t="inlineStr">
        <is>
          <t>ISE 2024 inputs</t>
        </is>
      </c>
      <c r="D46" s="104" t="n">
        <v>2300</v>
      </c>
      <c r="E46" s="111" t="n">
        <v>3</v>
      </c>
      <c r="F46" s="99" t="n">
        <v>30</v>
      </c>
      <c r="G46" s="128" t="n">
        <v>0.068</v>
      </c>
      <c r="H46" s="113">
        <f>G46*(1+G46)^F46/((1+G46)^F46-1)</f>
        <v/>
      </c>
      <c r="I46" s="113">
        <f>$D$36*(1+$D$36)^F46/((1+$D$36)^F46-1)</f>
        <v/>
      </c>
      <c r="J46" s="120">
        <f>D46*H46/E46</f>
        <v/>
      </c>
      <c r="K46" s="104" t="n">
        <v>293</v>
      </c>
      <c r="L46" s="120">
        <f>K46-J46</f>
        <v/>
      </c>
      <c r="M46" s="98">
        <f>IF(L46&lt;0,"NEG-flag","ok")</f>
        <v/>
      </c>
      <c r="N46" s="107">
        <f>D46*I46/E46+L46</f>
        <v/>
      </c>
      <c r="O46" s="121" t="inlineStr">
        <is>
          <t>Y</t>
        </is>
      </c>
      <c r="P46" s="129">
        <f>N46*fx_deflator!$C$9*fx_deflator!$F$9</f>
        <v/>
      </c>
      <c r="R46" s="100" t="n"/>
    </row>
    <row r="47" ht="15" customHeight="1" s="78">
      <c r="A47" s="98" t="inlineStr">
        <is>
          <t>DE</t>
        </is>
      </c>
      <c r="B47" s="101" t="inlineStr">
        <is>
          <t>CCGT — min</t>
        </is>
      </c>
      <c r="C47" s="101" t="inlineStr">
        <is>
          <t>ISE 2024 inputs</t>
        </is>
      </c>
      <c r="D47" s="104" t="n">
        <v>900</v>
      </c>
      <c r="E47" s="111" t="n">
        <v>6.3</v>
      </c>
      <c r="F47" s="99" t="n">
        <v>30</v>
      </c>
      <c r="G47" s="128" t="n">
        <v>0.064</v>
      </c>
      <c r="H47" s="113">
        <f>G47*(1+G47)^F47/((1+G47)^F47-1)</f>
        <v/>
      </c>
      <c r="I47" s="113">
        <f>$D$36*(1+$D$36)^F47/((1+$D$36)^F47-1)</f>
        <v/>
      </c>
      <c r="J47" s="120">
        <f>D47*H47/E47</f>
        <v/>
      </c>
      <c r="K47" s="104" t="n">
        <v>109</v>
      </c>
      <c r="L47" s="120">
        <f>K47-J47</f>
        <v/>
      </c>
      <c r="M47" s="98">
        <f>IF(L47&lt;0,"NEG-flag","ok")</f>
        <v/>
      </c>
      <c r="N47" s="107">
        <f>D47*I47/E47+L47</f>
        <v/>
      </c>
      <c r="O47" s="121" t="inlineStr">
        <is>
          <t>Y</t>
        </is>
      </c>
      <c r="P47" s="129">
        <f>N47*fx_deflator!$C$9*fx_deflator!$F$9</f>
        <v/>
      </c>
      <c r="R47" s="100" t="n"/>
    </row>
    <row r="48" ht="15" customHeight="1" s="78">
      <c r="A48" s="98" t="inlineStr">
        <is>
          <t>DE</t>
        </is>
      </c>
      <c r="B48" s="101" t="inlineStr">
        <is>
          <t>CCGT — max</t>
        </is>
      </c>
      <c r="C48" s="101" t="inlineStr">
        <is>
          <t>ISE 2024 inputs</t>
        </is>
      </c>
      <c r="D48" s="104" t="n">
        <v>1300</v>
      </c>
      <c r="E48" s="111" t="n">
        <v>3</v>
      </c>
      <c r="F48" s="99" t="n">
        <v>30</v>
      </c>
      <c r="G48" s="128" t="n">
        <v>0.064</v>
      </c>
      <c r="H48" s="113">
        <f>G48*(1+G48)^F48/((1+G48)^F48-1)</f>
        <v/>
      </c>
      <c r="I48" s="113">
        <f>$D$36*(1+$D$36)^F48/((1+$D$36)^F48-1)</f>
        <v/>
      </c>
      <c r="J48" s="120">
        <f>D48*H48/E48</f>
        <v/>
      </c>
      <c r="K48" s="104" t="n">
        <v>181</v>
      </c>
      <c r="L48" s="120">
        <f>K48-J48</f>
        <v/>
      </c>
      <c r="M48" s="98">
        <f>IF(L48&lt;0,"NEG-flag","ok")</f>
        <v/>
      </c>
      <c r="N48" s="107">
        <f>D48*I48/E48+L48</f>
        <v/>
      </c>
      <c r="O48" s="121" t="inlineStr">
        <is>
          <t>Y</t>
        </is>
      </c>
      <c r="P48" s="129">
        <f>N48*fx_deflator!$C$9*fx_deflator!$F$9</f>
        <v/>
      </c>
      <c r="R48" s="100" t="n"/>
    </row>
    <row r="49" ht="15" customHeight="1" s="78">
      <c r="A49" s="98" t="inlineStr">
        <is>
          <t>DE</t>
        </is>
      </c>
      <c r="B49" s="101" t="inlineStr">
        <is>
          <t>OCGT — min</t>
        </is>
      </c>
      <c r="C49" s="101" t="inlineStr">
        <is>
          <t>ISE 2024 inputs</t>
        </is>
      </c>
      <c r="D49" s="104" t="n">
        <v>450</v>
      </c>
      <c r="E49" s="111" t="n">
        <v>3</v>
      </c>
      <c r="F49" s="99" t="n">
        <v>30</v>
      </c>
      <c r="G49" s="128" t="n">
        <v>0.064</v>
      </c>
      <c r="H49" s="113">
        <f>G49*(1+G49)^F49/((1+G49)^F49-1)</f>
        <v/>
      </c>
      <c r="I49" s="113">
        <f>$D$36*(1+$D$36)^F49/((1+$D$36)^F49-1)</f>
        <v/>
      </c>
      <c r="J49" s="120">
        <f>D49*H49/E49</f>
        <v/>
      </c>
      <c r="K49" s="104" t="n">
        <v>154</v>
      </c>
      <c r="L49" s="120">
        <f>K49-J49</f>
        <v/>
      </c>
      <c r="M49" s="98">
        <f>IF(L49&lt;0,"NEG-flag","ok")</f>
        <v/>
      </c>
      <c r="N49" s="107">
        <f>D49*I49/E49+L49</f>
        <v/>
      </c>
      <c r="O49" s="121" t="inlineStr">
        <is>
          <t>Y</t>
        </is>
      </c>
      <c r="P49" s="129">
        <f>N49*fx_deflator!$C$9*fx_deflator!$F$9</f>
        <v/>
      </c>
      <c r="R49" s="100" t="n"/>
    </row>
    <row r="50" ht="15" customHeight="1" s="78">
      <c r="A50" s="98" t="inlineStr">
        <is>
          <t>DE</t>
        </is>
      </c>
      <c r="B50" s="101" t="inlineStr">
        <is>
          <t>OCGT — max</t>
        </is>
      </c>
      <c r="C50" s="101" t="inlineStr">
        <is>
          <t>ISE 2024 inputs</t>
        </is>
      </c>
      <c r="D50" s="104" t="n">
        <v>700</v>
      </c>
      <c r="E50" s="111" t="n">
        <v>0.5</v>
      </c>
      <c r="F50" s="99" t="n">
        <v>30</v>
      </c>
      <c r="G50" s="128" t="n">
        <v>0.064</v>
      </c>
      <c r="H50" s="113">
        <f>G50*(1+G50)^F50/((1+G50)^F50-1)</f>
        <v/>
      </c>
      <c r="I50" s="113">
        <f>$D$36*(1+$D$36)^F50/((1+$D$36)^F50-1)</f>
        <v/>
      </c>
      <c r="J50" s="120">
        <f>D50*H50/E50</f>
        <v/>
      </c>
      <c r="K50" s="104" t="n">
        <v>326</v>
      </c>
      <c r="L50" s="120">
        <f>K50-J50</f>
        <v/>
      </c>
      <c r="M50" s="98">
        <f>IF(L50&lt;0,"NEG-flag","ok")</f>
        <v/>
      </c>
      <c r="N50" s="107">
        <f>D50*I50/E50+L50</f>
        <v/>
      </c>
      <c r="O50" s="121" t="inlineStr">
        <is>
          <t>Y</t>
        </is>
      </c>
      <c r="P50" s="129">
        <f>N50*fx_deflator!$C$9*fx_deflator!$F$9</f>
        <v/>
      </c>
      <c r="R50" s="100" t="n"/>
    </row>
    <row r="51" ht="15" customHeight="1" s="78">
      <c r="A51" s="98" t="inlineStr">
        <is>
          <t>DE</t>
        </is>
      </c>
      <c r="B51" s="101" t="inlineStr">
        <is>
          <t>Onshore — min</t>
        </is>
      </c>
      <c r="C51" s="101" t="inlineStr">
        <is>
          <t>ISE 2024 inputs</t>
        </is>
      </c>
      <c r="D51" s="104" t="n">
        <v>1300</v>
      </c>
      <c r="E51" s="111" t="n">
        <v>3.2</v>
      </c>
      <c r="F51" s="99" t="n">
        <v>25</v>
      </c>
      <c r="G51" s="128" t="n">
        <v>0.039</v>
      </c>
      <c r="H51" s="113">
        <f>G51*(1+G51)^F51/((1+G51)^F51-1)</f>
        <v/>
      </c>
      <c r="I51" s="113">
        <f>$D$36*(1+$D$36)^F51/((1+$D$36)^F51-1)</f>
        <v/>
      </c>
      <c r="J51" s="120">
        <f>D51*H51/E51</f>
        <v/>
      </c>
      <c r="K51" s="104" t="n">
        <v>43</v>
      </c>
      <c r="L51" s="120">
        <f>K51-J51</f>
        <v/>
      </c>
      <c r="M51" s="98">
        <f>IF(L51&lt;0,"NEG-flag","ok")</f>
        <v/>
      </c>
      <c r="N51" s="107">
        <f>D51*I51/E51+L51</f>
        <v/>
      </c>
      <c r="O51" s="121" t="inlineStr">
        <is>
          <t>Y</t>
        </is>
      </c>
      <c r="P51" s="129">
        <f>N51*fx_deflator!$C$9*fx_deflator!$F$9</f>
        <v/>
      </c>
      <c r="R51" s="100" t="n"/>
    </row>
    <row r="52" ht="15" customHeight="1" s="78">
      <c r="A52" s="98" t="inlineStr">
        <is>
          <t>DE</t>
        </is>
      </c>
      <c r="B52" s="101" t="inlineStr">
        <is>
          <t>Onshore — max</t>
        </is>
      </c>
      <c r="C52" s="101" t="inlineStr">
        <is>
          <t>ISE 2024 inputs</t>
        </is>
      </c>
      <c r="D52" s="104" t="n">
        <v>1900</v>
      </c>
      <c r="E52" s="111" t="n">
        <v>1.8</v>
      </c>
      <c r="F52" s="99" t="n">
        <v>25</v>
      </c>
      <c r="G52" s="128" t="n">
        <v>0.039</v>
      </c>
      <c r="H52" s="113">
        <f>G52*(1+G52)^F52/((1+G52)^F52-1)</f>
        <v/>
      </c>
      <c r="I52" s="113">
        <f>$D$36*(1+$D$36)^F52/((1+$D$36)^F52-1)</f>
        <v/>
      </c>
      <c r="J52" s="120">
        <f>D52*H52/E52</f>
        <v/>
      </c>
      <c r="K52" s="104" t="n">
        <v>92</v>
      </c>
      <c r="L52" s="120">
        <f>K52-J52</f>
        <v/>
      </c>
      <c r="M52" s="98">
        <f>IF(L52&lt;0,"NEG-flag","ok")</f>
        <v/>
      </c>
      <c r="N52" s="107">
        <f>D52*I52/E52+L52</f>
        <v/>
      </c>
      <c r="O52" s="121" t="inlineStr">
        <is>
          <t>Y</t>
        </is>
      </c>
      <c r="P52" s="129">
        <f>N52*fx_deflator!$C$9*fx_deflator!$F$9</f>
        <v/>
      </c>
      <c r="R52" s="100" t="n"/>
    </row>
    <row r="53" ht="15" customHeight="1" s="78">
      <c r="A53" s="98" t="inlineStr">
        <is>
          <t>DE</t>
        </is>
      </c>
      <c r="B53" s="101" t="inlineStr">
        <is>
          <t>Offshore — min</t>
        </is>
      </c>
      <c r="C53" s="101" t="inlineStr">
        <is>
          <t>ISE 2024 inputs</t>
        </is>
      </c>
      <c r="D53" s="104" t="n">
        <v>2200</v>
      </c>
      <c r="E53" s="111" t="n">
        <v>4.5</v>
      </c>
      <c r="F53" s="99" t="n">
        <v>25</v>
      </c>
      <c r="G53" s="128" t="n">
        <v>0.06</v>
      </c>
      <c r="H53" s="113">
        <f>G53*(1+G53)^F53/((1+G53)^F53-1)</f>
        <v/>
      </c>
      <c r="I53" s="113">
        <f>$D$36*(1+$D$36)^F53/((1+$D$36)^F53-1)</f>
        <v/>
      </c>
      <c r="J53" s="120">
        <f>D53*H53/E53</f>
        <v/>
      </c>
      <c r="K53" s="104" t="n">
        <v>55</v>
      </c>
      <c r="L53" s="120">
        <f>K53-J53</f>
        <v/>
      </c>
      <c r="M53" s="98">
        <f>IF(L53&lt;0,"NEG-flag","ok")</f>
        <v/>
      </c>
      <c r="N53" s="107">
        <f>D53*I53/E53+L53</f>
        <v/>
      </c>
      <c r="O53" s="121" t="inlineStr">
        <is>
          <t>Y</t>
        </is>
      </c>
      <c r="P53" s="129">
        <f>N53*fx_deflator!$C$9*fx_deflator!$F$9</f>
        <v/>
      </c>
      <c r="R53" s="100" t="n"/>
    </row>
    <row r="54" ht="15" customHeight="1" s="78">
      <c r="A54" s="98" t="inlineStr">
        <is>
          <t>DE</t>
        </is>
      </c>
      <c r="B54" s="101" t="inlineStr">
        <is>
          <t>Offshore — max</t>
        </is>
      </c>
      <c r="C54" s="101" t="inlineStr">
        <is>
          <t>ISE 2024 inputs</t>
        </is>
      </c>
      <c r="D54" s="104" t="n">
        <v>3400</v>
      </c>
      <c r="E54" s="111" t="n">
        <v>3.2</v>
      </c>
      <c r="F54" s="99" t="n">
        <v>25</v>
      </c>
      <c r="G54" s="128" t="n">
        <v>0.06</v>
      </c>
      <c r="H54" s="113">
        <f>G54*(1+G54)^F54/((1+G54)^F54-1)</f>
        <v/>
      </c>
      <c r="I54" s="113">
        <f>$D$36*(1+$D$36)^F54/((1+$D$36)^F54-1)</f>
        <v/>
      </c>
      <c r="J54" s="120">
        <f>D54*H54/E54</f>
        <v/>
      </c>
      <c r="K54" s="104" t="n">
        <v>103</v>
      </c>
      <c r="L54" s="120">
        <f>K54-J54</f>
        <v/>
      </c>
      <c r="M54" s="98">
        <f>IF(L54&lt;0,"NEG-flag","ok")</f>
        <v/>
      </c>
      <c r="N54" s="107">
        <f>D54*I54/E54+L54</f>
        <v/>
      </c>
      <c r="O54" s="121" t="inlineStr">
        <is>
          <t>Y</t>
        </is>
      </c>
      <c r="P54" s="129">
        <f>N54*fx_deflator!$C$9*fx_deflator!$F$9</f>
        <v/>
      </c>
      <c r="R54" s="100" t="n"/>
    </row>
    <row r="55" ht="15" customHeight="1" s="78">
      <c r="A55" s="98" t="inlineStr">
        <is>
          <t>DE</t>
        </is>
      </c>
      <c r="B55" s="101" t="inlineStr">
        <is>
          <t>Solar PV — min</t>
        </is>
      </c>
      <c r="C55" s="101" t="inlineStr">
        <is>
          <t>ISE 2024 inputs</t>
        </is>
      </c>
      <c r="D55" s="104" t="n">
        <v>700</v>
      </c>
      <c r="E55" s="111" t="n">
        <v>1.28</v>
      </c>
      <c r="F55" s="99" t="n">
        <v>30</v>
      </c>
      <c r="G55" s="128" t="n">
        <v>0.035</v>
      </c>
      <c r="H55" s="113">
        <f>G55*(1+G55)^F55/((1+G55)^F55-1)</f>
        <v/>
      </c>
      <c r="I55" s="113">
        <f>$D$36*(1+$D$36)^F55/((1+$D$36)^F55-1)</f>
        <v/>
      </c>
      <c r="J55" s="120">
        <f>D55*H55/E55</f>
        <v/>
      </c>
      <c r="K55" s="104" t="n">
        <v>41</v>
      </c>
      <c r="L55" s="120">
        <f>K55-J55</f>
        <v/>
      </c>
      <c r="M55" s="98">
        <f>IF(L55&lt;0,"NEG-flag","ok")</f>
        <v/>
      </c>
      <c r="N55" s="107">
        <f>D55*I55/E55+L55</f>
        <v/>
      </c>
      <c r="O55" s="121" t="inlineStr">
        <is>
          <t>Y</t>
        </is>
      </c>
      <c r="P55" s="129">
        <f>N55*fx_deflator!$C$9*fx_deflator!$F$9</f>
        <v/>
      </c>
      <c r="R55" s="100" t="inlineStr">
        <is>
          <t>Yield 1,280 kWh/kWp (South).</t>
        </is>
      </c>
    </row>
    <row r="56" ht="15" customHeight="1" s="78">
      <c r="A56" s="98" t="inlineStr">
        <is>
          <t>DE</t>
        </is>
      </c>
      <c r="B56" s="101" t="inlineStr">
        <is>
          <t>Solar PV — max</t>
        </is>
      </c>
      <c r="C56" s="101" t="inlineStr">
        <is>
          <t>ISE 2024 inputs</t>
        </is>
      </c>
      <c r="D56" s="104" t="n">
        <v>900</v>
      </c>
      <c r="E56" s="111" t="n">
        <v>0.9350000000000001</v>
      </c>
      <c r="F56" s="99" t="n">
        <v>30</v>
      </c>
      <c r="G56" s="128" t="n">
        <v>0.035</v>
      </c>
      <c r="H56" s="113">
        <f>G56*(1+G56)^F56/((1+G56)^F56-1)</f>
        <v/>
      </c>
      <c r="I56" s="113">
        <f>$D$36*(1+$D$36)^F56/((1+$D$36)^F56-1)</f>
        <v/>
      </c>
      <c r="J56" s="120">
        <f>D56*H56/E56</f>
        <v/>
      </c>
      <c r="K56" s="104" t="n">
        <v>69</v>
      </c>
      <c r="L56" s="120">
        <f>K56-J56</f>
        <v/>
      </c>
      <c r="M56" s="98">
        <f>IF(L56&lt;0,"NEG-flag","ok")</f>
        <v/>
      </c>
      <c r="N56" s="107">
        <f>D56*I56/E56+L56</f>
        <v/>
      </c>
      <c r="O56" s="121" t="inlineStr">
        <is>
          <t>Y</t>
        </is>
      </c>
      <c r="P56" s="129">
        <f>N56*fx_deflator!$C$9*fx_deflator!$F$9</f>
        <v/>
      </c>
      <c r="R56" s="100" t="inlineStr">
        <is>
          <t>Yield 935 kWh/kWp (North).</t>
        </is>
      </c>
    </row>
    <row r="57" ht="15" customHeight="1" s="78">
      <c r="A57" s="98" t="inlineStr">
        <is>
          <t>DE</t>
        </is>
      </c>
      <c r="B57" s="101" t="inlineStr">
        <is>
          <t>Nuclear — min</t>
        </is>
      </c>
      <c r="C57" s="101" t="inlineStr">
        <is>
          <t>ISE 2024 inputs</t>
        </is>
      </c>
      <c r="D57" s="104" t="n">
        <v>6000</v>
      </c>
      <c r="E57" s="111" t="n">
        <v>6.3</v>
      </c>
      <c r="F57" s="99" t="n">
        <v>45</v>
      </c>
      <c r="G57" s="128" t="n">
        <v>0.078</v>
      </c>
      <c r="H57" s="113">
        <f>G57*(1+G57)^F57/((1+G57)^F57-1)</f>
        <v/>
      </c>
      <c r="I57" s="113">
        <f>$D$36*(1+$D$36)^F57/((1+$D$36)^F57-1)</f>
        <v/>
      </c>
      <c r="J57" s="120">
        <f>D57*H57/E57</f>
        <v/>
      </c>
      <c r="K57" s="104" t="n">
        <v>136</v>
      </c>
      <c r="L57" s="120">
        <f>K57-J57</f>
        <v/>
      </c>
      <c r="M57" s="98">
        <f>IF(L57&lt;0,"NEG-flag","ok")</f>
        <v/>
      </c>
      <c r="N57" s="107">
        <f>D57*I57/E57+L57</f>
        <v/>
      </c>
      <c r="O57" s="121" t="inlineStr">
        <is>
          <t>Y</t>
        </is>
      </c>
      <c r="P57" s="129">
        <f>N57*fx_deflator!$C$9*fx_deflator!$F$9</f>
        <v/>
      </c>
      <c r="R57" s="100" t="inlineStr">
        <is>
          <t>Excl. back-end (source caveat).</t>
        </is>
      </c>
    </row>
    <row r="58" ht="15" customHeight="1" s="78">
      <c r="A58" s="98" t="inlineStr">
        <is>
          <t>DE</t>
        </is>
      </c>
      <c r="B58" s="101" t="inlineStr">
        <is>
          <t>Nuclear — max</t>
        </is>
      </c>
      <c r="C58" s="101" t="inlineStr">
        <is>
          <t>ISE 2024 inputs</t>
        </is>
      </c>
      <c r="D58" s="104" t="n">
        <v>16000</v>
      </c>
      <c r="E58" s="111" t="n">
        <v>4.3</v>
      </c>
      <c r="F58" s="99" t="n">
        <v>45</v>
      </c>
      <c r="G58" s="128" t="n">
        <v>0.078</v>
      </c>
      <c r="H58" s="113">
        <f>G58*(1+G58)^F58/((1+G58)^F58-1)</f>
        <v/>
      </c>
      <c r="I58" s="113">
        <f>$D$36*(1+$D$36)^F58/((1+$D$36)^F58-1)</f>
        <v/>
      </c>
      <c r="J58" s="120">
        <f>D58*H58/E58</f>
        <v/>
      </c>
      <c r="K58" s="104" t="n">
        <v>490</v>
      </c>
      <c r="L58" s="120">
        <f>K58-J58</f>
        <v/>
      </c>
      <c r="M58" s="98">
        <f>IF(L58&lt;0,"NEG-flag","ok")</f>
        <v/>
      </c>
      <c r="N58" s="107">
        <f>D58*I58/E58+L58</f>
        <v/>
      </c>
      <c r="O58" s="121" t="inlineStr">
        <is>
          <t>Y</t>
        </is>
      </c>
      <c r="P58" s="129">
        <f>N58*fx_deflator!$C$9*fx_deflator!$F$9</f>
        <v/>
      </c>
      <c r="R58" s="100" t="n"/>
    </row>
    <row r="59" ht="21.75" customHeight="1" s="78">
      <c r="A59" s="98" t="inlineStr">
        <is>
          <t>CN</t>
        </is>
      </c>
      <c r="B59" s="101" t="inlineStr">
        <is>
          <t>Coal</t>
        </is>
      </c>
      <c r="C59" s="101" t="inlineStr">
        <is>
          <t>WEO 2025 re-annuitised</t>
        </is>
      </c>
      <c r="D59" s="104" t="n">
        <v>800</v>
      </c>
      <c r="E59" s="111" t="n">
        <v>4.38</v>
      </c>
      <c r="F59" s="99" t="n">
        <v>40</v>
      </c>
      <c r="G59" s="128" t="n">
        <v>0.08500000000000001</v>
      </c>
      <c r="H59" s="113">
        <f>G59*(1+G59)^F59/((1+G59)^F59-1)</f>
        <v/>
      </c>
      <c r="I59" s="113">
        <f>$D$36*(1+$D$36)^F59/((1+$D$36)^F59-1)</f>
        <v/>
      </c>
      <c r="J59" s="120">
        <f>D59*H59/E59</f>
        <v/>
      </c>
      <c r="K59" s="104" t="n">
        <v>65</v>
      </c>
      <c r="L59" s="120">
        <f>K59-J59</f>
        <v/>
      </c>
      <c r="M59" s="98">
        <f>IF(L59&lt;0,"NEG-flag","ok")</f>
        <v/>
      </c>
      <c r="N59" s="107">
        <f>D59*I59/E59+L59</f>
        <v/>
      </c>
      <c r="O59" s="121" t="inlineStr">
        <is>
          <t>Y</t>
        </is>
      </c>
      <c r="P59" s="129">
        <f>N59*fx_deflator!$F$9</f>
        <v/>
      </c>
      <c r="R59" s="100" t="inlineStr">
        <is>
          <t>WACC = mid of WEO 8–9% band (unpublished point — qc Q14); lifetime per EGC convention (qc Q15).</t>
        </is>
      </c>
    </row>
    <row r="60" ht="15" customHeight="1" s="78">
      <c r="A60" s="98" t="inlineStr">
        <is>
          <t>CN</t>
        </is>
      </c>
      <c r="B60" s="101" t="inlineStr">
        <is>
          <t>Gas CCGT</t>
        </is>
      </c>
      <c r="C60" s="101" t="inlineStr">
        <is>
          <t>WEO 2025 re-annuitised</t>
        </is>
      </c>
      <c r="D60" s="104" t="n">
        <v>560</v>
      </c>
      <c r="E60" s="111" t="n">
        <v>2.628</v>
      </c>
      <c r="F60" s="99" t="n">
        <v>30</v>
      </c>
      <c r="G60" s="128" t="n">
        <v>0.08500000000000001</v>
      </c>
      <c r="H60" s="113">
        <f>G60*(1+G60)^F60/((1+G60)^F60-1)</f>
        <v/>
      </c>
      <c r="I60" s="113">
        <f>$D$36*(1+$D$36)^F60/((1+$D$36)^F60-1)</f>
        <v/>
      </c>
      <c r="J60" s="120">
        <f>D60*H60/E60</f>
        <v/>
      </c>
      <c r="K60" s="104" t="n">
        <v>100</v>
      </c>
      <c r="L60" s="120">
        <f>K60-J60</f>
        <v/>
      </c>
      <c r="M60" s="98">
        <f>IF(L60&lt;0,"NEG-flag","ok")</f>
        <v/>
      </c>
      <c r="N60" s="107">
        <f>D60*I60/E60+L60</f>
        <v/>
      </c>
      <c r="O60" s="121" t="inlineStr">
        <is>
          <t>Y</t>
        </is>
      </c>
      <c r="P60" s="129">
        <f>N60*fx_deflator!$F$9</f>
        <v/>
      </c>
      <c r="R60" s="100" t="inlineStr">
        <is>
          <t>As above.</t>
        </is>
      </c>
    </row>
    <row r="61" ht="15" customHeight="1" s="78">
      <c r="A61" s="98" t="inlineStr">
        <is>
          <t>CN</t>
        </is>
      </c>
      <c r="B61" s="101" t="inlineStr">
        <is>
          <t>Nuclear</t>
        </is>
      </c>
      <c r="C61" s="101" t="inlineStr">
        <is>
          <t>WEO 2025 re-annuitised</t>
        </is>
      </c>
      <c r="D61" s="104" t="n">
        <v>2800</v>
      </c>
      <c r="E61" s="111" t="n">
        <v>6.57</v>
      </c>
      <c r="F61" s="99" t="n">
        <v>60</v>
      </c>
      <c r="G61" s="128" t="n">
        <v>0.08500000000000001</v>
      </c>
      <c r="H61" s="113">
        <f>G61*(1+G61)^F61/((1+G61)^F61-1)</f>
        <v/>
      </c>
      <c r="I61" s="113">
        <f>$D$36*(1+$D$36)^F61/((1+$D$36)^F61-1)</f>
        <v/>
      </c>
      <c r="J61" s="120">
        <f>D61*H61/E61</f>
        <v/>
      </c>
      <c r="K61" s="104" t="n">
        <v>70</v>
      </c>
      <c r="L61" s="120">
        <f>K61-J61</f>
        <v/>
      </c>
      <c r="M61" s="98">
        <f>IF(L61&lt;0,"NEG-flag","ok")</f>
        <v/>
      </c>
      <c r="N61" s="107">
        <f>D61*I61/E61+L61</f>
        <v/>
      </c>
      <c r="O61" s="121" t="inlineStr">
        <is>
          <t>Y</t>
        </is>
      </c>
      <c r="P61" s="129">
        <f>N61*fx_deflator!$F$9</f>
        <v/>
      </c>
      <c r="R61" s="100" t="inlineStr">
        <is>
          <t>As above.</t>
        </is>
      </c>
    </row>
    <row r="62" ht="15" customHeight="1" s="78">
      <c r="A62" s="98" t="inlineStr">
        <is>
          <t>CN</t>
        </is>
      </c>
      <c r="B62" s="101" t="inlineStr">
        <is>
          <t>Solar PV</t>
        </is>
      </c>
      <c r="C62" s="101" t="inlineStr">
        <is>
          <t>CREEI re-annuitised</t>
        </is>
      </c>
      <c r="D62" s="104" t="n">
        <v>3450</v>
      </c>
      <c r="E62" s="111" t="n">
        <v>1.2</v>
      </c>
      <c r="F62" s="99" t="n">
        <v>25</v>
      </c>
      <c r="G62" s="128" t="n">
        <v>0.05</v>
      </c>
      <c r="H62" s="113">
        <f>G62*(1+G62)^F62/((1+G62)^F62-1)</f>
        <v/>
      </c>
      <c r="I62" s="113">
        <f>$D$36*(1+$D$36)^F62/((1+$D$36)^F62-1)</f>
        <v/>
      </c>
      <c r="J62" s="120">
        <f>D62*H62/E62</f>
        <v/>
      </c>
      <c r="K62" s="104" t="n">
        <v>200</v>
      </c>
      <c r="L62" s="120">
        <f>K62-J62</f>
        <v/>
      </c>
      <c r="M62" s="98">
        <f>IF(L62&lt;0,"NEG-flag","ok")</f>
        <v/>
      </c>
      <c r="N62" s="107">
        <f>D62*I62/E62+L62</f>
        <v/>
      </c>
      <c r="O62" s="121" t="inlineStr">
        <is>
          <t>Y</t>
        </is>
      </c>
      <c r="P62" s="129">
        <f>N62/fx_deflator!$D$9*fx_deflator!$F$9</f>
        <v/>
      </c>
      <c r="R62" s="100" t="inlineStr">
        <is>
          <t>n=25 assumed (qc Q15). Residual ≈ −4 元/MWh (implied opex ~0) — qc Q18.</t>
        </is>
      </c>
    </row>
    <row r="63" ht="15" customHeight="1" s="78">
      <c r="A63" s="98" t="inlineStr">
        <is>
          <t>CN</t>
        </is>
      </c>
      <c r="B63" s="101" t="inlineStr">
        <is>
          <t>Onshore wind</t>
        </is>
      </c>
      <c r="C63" s="101" t="inlineStr">
        <is>
          <t>CREEI re-annuitised</t>
        </is>
      </c>
      <c r="D63" s="104" t="n">
        <v>4200</v>
      </c>
      <c r="E63" s="111" t="n">
        <v>2</v>
      </c>
      <c r="F63" s="99" t="n">
        <v>25</v>
      </c>
      <c r="G63" s="128" t="n">
        <v>0.05</v>
      </c>
      <c r="H63" s="113">
        <f>G63*(1+G63)^F63/((1+G63)^F63-1)</f>
        <v/>
      </c>
      <c r="I63" s="113">
        <f>$D$36*(1+$D$36)^F63/((1+$D$36)^F63-1)</f>
        <v/>
      </c>
      <c r="J63" s="120">
        <f>D63*H63/E63</f>
        <v/>
      </c>
      <c r="K63" s="104" t="n">
        <v>180</v>
      </c>
      <c r="L63" s="120">
        <f>K63-J63</f>
        <v/>
      </c>
      <c r="M63" s="98">
        <f>IF(L63&lt;0,"NEG-flag","ok")</f>
        <v/>
      </c>
      <c r="N63" s="107">
        <f>D63*I63/E63+L63</f>
        <v/>
      </c>
      <c r="O63" s="121" t="inlineStr">
        <is>
          <t>Y</t>
        </is>
      </c>
      <c r="P63" s="129">
        <f>N63/fx_deflator!$D$9*fx_deflator!$F$9</f>
        <v/>
      </c>
      <c r="R63" s="100" t="inlineStr">
        <is>
          <t>n=25 assumed.</t>
        </is>
      </c>
    </row>
    <row r="64" ht="15" customHeight="1" s="78">
      <c r="A64" s="98" t="inlineStr">
        <is>
          <t>CN</t>
        </is>
      </c>
      <c r="B64" s="101" t="inlineStr">
        <is>
          <t>Offshore wind</t>
        </is>
      </c>
      <c r="C64" s="101" t="inlineStr">
        <is>
          <t>CREEI re-annuitised</t>
        </is>
      </c>
      <c r="D64" s="104" t="n">
        <v>9680</v>
      </c>
      <c r="E64" s="111" t="n">
        <v>2.8</v>
      </c>
      <c r="F64" s="99" t="n">
        <v>25</v>
      </c>
      <c r="G64" s="128" t="n">
        <v>0.05</v>
      </c>
      <c r="H64" s="113">
        <f>G64*(1+G64)^F64/((1+G64)^F64-1)</f>
        <v/>
      </c>
      <c r="I64" s="113">
        <f>$D$36*(1+$D$36)^F64/((1+$D$36)^F64-1)</f>
        <v/>
      </c>
      <c r="J64" s="120">
        <f>D64*H64/E64</f>
        <v/>
      </c>
      <c r="K64" s="104" t="n">
        <v>290</v>
      </c>
      <c r="L64" s="120">
        <f>K64-J64</f>
        <v/>
      </c>
      <c r="M64" s="98">
        <f>IF(L64&lt;0,"NEG-flag","ok")</f>
        <v/>
      </c>
      <c r="N64" s="107">
        <f>D64*I64/E64+L64</f>
        <v/>
      </c>
      <c r="O64" s="121" t="inlineStr">
        <is>
          <t>Y</t>
        </is>
      </c>
      <c r="P64" s="129">
        <f>N64/fx_deflator!$D$9*fx_deflator!$F$9</f>
        <v/>
      </c>
      <c r="R64" s="100" t="inlineStr">
        <is>
          <t>Published band 250–330; mid used (flag).</t>
        </is>
      </c>
    </row>
    <row r="65" ht="21.75" customHeight="1" s="78">
      <c r="A65" s="98" t="inlineStr">
        <is>
          <t>CN</t>
        </is>
      </c>
      <c r="B65" s="101" t="inlineStr">
        <is>
          <t>Coal (published @7%)</t>
        </is>
      </c>
      <c r="C65" s="101" t="inlineStr">
        <is>
          <t>IEA/NEA EGC 2020</t>
        </is>
      </c>
      <c r="K65" s="104" t="n">
        <v>74.66</v>
      </c>
      <c r="N65" s="120">
        <f>K65</f>
        <v/>
      </c>
      <c r="O65" s="98" t="inlineStr">
        <is>
          <t>N</t>
        </is>
      </c>
      <c r="P65" s="129">
        <f>N65*fx_deflator!$F$21</f>
        <v/>
      </c>
      <c r="R65" s="100" t="inlineStr">
        <is>
          <t>PUBLISHED harmonised @7% real, 2018 USD (Tbl 3.12) — no model; cross-check for WEO re-annuitised row. 2020 vintage flagged.</t>
        </is>
      </c>
    </row>
    <row r="66" ht="23.25" customHeight="1" s="78">
      <c r="A66" s="98" t="inlineStr">
        <is>
          <t>CN</t>
        </is>
      </c>
      <c r="B66" s="101" t="inlineStr">
        <is>
          <t>Gas CCGT (published @7%)</t>
        </is>
      </c>
      <c r="C66" s="101" t="inlineStr">
        <is>
          <t>IEA/NEA EGC 2020</t>
        </is>
      </c>
      <c r="K66" s="104" t="n">
        <v>84</v>
      </c>
      <c r="N66" s="120">
        <f>K66</f>
        <v/>
      </c>
      <c r="O66" s="98" t="inlineStr">
        <is>
          <t>N</t>
        </is>
      </c>
      <c r="P66" s="129">
        <f>N66*fx_deflator!$F$21</f>
        <v/>
      </c>
      <c r="R66" s="100" t="inlineStr">
        <is>
          <t>Tbl 3.11a. As above.</t>
        </is>
      </c>
    </row>
    <row r="67" ht="15" customHeight="1" s="78">
      <c r="A67" s="98" t="inlineStr">
        <is>
          <t>CN</t>
        </is>
      </c>
      <c r="B67" s="101" t="inlineStr">
        <is>
          <t>Nuclear (published @7%)</t>
        </is>
      </c>
      <c r="C67" s="101" t="inlineStr">
        <is>
          <t>IEA/NEA EGC 2020</t>
        </is>
      </c>
      <c r="K67" s="104" t="n">
        <v>66.01000000000001</v>
      </c>
      <c r="N67" s="120">
        <f>K67</f>
        <v/>
      </c>
      <c r="O67" s="98" t="inlineStr">
        <is>
          <t>N</t>
        </is>
      </c>
      <c r="P67" s="129">
        <f>N67*fx_deflator!$F$21</f>
        <v/>
      </c>
      <c r="R67" s="100" t="inlineStr">
        <is>
          <t>Tbl 3.13a. As above.</t>
        </is>
      </c>
    </row>
    <row r="69" ht="15" customHeight="1" s="78">
      <c r="A69" s="94" t="inlineStr">
        <is>
          <t>Chart footnote (house rule 1): "Real 2025 USD/MWh. Converted at annual-average market FX. Excludes VAT." All section-2 values modelled (estimated=Y); label as such on every chart.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77" min="1" max="1"/>
    <col width="13" customWidth="1" style="77" min="2" max="7"/>
    <col width="62" customWidth="1" style="77" min="8" max="8"/>
  </cols>
  <sheetData>
    <row r="1" ht="19.5" customHeight="1" s="78">
      <c r="A1" s="93" t="inlineStr">
        <is>
          <t>CHINA T&amp;D PRICES (输配电价) — 工商业 两部制, seven basket provinces. 3rd period (526号, eff. 01.06.2023) and 4th period (1077号, eff. 01.08.2026). Retrieved 2026-07-14 from primary NDRC annex PDFs.</t>
        </is>
      </c>
    </row>
    <row r="2" ht="15" customHeight="1" s="78">
      <c r="A2" s="94" t="inlineStr">
        <is>
          <t>Native units: 电量电价 元/千瓦时; 需量电价 元/千瓦·月; 容量电价 元/千伏安·月. Prices incl. VAT &amp; base-period cross-subsidy; excl. 政府性基金及附加, line loss (per-province 上网环节线损率 noted), system operation fees. Calendar-2026 series = 7/12 × 3rd + 5/12 × 4th (D13-R).</t>
        </is>
      </c>
    </row>
    <row r="4" ht="32.25" customHeight="1" s="78">
      <c r="A4" s="97" t="inlineStr">
        <is>
          <t>Province</t>
        </is>
      </c>
      <c r="B4" s="97" t="inlineStr">
        <is>
          <t>P3 220kV 电量</t>
        </is>
      </c>
      <c r="C4" s="97" t="inlineStr">
        <is>
          <t>P3 220kV 需量</t>
        </is>
      </c>
      <c r="D4" s="97" t="inlineStr">
        <is>
          <t>P4 220kV 电量</t>
        </is>
      </c>
      <c r="E4" s="97" t="inlineStr">
        <is>
          <t>P4 220kV 需量</t>
        </is>
      </c>
      <c r="F4" s="97" t="inlineStr">
        <is>
          <t>P3 10kV 电量</t>
        </is>
      </c>
      <c r="G4" s="97" t="inlineStr">
        <is>
          <t>P4 10kV 电量</t>
        </is>
      </c>
      <c r="H4" s="97" t="inlineStr">
        <is>
          <t>Notes (P3/P4 capacity variants; line-loss rates; source pages)</t>
        </is>
      </c>
    </row>
    <row r="5" ht="26.25" customHeight="1" s="78">
      <c r="A5" s="98" t="inlineStr">
        <is>
          <t>Jiangsu 江苏</t>
        </is>
      </c>
      <c r="B5" s="111" t="n">
        <v>0.0597</v>
      </c>
      <c r="C5" s="123" t="n">
        <v>41.6</v>
      </c>
      <c r="D5" s="111" t="n">
        <v>0.0518</v>
      </c>
      <c r="E5" s="123" t="n">
        <v>41.6</v>
      </c>
      <c r="F5" s="111" t="n">
        <v>0.1357</v>
      </c>
      <c r="G5" s="111" t="n">
        <v>0.1298</v>
      </c>
      <c r="H5" s="122" t="inlineStr">
        <is>
          <t>容量: P3/P4 26.0 (220kV), 32.0 (10kV). 需量 10kV: 51.2/51.2. 线损率: P3 3.18% → P4 省内 2.83%. P4 annex p.12.</t>
        </is>
      </c>
    </row>
    <row r="6" ht="36.75" customHeight="1" s="78">
      <c r="A6" s="98" t="inlineStr">
        <is>
          <t>Guangdong 广东</t>
        </is>
      </c>
      <c r="B6" s="77" t="n">
        <v>0.0457</v>
      </c>
      <c r="C6" s="77" t="n">
        <v>26.1</v>
      </c>
      <c r="D6" s="111" t="n">
        <v>0.0449</v>
      </c>
      <c r="E6" s="123" t="n">
        <v>26.1</v>
      </c>
      <c r="F6" s="77" t="n">
        <v>0.0985</v>
      </c>
      <c r="G6" s="111" t="n">
        <v>0.0979</v>
      </c>
      <c r="H6" s="100" t="inlineStr">
        <is>
          <t>P4: 35~110kV merged class; 容量 16.3 (220kV), 22.6 (10kV); 需量 10kV 36.1; 省内线损率 3.31%; ex-Shenzhen average; annex p.21. P3 extracted 2026-07-15 (annex pp. per page index).</t>
        </is>
      </c>
    </row>
    <row r="7" ht="15" customHeight="1" s="78">
      <c r="A7" s="98" t="inlineStr">
        <is>
          <t>Shandong 山东</t>
        </is>
      </c>
      <c r="B7" s="77" t="n">
        <v>0.1041</v>
      </c>
      <c r="C7" s="77" t="n">
        <v>32</v>
      </c>
      <c r="D7" s="111" t="n">
        <v>0.089</v>
      </c>
      <c r="E7" s="123" t="n">
        <v>32</v>
      </c>
      <c r="F7" s="77" t="n">
        <v>0.1491</v>
      </c>
      <c r="G7" s="111" t="n">
        <v>0.14</v>
      </c>
      <c r="H7" s="100" t="inlineStr">
        <is>
          <t>P4: 容量 20.0/25.0; 需量 10kV 40.0; 线损率 3.07%; annex p.17. P3 extracted 2026-07-15.</t>
        </is>
      </c>
    </row>
    <row r="8" ht="15" customHeight="1" s="78">
      <c r="A8" s="98" t="inlineStr">
        <is>
          <t>Zhejiang 浙江</t>
        </is>
      </c>
      <c r="B8" s="77" t="n">
        <v>0.0688</v>
      </c>
      <c r="C8" s="77" t="n">
        <v>38.3</v>
      </c>
      <c r="D8" s="111" t="n">
        <v>0.0663</v>
      </c>
      <c r="E8" s="123" t="n">
        <v>37.6</v>
      </c>
      <c r="F8" s="77" t="n">
        <v>0.126</v>
      </c>
      <c r="G8" s="111" t="n">
        <v>0.125</v>
      </c>
      <c r="H8" s="100" t="inlineStr">
        <is>
          <t>P4: 容量 23.5/29.5; 需量 10kV 47.2; annex p.13. P3 extracted 2026-07-15.</t>
        </is>
      </c>
    </row>
    <row r="9" ht="15" customHeight="1" s="78">
      <c r="A9" s="98" t="inlineStr">
        <is>
          <t>Henan 河南</t>
        </is>
      </c>
      <c r="B9" s="77" t="n">
        <v>0.103</v>
      </c>
      <c r="C9" s="77" t="n">
        <v>30.5</v>
      </c>
      <c r="D9" s="111" t="n">
        <v>0.098</v>
      </c>
      <c r="E9" s="123" t="n">
        <v>30.4</v>
      </c>
      <c r="F9" s="77" t="n">
        <v>0.168</v>
      </c>
      <c r="G9" s="111" t="n">
        <v>0.1655</v>
      </c>
      <c r="H9" s="100" t="inlineStr">
        <is>
          <t>P4: 容量 19.0/25.0; 需量 10kV 40.0; 省内线损率 4.82%; annex p.18. P3 extracted 2026-07-15.</t>
        </is>
      </c>
    </row>
    <row r="10" ht="36.75" customHeight="1" s="78">
      <c r="A10" s="98" t="inlineStr">
        <is>
          <t>Inner Mongolia 蒙西</t>
        </is>
      </c>
      <c r="B10" s="77" t="n">
        <v>0.0455</v>
      </c>
      <c r="C10" s="77" t="n">
        <v>31.2</v>
      </c>
      <c r="D10" s="111" t="n">
        <v>0.0429</v>
      </c>
      <c r="E10" s="123" t="n">
        <v>31.2</v>
      </c>
      <c r="F10" s="77" t="n">
        <v>0.0795</v>
      </c>
      <c r="G10" s="111" t="n">
        <v>0.07870000000000001</v>
      </c>
      <c r="H10" s="100" t="inlineStr">
        <is>
          <t>P4: 容量 19.5/21.5; 需量 10kV 34.4; 线损率 2.81%; uniquely has &lt;1kV two-part class; annex p.7. Basket uses 蒙西 (west grid) — 蒙东 not extracted (decision-log if needed). P3 extracted 2026-07-15.</t>
        </is>
      </c>
    </row>
    <row r="11" ht="24" customHeight="1" s="78">
      <c r="A11" s="98" t="inlineStr">
        <is>
          <t>Sichuan 四川</t>
        </is>
      </c>
      <c r="B11" s="77" t="n">
        <v>0.0478</v>
      </c>
      <c r="C11" s="77" t="n">
        <v>24</v>
      </c>
      <c r="D11" s="111" t="n">
        <v>0.0466</v>
      </c>
      <c r="E11" s="123" t="n">
        <v>24</v>
      </c>
      <c r="F11" s="77" t="n">
        <v>0.139</v>
      </c>
      <c r="G11" s="111" t="n">
        <v>0.1391</v>
      </c>
      <c r="H11" s="100" t="inlineStr">
        <is>
          <t>P4: 容量 15.0/22.0; 需量 10kV 35.0; 省内线损率 5.64%; extensive hydro-export notes; annex p.26. P3 extracted 2026-07-15.</t>
        </is>
      </c>
    </row>
    <row r="13" ht="15" customHeight="1" s="78">
      <c r="A13" s="94" t="inlineStr">
        <is>
          <t>Sources: 发改价格〔2023〕526号 annex (P020230515609052875117.pdf); 发改价格〔2026〕1077号 annex 1 (P020260710613207914509.pdf) — both ndrc.gov.cn, retrieved 2026-07-14. P4 structural changes: new 单一制 110/220kV classes; standardised 0.03 元/kWh inter-provincial mutual-aid export price; pumped-storage/gas capacity-fee notes removed from tables (系统运行费 definition sits in 发改价格规〔2025〕1490号 — not yet retrieved, qc).</t>
        </is>
      </c>
    </row>
    <row r="14" ht="16.5" customHeight="1" s="78">
      <c r="A14" s="77" t="inlineStr">
        <is>
          <t>P3 values for GD/SD/ZJ/HN/蒙西/SC extracted 2026-07-15 from 526号 annex PDF (in-session re-download, pdfplumber): 两部制 rows, pages 蒙西 p.7, 浙江 p.13, 山东 p.17, 河南 p.18, 广东 p.21, 四川 p.26 (0-indexed). Cross-checks: SD 10kV 0.1491 = SD Oct-2025 bill 输配 0.1491 ✓; HN 10kV 0.1680 = HN May-2025 bill 输配 0.168 ✓. P3 10kV 需量 in stage4_cn.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U13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77" min="1" max="1"/>
    <col width="58" customWidth="1" style="77" min="2" max="2"/>
    <col width="10" customWidth="1" style="77" min="3" max="3"/>
    <col width="9" customWidth="1" style="77" min="4" max="20"/>
    <col width="95" customWidth="1" style="77" min="21" max="21"/>
  </cols>
  <sheetData>
    <row r="1" ht="15.75" customHeight="1" s="78">
      <c r="A1" s="93" t="inlineStr">
        <is>
          <t>ALL-IN PRICE TIME SERIES — stage 4 build (2026-07-15). Both archetypes × E1/E2 × 3 countries, 2010–2026 (D19). Formula-driven from stage4_uk / stage4_de / stage4_cn / cn_td / assumptions. Nominal local currency per MWh; real 2025 USD/MWh block below (no 2026 conversion, D6). E1/E2 are MODELLED, not observed. Build-up EXCLUDES supply cost &amp; margin (function 6) — noted at the validation gate. Blank cell = source gap (anti-fabrication) — see completeness rows.</t>
        </is>
      </c>
    </row>
    <row r="2" ht="708" customHeight="1" s="78">
      <c r="A2" s="100" t="inlineStr">
        <is>
          <t>Structural breaks to mark on every chart — UK: CfD-ILR 2016 · EII exemptions 2018 → 100% 04/2024 · TCR DUoS 04/2022, TNUoS bands + BSUoS reform 04/2023 · NCC 04/2025 (backdated 04/2024), 90% 04/2026 · wholesale = day-ahead PROXY pre-2022 (D22). DE: §19 floors 2014 (2011–13 exemption era not modelled — gap) · Offshore/SPK 2013 · BesAR-2014 redesign · KWKG/Offshore privileged rates company-specific 2017/2019 (E2=E1, D25) · DE-AT split 10/2018 · EEG→0 07/2022, budget 2023 · ÜNB harmonisation 2023 · €6.5bn subsidy 2026 (incidence iii). CN: renormalised basket, coverage row shown (D23) · 2021-10 catalogue end (2021 = Jan–Sep basis) · 代理购电 12/2021 · 526号 06/2023 · 容量电价 2024 · 136号文 06/2025 · 1077号 08/2026 (month-weighted, D13-R). CN E1=E2 (no formal exemption regime — functional equivalents owned in text).</t>
        </is>
      </c>
    </row>
    <row r="4" ht="26.25" customHeight="1" s="78">
      <c r="A4" s="130" t="inlineStr">
        <is>
          <t>Ctry</t>
        </is>
      </c>
      <c r="B4" s="130" t="inlineStr">
        <is>
          <t>Series / component</t>
        </is>
      </c>
      <c r="C4" s="130" t="inlineStr">
        <is>
          <t>Case</t>
        </is>
      </c>
      <c r="D4" s="130" t="n">
        <v>2010</v>
      </c>
      <c r="E4" s="130" t="n">
        <v>2011</v>
      </c>
      <c r="F4" s="130" t="n">
        <v>2012</v>
      </c>
      <c r="G4" s="130" t="n">
        <v>2013</v>
      </c>
      <c r="H4" s="130" t="n">
        <v>2014</v>
      </c>
      <c r="I4" s="130" t="n">
        <v>2015</v>
      </c>
      <c r="J4" s="130" t="n">
        <v>2016</v>
      </c>
      <c r="K4" s="130" t="n">
        <v>2017</v>
      </c>
      <c r="L4" s="130" t="n">
        <v>2018</v>
      </c>
      <c r="M4" s="130" t="n">
        <v>2019</v>
      </c>
      <c r="N4" s="130" t="n">
        <v>2020</v>
      </c>
      <c r="O4" s="130" t="n">
        <v>2021</v>
      </c>
      <c r="P4" s="130" t="n">
        <v>2022</v>
      </c>
      <c r="Q4" s="130" t="n">
        <v>2023</v>
      </c>
      <c r="R4" s="130" t="n">
        <v>2024</v>
      </c>
      <c r="S4" s="130" t="n">
        <v>2025</v>
      </c>
      <c r="T4" s="130" t="n">
        <v>2026</v>
      </c>
      <c r="U4" s="130" t="inlineStr">
        <is>
          <t>Method / source note</t>
        </is>
      </c>
    </row>
    <row r="5" ht="15" customHeight="1" s="78">
      <c r="A5" s="131" t="inlineStr">
        <is>
          <t>UK — LARGE archetype (500 GWh, 8,000h, transmission-connected, Humber zone 5). Nominal £/MWh.</t>
        </is>
      </c>
      <c r="B5" s="132" t="n"/>
      <c r="C5" s="133" t="n"/>
      <c r="D5" s="134" t="n"/>
      <c r="E5" s="134" t="n"/>
      <c r="F5" s="134" t="n"/>
      <c r="G5" s="134" t="n"/>
      <c r="H5" s="134" t="n"/>
      <c r="I5" s="134" t="n"/>
      <c r="J5" s="134" t="n"/>
      <c r="K5" s="134" t="n"/>
      <c r="L5" s="134" t="n"/>
      <c r="M5" s="134" t="n"/>
      <c r="N5" s="134" t="n"/>
      <c r="O5" s="134" t="n"/>
      <c r="P5" s="134" t="n"/>
      <c r="Q5" s="134" t="n"/>
      <c r="R5" s="134" t="n"/>
      <c r="S5" s="134" t="n"/>
      <c r="T5" s="134" t="n"/>
      <c r="U5" s="135" t="n"/>
    </row>
    <row r="6" ht="23.25" customHeight="1" s="78">
      <c r="A6" s="98" t="inlineStr">
        <is>
          <t>UK</t>
        </is>
      </c>
      <c r="B6" s="101" t="inlineStr">
        <is>
          <t>Wholesale (rolling year-ahead; day-ahead PROXY ≤2021, D22)</t>
        </is>
      </c>
      <c r="C6" s="98" t="inlineStr">
        <is>
          <t>E1+E2</t>
        </is>
      </c>
      <c r="D6" s="136">
        <f>stage4_uk!D9</f>
        <v/>
      </c>
      <c r="E6" s="136">
        <f>stage4_uk!E9</f>
        <v/>
      </c>
      <c r="F6" s="136">
        <f>stage4_uk!F9</f>
        <v/>
      </c>
      <c r="G6" s="136">
        <f>stage4_uk!G9</f>
        <v/>
      </c>
      <c r="H6" s="136">
        <f>stage4_uk!H9</f>
        <v/>
      </c>
      <c r="I6" s="136">
        <f>stage4_uk!I9</f>
        <v/>
      </c>
      <c r="J6" s="136">
        <f>stage4_uk!J9</f>
        <v/>
      </c>
      <c r="K6" s="136">
        <f>stage4_uk!K9</f>
        <v/>
      </c>
      <c r="L6" s="136">
        <f>stage4_uk!L9</f>
        <v/>
      </c>
      <c r="M6" s="136">
        <f>stage4_uk!M9</f>
        <v/>
      </c>
      <c r="N6" s="136">
        <f>stage4_uk!N9</f>
        <v/>
      </c>
      <c r="O6" s="136">
        <f>stage4_uk!O9</f>
        <v/>
      </c>
      <c r="P6" s="136">
        <f>stage4_uk!P9</f>
        <v/>
      </c>
      <c r="Q6" s="136">
        <f>stage4_uk!Q9</f>
        <v/>
      </c>
      <c r="R6" s="136">
        <f>stage4_uk!R9</f>
        <v/>
      </c>
      <c r="S6" s="136">
        <f>stage4_uk!S9</f>
        <v/>
      </c>
      <c r="T6" s="136">
        <f>stage4_uk!T9</f>
        <v/>
      </c>
      <c r="U6" s="100" t="inlineStr">
        <is>
          <t>stage4_uk. estimated=Y (annualised); 2010 DA Jun–Dec; 2026 partial obs-yr.</t>
        </is>
      </c>
    </row>
    <row r="7" ht="15" customHeight="1" s="78">
      <c r="A7" s="98" t="inlineStr">
        <is>
          <t>UK</t>
        </is>
      </c>
      <c r="B7" s="101" t="inlineStr">
        <is>
          <t>TNUoS (triad-era £/kW × 1000/h; TCR residual T-Demand4 ×365/MWh from 2023)</t>
        </is>
      </c>
      <c r="C7" s="98" t="inlineStr">
        <is>
          <t>per arch.</t>
        </is>
      </c>
      <c r="D7" s="136">
        <f>stage4_uk!D25*1000/assumptions!$B$7</f>
        <v/>
      </c>
      <c r="E7" s="136">
        <f>stage4_uk!E25*1000/assumptions!$B$7</f>
        <v/>
      </c>
      <c r="F7" s="136">
        <f>stage4_uk!F25*1000/assumptions!$B$7</f>
        <v/>
      </c>
      <c r="G7" s="136">
        <f>stage4_uk!G25*1000/assumptions!$B$7</f>
        <v/>
      </c>
      <c r="H7" s="136">
        <f>stage4_uk!H25*1000/assumptions!$B$7</f>
        <v/>
      </c>
      <c r="I7" s="136">
        <f>stage4_uk!I25*1000/assumptions!$B$7</f>
        <v/>
      </c>
      <c r="J7" s="136">
        <f>stage4_uk!J25*1000/assumptions!$B$7</f>
        <v/>
      </c>
      <c r="K7" s="136">
        <f>stage4_uk!K25*1000/assumptions!$B$7</f>
        <v/>
      </c>
      <c r="L7" s="136">
        <f>stage4_uk!L25*1000/assumptions!$B$7</f>
        <v/>
      </c>
      <c r="M7" s="136">
        <f>stage4_uk!M25*1000/assumptions!$B$7</f>
        <v/>
      </c>
      <c r="N7" s="136">
        <f>stage4_uk!N25*1000/assumptions!$B$7</f>
        <v/>
      </c>
      <c r="O7" s="136">
        <f>stage4_uk!O25*1000/assumptions!$B$7</f>
        <v/>
      </c>
      <c r="P7" s="136">
        <f>stage4_uk!P25*1000/assumptions!$B$7</f>
        <v/>
      </c>
      <c r="Q7" s="136">
        <f>stage4_uk!Q26*365/assumptions!$B$6</f>
        <v/>
      </c>
      <c r="R7" s="136">
        <f>stage4_uk!R26*365/assumptions!$B$6</f>
        <v/>
      </c>
      <c r="S7" s="136">
        <f>stage4_uk!S26*365/assumptions!$B$6</f>
        <v/>
      </c>
      <c r="T7" s="136">
        <f>stage4_uk!T26*365/assumptions!$B$6</f>
        <v/>
      </c>
      <c r="U7" s="100" t="inlineStr">
        <is>
          <t>Flat-baseload: triad demand = avg demand (est=Y). Zone-5 locational zero-floored throughout.</t>
        </is>
      </c>
    </row>
    <row r="8" ht="15" customHeight="1" s="78">
      <c r="A8" s="98" t="inlineStr">
        <is>
          <t>UK</t>
        </is>
      </c>
      <c r="B8" s="101" t="inlineStr">
        <is>
          <t>BSUoS (outturn unweighted avg 2010–22, own comp. from NESO HH RF; FT primary-verified 2023+)</t>
        </is>
      </c>
      <c r="C8" s="98" t="inlineStr">
        <is>
          <t>E1+E2</t>
        </is>
      </c>
      <c r="D8" s="77">
        <f>stage4_uk!D30</f>
        <v/>
      </c>
      <c r="E8" s="77">
        <f>stage4_uk!E30</f>
        <v/>
      </c>
      <c r="F8" s="77">
        <f>stage4_uk!F30</f>
        <v/>
      </c>
      <c r="G8" s="77">
        <f>stage4_uk!G30</f>
        <v/>
      </c>
      <c r="H8" s="77">
        <f>stage4_uk!H30</f>
        <v/>
      </c>
      <c r="I8" s="77">
        <f>stage4_uk!I30</f>
        <v/>
      </c>
      <c r="J8" s="77">
        <f>stage4_uk!J30</f>
        <v/>
      </c>
      <c r="K8" s="77">
        <f>stage4_uk!K30</f>
        <v/>
      </c>
      <c r="L8" s="77">
        <f>stage4_uk!L30</f>
        <v/>
      </c>
      <c r="M8" s="77">
        <f>stage4_uk!M30</f>
        <v/>
      </c>
      <c r="N8" s="77">
        <f>stage4_uk!N30</f>
        <v/>
      </c>
      <c r="O8" s="77">
        <f>stage4_uk!O30</f>
        <v/>
      </c>
      <c r="P8" s="77">
        <f>stage4_uk!P30</f>
        <v/>
      </c>
      <c r="Q8" s="77">
        <f>stage4_uk!Q30</f>
        <v/>
      </c>
      <c r="R8" s="136">
        <f>stage4_uk!R30</f>
        <v/>
      </c>
      <c r="S8" s="136">
        <f>stage4_uk!S30</f>
        <v/>
      </c>
      <c r="T8" s="136">
        <f>stage4_uk!T30</f>
        <v/>
      </c>
      <c r="U8" s="100" t="inlineStr">
        <is>
          <t>Demand-only from 04/2023 (CMP308/361).</t>
        </is>
      </c>
    </row>
    <row r="9" ht="15" customHeight="1" s="78">
      <c r="A9" s="98" t="inlineStr">
        <is>
          <t>UK</t>
        </is>
      </c>
      <c r="B9" s="101" t="inlineStr">
        <is>
          <t>AAHEDC (2010/11–2020/21 from NG final tariff letters; Shetland step 2021/22 flagged)</t>
        </is>
      </c>
      <c r="C9" s="98" t="inlineStr">
        <is>
          <t>E1+E2</t>
        </is>
      </c>
      <c r="D9" s="77">
        <f>stage4_uk!D31*10</f>
        <v/>
      </c>
      <c r="E9" s="77">
        <f>stage4_uk!E31*10</f>
        <v/>
      </c>
      <c r="F9" s="77">
        <f>stage4_uk!F31*10</f>
        <v/>
      </c>
      <c r="G9" s="77">
        <f>stage4_uk!G31*10</f>
        <v/>
      </c>
      <c r="H9" s="77">
        <f>stage4_uk!H31*10</f>
        <v/>
      </c>
      <c r="I9" s="77">
        <f>stage4_uk!I31*10</f>
        <v/>
      </c>
      <c r="J9" s="77">
        <f>stage4_uk!J31*10</f>
        <v/>
      </c>
      <c r="K9" s="77">
        <f>stage4_uk!K31*10</f>
        <v/>
      </c>
      <c r="L9" s="77">
        <f>stage4_uk!L31*10</f>
        <v/>
      </c>
      <c r="M9" s="77">
        <f>stage4_uk!M31*10</f>
        <v/>
      </c>
      <c r="N9" s="77">
        <f>stage4_uk!N31*10</f>
        <v/>
      </c>
      <c r="O9" s="136">
        <f>stage4_uk!O31*10</f>
        <v/>
      </c>
      <c r="P9" s="136">
        <f>stage4_uk!P31*10</f>
        <v/>
      </c>
      <c r="Q9" s="136">
        <f>stage4_uk!Q31*10</f>
        <v/>
      </c>
      <c r="R9" s="136">
        <f>stage4_uk!R31*10</f>
        <v/>
      </c>
      <c r="S9" s="136">
        <f>stage4_uk!S31*10</f>
        <v/>
      </c>
      <c r="T9" s="136">
        <f>stage4_uk!T31*10</f>
        <v/>
      </c>
      <c r="U9" s="100" t="inlineStr">
        <is>
          <t>p/kWh × 10. Excluded from NCC base (unverified — conservative).</t>
        </is>
      </c>
    </row>
    <row r="10" ht="15" customHeight="1" s="78">
      <c r="A10" s="98" t="inlineStr">
        <is>
          <t>UK</t>
        </is>
      </c>
      <c r="B10" s="101" t="inlineStr">
        <is>
          <t>RO (buy-out × obligation)</t>
        </is>
      </c>
      <c r="C10" s="98" t="inlineStr">
        <is>
          <t>E1</t>
        </is>
      </c>
      <c r="D10" s="136">
        <f>stage4_uk!D14</f>
        <v/>
      </c>
      <c r="E10" s="136">
        <f>stage4_uk!E14</f>
        <v/>
      </c>
      <c r="F10" s="136">
        <f>stage4_uk!F14</f>
        <v/>
      </c>
      <c r="G10" s="136">
        <f>stage4_uk!G14</f>
        <v/>
      </c>
      <c r="H10" s="136">
        <f>stage4_uk!H14</f>
        <v/>
      </c>
      <c r="I10" s="136">
        <f>stage4_uk!I14</f>
        <v/>
      </c>
      <c r="J10" s="136">
        <f>stage4_uk!J14</f>
        <v/>
      </c>
      <c r="K10" s="136">
        <f>stage4_uk!K14</f>
        <v/>
      </c>
      <c r="L10" s="136">
        <f>stage4_uk!L14</f>
        <v/>
      </c>
      <c r="M10" s="136">
        <f>stage4_uk!M14</f>
        <v/>
      </c>
      <c r="N10" s="136">
        <f>stage4_uk!N14</f>
        <v/>
      </c>
      <c r="O10" s="136">
        <f>stage4_uk!O14</f>
        <v/>
      </c>
      <c r="P10" s="136">
        <f>stage4_uk!P14</f>
        <v/>
      </c>
      <c r="Q10" s="136">
        <f>stage4_uk!Q14</f>
        <v/>
      </c>
      <c r="R10" s="136">
        <f>stage4_uk!R14</f>
        <v/>
      </c>
      <c r="S10" s="136">
        <f>stage4_uk!S14</f>
        <v/>
      </c>
      <c r="T10" s="136">
        <f>stage4_uk!T14</f>
        <v/>
      </c>
      <c r="U10" s="100" t="inlineStr">
        <is>
          <t>estimated=Y (ignores recycle value).</t>
        </is>
      </c>
    </row>
    <row r="11" ht="15" customHeight="1" s="78">
      <c r="A11" s="98" t="inlineStr">
        <is>
          <t>UK</t>
        </is>
      </c>
      <c r="B11" s="101" t="inlineStr">
        <is>
          <t>CfD ILR annual avg (scheme from 2016; 2015/16 GAP)</t>
        </is>
      </c>
      <c r="C11" s="98" t="inlineStr">
        <is>
          <t>E1</t>
        </is>
      </c>
      <c r="J11" s="136">
        <f>stage4_uk!J19</f>
        <v/>
      </c>
      <c r="K11" s="136">
        <f>stage4_uk!K19</f>
        <v/>
      </c>
      <c r="L11" s="136">
        <f>stage4_uk!L19</f>
        <v/>
      </c>
      <c r="M11" s="136">
        <f>stage4_uk!M19</f>
        <v/>
      </c>
      <c r="N11" s="136">
        <f>stage4_uk!N19</f>
        <v/>
      </c>
      <c r="O11" s="136">
        <f>stage4_uk!O19</f>
        <v/>
      </c>
      <c r="P11" s="136">
        <f>stage4_uk!P19</f>
        <v/>
      </c>
      <c r="Q11" s="136">
        <f>stage4_uk!Q19</f>
        <v/>
      </c>
      <c r="R11" s="136">
        <f>stage4_uk!R19</f>
        <v/>
      </c>
      <c r="S11" s="136">
        <f>stage4_uk!S19</f>
        <v/>
      </c>
      <c r="T11" s="136">
        <f>stage4_uk!T19</f>
        <v/>
      </c>
      <c r="U11" s="100" t="n"/>
    </row>
    <row r="12" ht="15" customHeight="1" s="78">
      <c r="A12" s="98" t="inlineStr">
        <is>
          <t>UK</t>
        </is>
      </c>
      <c r="B12" s="101" t="inlineStr">
        <is>
          <t>FiT levelisation (2010–14 D27 est.; SY16/2025 unpublished — blank)</t>
        </is>
      </c>
      <c r="C12" s="98" t="inlineStr">
        <is>
          <t>E1</t>
        </is>
      </c>
      <c r="D12" s="77">
        <f>stage4_uk!D20</f>
        <v/>
      </c>
      <c r="E12" s="77">
        <f>stage4_uk!E20</f>
        <v/>
      </c>
      <c r="F12" s="77">
        <f>stage4_uk!F20</f>
        <v/>
      </c>
      <c r="G12" s="77">
        <f>stage4_uk!G20</f>
        <v/>
      </c>
      <c r="H12" s="77">
        <f>stage4_uk!H20</f>
        <v/>
      </c>
      <c r="I12" s="77">
        <f>stage4_uk!I20</f>
        <v/>
      </c>
      <c r="J12" s="77">
        <f>stage4_uk!J20</f>
        <v/>
      </c>
      <c r="K12" s="77">
        <f>stage4_uk!K20</f>
        <v/>
      </c>
      <c r="L12" s="77">
        <f>stage4_uk!L20</f>
        <v/>
      </c>
      <c r="M12" s="77">
        <f>stage4_uk!M20</f>
        <v/>
      </c>
      <c r="N12" s="77">
        <f>stage4_uk!N20</f>
        <v/>
      </c>
      <c r="O12" s="77">
        <f>stage4_uk!O20</f>
        <v/>
      </c>
      <c r="P12" s="77">
        <f>stage4_uk!P20</f>
        <v/>
      </c>
      <c r="Q12" s="77">
        <f>stage4_uk!Q20</f>
        <v/>
      </c>
      <c r="R12" s="77">
        <f>stage4_uk!R20</f>
        <v/>
      </c>
      <c r="U12" s="100" t="inlineStr">
        <is>
          <t>Ofgem levelisation notices located.</t>
        </is>
      </c>
    </row>
    <row r="13" ht="15" customHeight="1" s="78">
      <c r="A13" s="98" t="inlineStr">
        <is>
          <t>UK</t>
        </is>
      </c>
      <c r="B13" s="101" t="inlineStr">
        <is>
          <t>Capacity Market (derived per-MWh, D30; 2023 pre-final; scheme from 2016/17)</t>
        </is>
      </c>
      <c r="C13" s="98" t="inlineStr">
        <is>
          <t>E1</t>
        </is>
      </c>
      <c r="K13" s="77">
        <f>stage4_uk!K21</f>
        <v/>
      </c>
      <c r="L13" s="77">
        <f>stage4_uk!L21</f>
        <v/>
      </c>
      <c r="M13" s="77">
        <f>stage4_uk!M21</f>
        <v/>
      </c>
      <c r="N13" s="77">
        <f>stage4_uk!N21</f>
        <v/>
      </c>
      <c r="O13" s="77">
        <f>stage4_uk!O21</f>
        <v/>
      </c>
      <c r="P13" s="77">
        <f>stage4_uk!P21</f>
        <v/>
      </c>
      <c r="Q13" s="77">
        <f>stage4_uk!Q21</f>
        <v/>
      </c>
      <c r="R13" s="77">
        <f>stage4_uk!R21</f>
        <v/>
      </c>
      <c r="S13" s="77">
        <f>stage4_uk!S21</f>
        <v/>
      </c>
      <c r="T13" s="77">
        <f>stage4_uk!T21</f>
        <v/>
      </c>
      <c r="U13" s="100" t="inlineStr">
        <is>
          <t>EMRS Key Payment Figures located. Suspension 11/2018–10/2019.</t>
        </is>
      </c>
    </row>
    <row r="14" ht="23.25" customHeight="1" s="78">
      <c r="A14" s="98" t="inlineStr">
        <is>
          <t>UK</t>
        </is>
      </c>
      <c r="B14" s="101" t="inlineStr">
        <is>
          <t>CCL (main rate) — E1 only. E2 carries ZERO (min/met exemption, D71). Band-average CCL actually paid is measured in r132/r133, not assumed.</t>
        </is>
      </c>
      <c r="C14" s="98" t="inlineStr">
        <is>
          <t>E1+E2</t>
        </is>
      </c>
      <c r="D14" s="136">
        <f>stage4_uk!D22*10</f>
        <v/>
      </c>
      <c r="E14" s="136">
        <f>stage4_uk!E22*10</f>
        <v/>
      </c>
      <c r="F14" s="136">
        <f>stage4_uk!F22*10</f>
        <v/>
      </c>
      <c r="G14" s="136">
        <f>stage4_uk!G22*10</f>
        <v/>
      </c>
      <c r="H14" s="136">
        <f>stage4_uk!H22*10</f>
        <v/>
      </c>
      <c r="I14" s="136">
        <f>stage4_uk!I22*10</f>
        <v/>
      </c>
      <c r="J14" s="136">
        <f>stage4_uk!J22*10</f>
        <v/>
      </c>
      <c r="K14" s="136">
        <f>stage4_uk!K22*10</f>
        <v/>
      </c>
      <c r="L14" s="136">
        <f>stage4_uk!L22*10</f>
        <v/>
      </c>
      <c r="M14" s="136">
        <f>stage4_uk!M22*10</f>
        <v/>
      </c>
      <c r="N14" s="136">
        <f>stage4_uk!N22*10</f>
        <v/>
      </c>
      <c r="O14" s="136">
        <f>stage4_uk!O22*10</f>
        <v/>
      </c>
      <c r="P14" s="136">
        <f>stage4_uk!P22*10</f>
        <v/>
      </c>
      <c r="Q14" s="136">
        <f>stage4_uk!Q22*10</f>
        <v/>
      </c>
      <c r="R14" s="136">
        <f>stage4_uk!R22*10</f>
        <v/>
      </c>
      <c r="S14" s="136">
        <f>stage4_uk!S22*10</f>
        <v/>
      </c>
      <c r="T14" s="136">
        <f>stage4_uk!T22*10</f>
        <v/>
      </c>
      <c r="U14" s="100" t="n"/>
    </row>
    <row r="15" ht="23.25" customHeight="1" s="78">
      <c r="A15" s="98" t="inlineStr">
        <is>
          <t>UK</t>
        </is>
      </c>
      <c r="B15" s="101" t="inlineStr">
        <is>
          <t>E1 TOTAL (statutory, excl supply margin; incl ESL 2025+ via stage4_uk r53; completeness row below)</t>
        </is>
      </c>
      <c r="C15" s="98" t="inlineStr">
        <is>
          <t>E1</t>
        </is>
      </c>
      <c r="D15" s="136">
        <f>SUM(D6:D14)+IF(ISNUMBER(stage4_uk!D53),stage4_uk!D53,0)+IF(ISNUMBER(D107),D107,0)</f>
        <v/>
      </c>
      <c r="E15" s="136">
        <f>SUM(E6:E14)+IF(ISNUMBER(stage4_uk!E53),stage4_uk!E53,0)+IF(ISNUMBER(E107),E107,0)</f>
        <v/>
      </c>
      <c r="F15" s="136">
        <f>SUM(F6:F14)+IF(ISNUMBER(stage4_uk!F53),stage4_uk!F53,0)+IF(ISNUMBER(F107),F107,0)</f>
        <v/>
      </c>
      <c r="G15" s="136">
        <f>SUM(G6:G14)+IF(ISNUMBER(stage4_uk!G53),stage4_uk!G53,0)+IF(ISNUMBER(G107),G107,0)</f>
        <v/>
      </c>
      <c r="H15" s="136">
        <f>SUM(H6:H14)+IF(ISNUMBER(stage4_uk!H53),stage4_uk!H53,0)+IF(ISNUMBER(H107),H107,0)</f>
        <v/>
      </c>
      <c r="I15" s="136">
        <f>SUM(I6:I14)+IF(ISNUMBER(stage4_uk!I53),stage4_uk!I53,0)+IF(ISNUMBER(I107),I107,0)</f>
        <v/>
      </c>
      <c r="J15" s="136">
        <f>SUM(J6:J14)+IF(ISNUMBER(stage4_uk!J53),stage4_uk!J53,0)+IF(ISNUMBER(J107),J107,0)</f>
        <v/>
      </c>
      <c r="K15" s="136">
        <f>SUM(K6:K14)+IF(ISNUMBER(stage4_uk!K53),stage4_uk!K53,0)+IF(ISNUMBER(K107),K107,0)</f>
        <v/>
      </c>
      <c r="L15" s="136">
        <f>SUM(L6:L14)+IF(ISNUMBER(stage4_uk!L53),stage4_uk!L53,0)+IF(ISNUMBER(L107),L107,0)</f>
        <v/>
      </c>
      <c r="M15" s="136">
        <f>SUM(M6:M14)+IF(ISNUMBER(stage4_uk!M53),stage4_uk!M53,0)+IF(ISNUMBER(M107),M107,0)</f>
        <v/>
      </c>
      <c r="N15" s="136">
        <f>SUM(N6:N14)+IF(ISNUMBER(stage4_uk!N53),stage4_uk!N53,0)+IF(ISNUMBER(N107),N107,0)</f>
        <v/>
      </c>
      <c r="O15" s="136">
        <f>SUM(O6:O14)+IF(ISNUMBER(stage4_uk!O53),stage4_uk!O53,0)+IF(ISNUMBER(O107),O107,0)</f>
        <v/>
      </c>
      <c r="P15" s="136">
        <f>SUM(P6:P14)+IF(ISNUMBER(stage4_uk!P53),stage4_uk!P53,0)+IF(ISNUMBER(P107),P107,0)</f>
        <v/>
      </c>
      <c r="Q15" s="136">
        <f>SUM(Q6:Q14)+IF(ISNUMBER(stage4_uk!Q53),stage4_uk!Q53,0)+IF(ISNUMBER(Q107),Q107,0)</f>
        <v/>
      </c>
      <c r="R15" s="136">
        <f>SUM(R6:R14)+IF(ISNUMBER(stage4_uk!R53),stage4_uk!R53,0)+IF(ISNUMBER(R107),R107,0)</f>
        <v/>
      </c>
      <c r="S15" s="136">
        <f>SUM(S6:S14)+IF(ISNUMBER(stage4_uk!S53),stage4_uk!S53,0)+IF(ISNUMBER(S107),S107,0)</f>
        <v/>
      </c>
      <c r="T15" s="136">
        <f>SUM(T6:T14)+IF(ISNUMBER(stage4_uk!T53),stage4_uk!T53,0)+IF(ISNUMBER(T107),T107,0)</f>
        <v/>
      </c>
      <c r="U15" s="100" t="inlineStr">
        <is>
          <t>MODELLED.</t>
        </is>
      </c>
    </row>
    <row r="16" ht="15" customHeight="1" s="78">
      <c r="A16" s="98" t="inlineStr">
        <is>
          <t>UK</t>
        </is>
      </c>
      <c r="B16" s="101" t="inlineStr">
        <is>
          <t>E1/E2 completeness (missing retrieved components)</t>
        </is>
      </c>
      <c r="C16" s="98" t="inlineStr">
        <is>
          <t>note</t>
        </is>
      </c>
      <c r="D16" s="137" t="inlineStr">
        <is>
          <t>complete (FiT D27 est.; DUoS recon. D28 [medium]; CM n/a)</t>
        </is>
      </c>
      <c r="E16" s="137" t="inlineStr">
        <is>
          <t>complete (FiT D27 est.; DUoS recon.; CM n/a)</t>
        </is>
      </c>
      <c r="F16" s="137" t="inlineStr">
        <is>
          <t>complete (FiT D27 est.; DUoS retrieved; CM n/a)</t>
        </is>
      </c>
      <c r="G16" s="137" t="inlineStr">
        <is>
          <t>complete (FiT D27 est.; DUoS recon.; CM n/a)</t>
        </is>
      </c>
      <c r="H16" s="137" t="inlineStr">
        <is>
          <t>complete (FiT D27 est.; DUoS recon.; CM n/a)</t>
        </is>
      </c>
      <c r="I16" s="137" t="inlineStr">
        <is>
          <t>complete (CM n/a)</t>
        </is>
      </c>
      <c r="J16" s="137" t="inlineStr">
        <is>
          <t>complete (CM n/a)</t>
        </is>
      </c>
      <c r="K16" s="137" t="inlineStr">
        <is>
          <t>complete (CM TA est.)</t>
        </is>
      </c>
      <c r="L16" s="137" t="inlineStr">
        <is>
          <t>complete</t>
        </is>
      </c>
      <c r="M16" s="137" t="inlineStr">
        <is>
          <t>complete</t>
        </is>
      </c>
      <c r="N16" s="137" t="inlineStr">
        <is>
          <t>complete</t>
        </is>
      </c>
      <c r="O16" s="137" t="inlineStr">
        <is>
          <t>complete</t>
        </is>
      </c>
      <c r="P16" s="137" t="inlineStr">
        <is>
          <t>complete</t>
        </is>
      </c>
      <c r="Q16" s="137" t="inlineStr">
        <is>
          <t>complete (CM pre-final total — final unpublished)</t>
        </is>
      </c>
      <c r="R16" s="137" t="inlineStr">
        <is>
          <t>complete</t>
        </is>
      </c>
      <c r="S16" s="137" t="inlineStr">
        <is>
          <t>excl FiT 2025/26 (unpublished ~7 £/MWh); ESL est.</t>
        </is>
      </c>
      <c r="T16" s="137" t="inlineStr">
        <is>
          <t>excl FiT; CM in-year; ESL est.; wholesale part-yr</t>
        </is>
      </c>
      <c r="U16" s="100" t="inlineStr">
        <is>
          <t>Understates totals where components missing — gate provisional pre-2024.</t>
        </is>
      </c>
    </row>
    <row r="17" ht="23.25" customHeight="1" s="78">
      <c r="A17" s="98" t="inlineStr">
        <is>
          <t>UK</t>
        </is>
      </c>
      <c r="B17" s="101" t="inlineStr">
        <is>
          <t>E2 network = (TNUoS+BSUoS)×(1−NCC share) + AAHEDC</t>
        </is>
      </c>
      <c r="C17" s="98" t="inlineStr">
        <is>
          <t>E2</t>
        </is>
      </c>
      <c r="D17" s="136">
        <f>(D7+SUM(D8))*(1-IF(ISNUMBER(stage4_uk!D48),stage4_uk!D48,0))+SUM(D9)</f>
        <v/>
      </c>
      <c r="E17" s="136">
        <f>(E7+SUM(E8))*(1-IF(ISNUMBER(stage4_uk!E48),stage4_uk!E48,0))+SUM(E9)</f>
        <v/>
      </c>
      <c r="F17" s="136">
        <f>(F7+SUM(F8))*(1-IF(ISNUMBER(stage4_uk!F48),stage4_uk!F48,0))+SUM(F9)</f>
        <v/>
      </c>
      <c r="G17" s="136">
        <f>(G7+SUM(G8))*(1-IF(ISNUMBER(stage4_uk!G48),stage4_uk!G48,0))+SUM(G9)</f>
        <v/>
      </c>
      <c r="H17" s="136">
        <f>(H7+SUM(H8))*(1-IF(ISNUMBER(stage4_uk!H48),stage4_uk!H48,0))+SUM(H9)</f>
        <v/>
      </c>
      <c r="I17" s="136">
        <f>(I7+SUM(I8))*(1-IF(ISNUMBER(stage4_uk!I48),stage4_uk!I48,0))+SUM(I9)</f>
        <v/>
      </c>
      <c r="J17" s="136">
        <f>(J7+SUM(J8))*(1-IF(ISNUMBER(stage4_uk!J48),stage4_uk!J48,0))+SUM(J9)</f>
        <v/>
      </c>
      <c r="K17" s="136">
        <f>(K7+SUM(K8))*(1-IF(ISNUMBER(stage4_uk!K48),stage4_uk!K48,0))+SUM(K9)</f>
        <v/>
      </c>
      <c r="L17" s="136">
        <f>(L7+SUM(L8))*(1-IF(ISNUMBER(stage4_uk!L48),stage4_uk!L48,0))+SUM(L9)</f>
        <v/>
      </c>
      <c r="M17" s="136">
        <f>(M7+SUM(M8))*(1-IF(ISNUMBER(stage4_uk!M48),stage4_uk!M48,0))+SUM(M9)</f>
        <v/>
      </c>
      <c r="N17" s="136">
        <f>(N7+SUM(N8))*(1-IF(ISNUMBER(stage4_uk!N48),stage4_uk!N48,0))+SUM(N9)</f>
        <v/>
      </c>
      <c r="O17" s="136">
        <f>(O7+SUM(O8))*(1-IF(ISNUMBER(stage4_uk!O48),stage4_uk!O48,0))+SUM(O9)</f>
        <v/>
      </c>
      <c r="P17" s="136">
        <f>(P7+SUM(P8))*(1-IF(ISNUMBER(stage4_uk!P48),stage4_uk!P48,0))+SUM(P9)</f>
        <v/>
      </c>
      <c r="Q17" s="136">
        <f>(Q7+SUM(Q8))*(1-IF(ISNUMBER(stage4_uk!Q48),stage4_uk!Q48,0))+SUM(Q9)</f>
        <v/>
      </c>
      <c r="R17" s="136">
        <f>(R7+SUM(R8))*(1-IF(ISNUMBER(stage4_uk!R48),stage4_uk!R48,0))+SUM(R9)</f>
        <v/>
      </c>
      <c r="S17" s="136">
        <f>(S7+SUM(S8))*(1-IF(ISNUMBER(stage4_uk!S48),stage4_uk!S48,0))+SUM(S9)</f>
        <v/>
      </c>
      <c r="T17" s="136">
        <f>(T7+SUM(T8))*(1-IF(ISNUMBER(stage4_uk!T48),stage4_uk!T48,0))+SUM(T9)</f>
        <v/>
      </c>
      <c r="U17" s="100" t="inlineStr">
        <is>
          <t>NCC 60% 2024–25, 90% 2026 (SI 2026/243); recovered via ESL — incidence (ii).</t>
        </is>
      </c>
    </row>
    <row r="18" ht="15" customHeight="1" s="78">
      <c r="A18" s="98" t="inlineStr">
        <is>
          <t>UK</t>
        </is>
      </c>
      <c r="B18" s="101" t="inlineStr">
        <is>
          <t>E2 levies = RO/CfD/FiT/CM after exemption shares (FiT+CM now live)</t>
        </is>
      </c>
      <c r="C18" s="98" t="inlineStr">
        <is>
          <t>E2</t>
        </is>
      </c>
      <c r="D18" s="136">
        <f>SUM(D10)*(1-IF(ISNUMBER(stage4_uk!D45),stage4_uk!D45,0))+SUM(D11)*(1-IF(ISNUMBER(stage4_uk!D44),stage4_uk!D44,0))+SUM(D12)*(1-IF(ISNUMBER(stage4_uk!D46),stage4_uk!D46,0))+SUM(D13)*(1-IF(ISNUMBER(stage4_uk!D47),stage4_uk!D47,0))</f>
        <v/>
      </c>
      <c r="E18" s="136">
        <f>SUM(E10)*(1-IF(ISNUMBER(stage4_uk!E45),stage4_uk!E45,0))+SUM(E11)*(1-IF(ISNUMBER(stage4_uk!E44),stage4_uk!E44,0))+SUM(E12)*(1-IF(ISNUMBER(stage4_uk!E46),stage4_uk!E46,0))+SUM(E13)*(1-IF(ISNUMBER(stage4_uk!E47),stage4_uk!E47,0))</f>
        <v/>
      </c>
      <c r="F18" s="136">
        <f>SUM(F10)*(1-IF(ISNUMBER(stage4_uk!F45),stage4_uk!F45,0))+SUM(F11)*(1-IF(ISNUMBER(stage4_uk!F44),stage4_uk!F44,0))+SUM(F12)*(1-IF(ISNUMBER(stage4_uk!F46),stage4_uk!F46,0))+SUM(F13)*(1-IF(ISNUMBER(stage4_uk!F47),stage4_uk!F47,0))</f>
        <v/>
      </c>
      <c r="G18" s="136">
        <f>SUM(G10)*(1-IF(ISNUMBER(stage4_uk!G45),stage4_uk!G45,0))+SUM(G11)*(1-IF(ISNUMBER(stage4_uk!G44),stage4_uk!G44,0))+SUM(G12)*(1-IF(ISNUMBER(stage4_uk!G46),stage4_uk!G46,0))+SUM(G13)*(1-IF(ISNUMBER(stage4_uk!G47),stage4_uk!G47,0))</f>
        <v/>
      </c>
      <c r="H18" s="136">
        <f>SUM(H10)*(1-IF(ISNUMBER(stage4_uk!H45),stage4_uk!H45,0))+SUM(H11)*(1-IF(ISNUMBER(stage4_uk!H44),stage4_uk!H44,0))+SUM(H12)*(1-IF(ISNUMBER(stage4_uk!H46),stage4_uk!H46,0))+SUM(H13)*(1-IF(ISNUMBER(stage4_uk!H47),stage4_uk!H47,0))</f>
        <v/>
      </c>
      <c r="I18" s="136">
        <f>SUM(I10)*(1-IF(ISNUMBER(stage4_uk!I45),stage4_uk!I45,0))+SUM(I11)*(1-IF(ISNUMBER(stage4_uk!I44),stage4_uk!I44,0))+SUM(I12)*(1-IF(ISNUMBER(stage4_uk!I46),stage4_uk!I46,0))+SUM(I13)*(1-IF(ISNUMBER(stage4_uk!I47),stage4_uk!I47,0))</f>
        <v/>
      </c>
      <c r="J18" s="136">
        <f>SUM(J10)*(1-IF(ISNUMBER(stage4_uk!J45),stage4_uk!J45,0))+SUM(J11)*(1-IF(ISNUMBER(stage4_uk!J44),stage4_uk!J44,0))+SUM(J12)*(1-IF(ISNUMBER(stage4_uk!J46),stage4_uk!J46,0))+SUM(J13)*(1-IF(ISNUMBER(stage4_uk!J47),stage4_uk!J47,0))</f>
        <v/>
      </c>
      <c r="K18" s="136">
        <f>SUM(K10)*(1-IF(ISNUMBER(stage4_uk!K45),stage4_uk!K45,0))+SUM(K11)*(1-IF(ISNUMBER(stage4_uk!K44),stage4_uk!K44,0))+SUM(K12)*(1-IF(ISNUMBER(stage4_uk!K46),stage4_uk!K46,0))+SUM(K13)*(1-IF(ISNUMBER(stage4_uk!K47),stage4_uk!K47,0))</f>
        <v/>
      </c>
      <c r="L18" s="136">
        <f>SUM(L10)*(1-IF(ISNUMBER(stage4_uk!L45),stage4_uk!L45,0))+SUM(L11)*(1-IF(ISNUMBER(stage4_uk!L44),stage4_uk!L44,0))+SUM(L12)*(1-IF(ISNUMBER(stage4_uk!L46),stage4_uk!L46,0))+SUM(L13)*(1-IF(ISNUMBER(stage4_uk!L47),stage4_uk!L47,0))</f>
        <v/>
      </c>
      <c r="M18" s="136">
        <f>SUM(M10)*(1-IF(ISNUMBER(stage4_uk!M45),stage4_uk!M45,0))+SUM(M11)*(1-IF(ISNUMBER(stage4_uk!M44),stage4_uk!M44,0))+SUM(M12)*(1-IF(ISNUMBER(stage4_uk!M46),stage4_uk!M46,0))+SUM(M13)*(1-IF(ISNUMBER(stage4_uk!M47),stage4_uk!M47,0))</f>
        <v/>
      </c>
      <c r="N18" s="136">
        <f>SUM(N10)*(1-IF(ISNUMBER(stage4_uk!N45),stage4_uk!N45,0))+SUM(N11)*(1-IF(ISNUMBER(stage4_uk!N44),stage4_uk!N44,0))+SUM(N12)*(1-IF(ISNUMBER(stage4_uk!N46),stage4_uk!N46,0))+SUM(N13)*(1-IF(ISNUMBER(stage4_uk!N47),stage4_uk!N47,0))</f>
        <v/>
      </c>
      <c r="O18" s="136">
        <f>SUM(O10)*(1-IF(ISNUMBER(stage4_uk!O45),stage4_uk!O45,0))+SUM(O11)*(1-IF(ISNUMBER(stage4_uk!O44),stage4_uk!O44,0))+SUM(O12)*(1-IF(ISNUMBER(stage4_uk!O46),stage4_uk!O46,0))+SUM(O13)*(1-IF(ISNUMBER(stage4_uk!O47),stage4_uk!O47,0))</f>
        <v/>
      </c>
      <c r="P18" s="136">
        <f>SUM(P10)*(1-IF(ISNUMBER(stage4_uk!P45),stage4_uk!P45,0))+SUM(P11)*(1-IF(ISNUMBER(stage4_uk!P44),stage4_uk!P44,0))+SUM(P12)*(1-IF(ISNUMBER(stage4_uk!P46),stage4_uk!P46,0))+SUM(P13)*(1-IF(ISNUMBER(stage4_uk!P47),stage4_uk!P47,0))</f>
        <v/>
      </c>
      <c r="Q18" s="136">
        <f>SUM(Q10)*(1-IF(ISNUMBER(stage4_uk!Q45),stage4_uk!Q45,0))+SUM(Q11)*(1-IF(ISNUMBER(stage4_uk!Q44),stage4_uk!Q44,0))+SUM(Q12)*(1-IF(ISNUMBER(stage4_uk!Q46),stage4_uk!Q46,0))+SUM(Q13)*(1-IF(ISNUMBER(stage4_uk!Q47),stage4_uk!Q47,0))</f>
        <v/>
      </c>
      <c r="R18" s="136">
        <f>SUM(R10)*(1-IF(ISNUMBER(stage4_uk!R45),stage4_uk!R45,0))+SUM(R11)*(1-IF(ISNUMBER(stage4_uk!R44),stage4_uk!R44,0))+SUM(R12)*(1-IF(ISNUMBER(stage4_uk!R46),stage4_uk!R46,0))+SUM(R13)*(1-IF(ISNUMBER(stage4_uk!R47),stage4_uk!R47,0))</f>
        <v/>
      </c>
      <c r="S18" s="136">
        <f>SUM(S10)*(1-IF(ISNUMBER(stage4_uk!S45),stage4_uk!S45,0))+SUM(S11)*(1-IF(ISNUMBER(stage4_uk!S44),stage4_uk!S44,0))+SUM(S12)*(1-IF(ISNUMBER(stage4_uk!S46),stage4_uk!S46,0))+SUM(S13)*(1-IF(ISNUMBER(stage4_uk!S47),stage4_uk!S47,0))</f>
        <v/>
      </c>
      <c r="T18" s="136">
        <f>SUM(T10)*(1-IF(ISNUMBER(stage4_uk!T45),stage4_uk!T45,0))+SUM(T11)*(1-IF(ISNUMBER(stage4_uk!T44),stage4_uk!T44,0))+SUM(T12)*(1-IF(ISNUMBER(stage4_uk!T46),stage4_uk!T46,0))+SUM(T13)*(1-IF(ISNUMBER(stage4_uk!T47),stage4_uk!T47,0))</f>
        <v/>
      </c>
      <c r="U18" s="100" t="inlineStr">
        <is>
          <t>85% era 2016/2018 → 100% 04/2024. FiT/CM terms absent (series GAP).</t>
        </is>
      </c>
    </row>
    <row r="19" ht="15" customHeight="1" s="78">
      <c r="A19" s="98" t="inlineStr">
        <is>
          <t>UK</t>
        </is>
      </c>
      <c r="B19" s="101" t="inlineStr">
        <is>
          <t>E2 TOTAL (relieved EII; assumes full qualification) — CCL = 0 from D71 2026-07-26: mineralogical and metallurgical processes are EXEMPT from the CCL main rates (HMRC Notice CCL1/3 s3.14 + Annex A, from 01.04.2014), which covers the steel / aluminium / cement archetypes. A non-min/met EII (e.g. paper) would instead pay 8% of the main rate under a CCA — flagged, not modelled.</t>
        </is>
      </c>
      <c r="C19" s="98" t="inlineStr">
        <is>
          <t>E2</t>
        </is>
      </c>
      <c r="D19" s="136">
        <f>D6+D17+D18+IF(ISNUMBER(D108),D108,0)</f>
        <v/>
      </c>
      <c r="E19" s="136">
        <f>E6+E17+E18+IF(ISNUMBER(E108),E108,0)</f>
        <v/>
      </c>
      <c r="F19" s="136">
        <f>F6+F17+F18+IF(ISNUMBER(F108),F108,0)</f>
        <v/>
      </c>
      <c r="G19" s="136">
        <f>G6+G17+G18+IF(ISNUMBER(G108),G108,0)</f>
        <v/>
      </c>
      <c r="H19" s="136">
        <f>H6+H17+H18+IF(ISNUMBER(H108),H108,0)</f>
        <v/>
      </c>
      <c r="I19" s="136">
        <f>I6+I17+I18+IF(ISNUMBER(I108),I108,0)</f>
        <v/>
      </c>
      <c r="J19" s="136">
        <f>J6+J17+J18+IF(ISNUMBER(J108),J108,0)</f>
        <v/>
      </c>
      <c r="K19" s="136">
        <f>K6+K17+K18+IF(ISNUMBER(K108),K108,0)</f>
        <v/>
      </c>
      <c r="L19" s="136">
        <f>L6+L17+L18+IF(ISNUMBER(L108),L108,0)</f>
        <v/>
      </c>
      <c r="M19" s="136">
        <f>M6+M17+M18+IF(ISNUMBER(M108),M108,0)</f>
        <v/>
      </c>
      <c r="N19" s="136">
        <f>N6+N17+N18+IF(ISNUMBER(N108),N108,0)</f>
        <v/>
      </c>
      <c r="O19" s="136">
        <f>O6+O17+O18+IF(ISNUMBER(O108),O108,0)</f>
        <v/>
      </c>
      <c r="P19" s="136">
        <f>P6+P17+P18+IF(ISNUMBER(P108),P108,0)</f>
        <v/>
      </c>
      <c r="Q19" s="136">
        <f>Q6+Q17+Q18+IF(ISNUMBER(Q108),Q108,0)</f>
        <v/>
      </c>
      <c r="R19" s="136">
        <f>R6+R17+R18+IF(ISNUMBER(R108),R108,0)</f>
        <v/>
      </c>
      <c r="S19" s="136">
        <f>S6+S17+S18+IF(ISNUMBER(S108),S108,0)</f>
        <v/>
      </c>
      <c r="T19" s="136">
        <f>T6+T17+T18+IF(ISNUMBER(T108),T108,0)</f>
        <v/>
      </c>
      <c r="U19" s="100" t="inlineStr">
        <is>
          <t>MODELLED. Same completeness caveats as E1.</t>
        </is>
      </c>
    </row>
    <row r="20" ht="15" customHeight="1" s="78">
      <c r="A20" s="98" t="inlineStr">
        <is>
          <t>UK</t>
        </is>
      </c>
      <c r="B20" s="101" t="inlineStr">
        <is>
          <t>OBSERVED: QEP Extra Large band, INCL CCL (D71; validation only)</t>
        </is>
      </c>
      <c r="C20" s="98" t="inlineStr">
        <is>
          <t>obs</t>
        </is>
      </c>
      <c r="D20" s="136">
        <f>stage4_uk!D51*10</f>
        <v/>
      </c>
      <c r="E20" s="136">
        <f>stage4_uk!E51*10</f>
        <v/>
      </c>
      <c r="F20" s="136">
        <f>stage4_uk!F51*10</f>
        <v/>
      </c>
      <c r="G20" s="136">
        <f>stage4_uk!G51*10</f>
        <v/>
      </c>
      <c r="H20" s="136">
        <f>stage4_uk!H51*10</f>
        <v/>
      </c>
      <c r="I20" s="136">
        <f>stage4_uk!I51*10</f>
        <v/>
      </c>
      <c r="J20" s="136">
        <f>stage4_uk!J51*10</f>
        <v/>
      </c>
      <c r="K20" s="136">
        <f>stage4_uk!K51*10</f>
        <v/>
      </c>
      <c r="L20" s="136">
        <f>stage4_uk!L51*10</f>
        <v/>
      </c>
      <c r="M20" s="136">
        <f>stage4_uk!M51*10</f>
        <v/>
      </c>
      <c r="N20" s="136">
        <f>stage4_uk!N51*10</f>
        <v/>
      </c>
      <c r="O20" s="136">
        <f>stage4_uk!O51*10</f>
        <v/>
      </c>
      <c r="P20" s="136">
        <f>stage4_uk!P51*10</f>
        <v/>
      </c>
      <c r="Q20" s="136">
        <f>stage4_uk!Q51*10</f>
        <v/>
      </c>
      <c r="R20" s="136">
        <f>stage4_uk!R51*10</f>
        <v/>
      </c>
      <c r="S20" s="136">
        <f>stage4_uk!S51*10</f>
        <v/>
      </c>
      <c r="U20" s="100" t="inlineStr">
        <is>
          <t>DESNZ QEP 3.4.1 annual. Fully delivered incl margin, EXCL CCL.</t>
        </is>
      </c>
    </row>
    <row r="21" ht="15" customHeight="1" s="78">
      <c r="A21" s="131" t="inlineStr">
        <is>
          <t>UK — MEDIUM archetype (20 GWh, 5,000h, HV distribution, NPg Yorkshire). Nominal £/MWh.</t>
        </is>
      </c>
      <c r="B21" s="132" t="n"/>
      <c r="C21" s="133" t="n"/>
      <c r="D21" s="134" t="n"/>
      <c r="E21" s="134" t="n"/>
      <c r="F21" s="134" t="n"/>
      <c r="G21" s="134" t="n"/>
      <c r="H21" s="134" t="n"/>
      <c r="I21" s="134" t="n"/>
      <c r="J21" s="134" t="n"/>
      <c r="K21" s="134" t="n"/>
      <c r="L21" s="134" t="n"/>
      <c r="M21" s="134" t="n"/>
      <c r="N21" s="134" t="n"/>
      <c r="O21" s="134" t="n"/>
      <c r="P21" s="134" t="n"/>
      <c r="Q21" s="134" t="n"/>
      <c r="R21" s="134" t="n"/>
      <c r="S21" s="134" t="n"/>
      <c r="T21" s="134" t="n"/>
      <c r="U21" s="135" t="n"/>
    </row>
    <row r="22" ht="23.25" customHeight="1" s="78">
      <c r="A22" s="98" t="inlineStr">
        <is>
          <t>UK</t>
        </is>
      </c>
      <c r="B22" s="101" t="inlineStr">
        <is>
          <t>Wholesale (as large)</t>
        </is>
      </c>
      <c r="C22" s="98" t="inlineStr">
        <is>
          <t>E1+E2</t>
        </is>
      </c>
      <c r="D22" s="136">
        <f>stage4_uk!D9</f>
        <v/>
      </c>
      <c r="E22" s="136">
        <f>stage4_uk!E9</f>
        <v/>
      </c>
      <c r="F22" s="136">
        <f>stage4_uk!F9</f>
        <v/>
      </c>
      <c r="G22" s="136">
        <f>stage4_uk!G9</f>
        <v/>
      </c>
      <c r="H22" s="136">
        <f>stage4_uk!H9</f>
        <v/>
      </c>
      <c r="I22" s="136">
        <f>stage4_uk!I9</f>
        <v/>
      </c>
      <c r="J22" s="136">
        <f>stage4_uk!J9</f>
        <v/>
      </c>
      <c r="K22" s="136">
        <f>stage4_uk!K9</f>
        <v/>
      </c>
      <c r="L22" s="136">
        <f>stage4_uk!L9</f>
        <v/>
      </c>
      <c r="M22" s="136">
        <f>stage4_uk!M9</f>
        <v/>
      </c>
      <c r="N22" s="136">
        <f>stage4_uk!N9</f>
        <v/>
      </c>
      <c r="O22" s="136">
        <f>stage4_uk!O9</f>
        <v/>
      </c>
      <c r="P22" s="136">
        <f>stage4_uk!P9</f>
        <v/>
      </c>
      <c r="Q22" s="136">
        <f>stage4_uk!Q9</f>
        <v/>
      </c>
      <c r="R22" s="136">
        <f>stage4_uk!R9</f>
        <v/>
      </c>
      <c r="S22" s="136">
        <f>stage4_uk!S9</f>
        <v/>
      </c>
      <c r="T22" s="136">
        <f>stage4_uk!T9</f>
        <v/>
      </c>
      <c r="U22" s="100" t="n"/>
    </row>
    <row r="23" ht="15" customHeight="1" s="78">
      <c r="A23" s="98" t="inlineStr">
        <is>
          <t>UK</t>
        </is>
      </c>
      <c r="B23" s="101" t="inlineStr">
        <is>
          <t>TNUoS medium (triad-era £/kW ×1000/h; HV4 residual ×365/MWh from 2023)</t>
        </is>
      </c>
      <c r="C23" s="98" t="inlineStr">
        <is>
          <t>per arch.</t>
        </is>
      </c>
      <c r="D23" s="136">
        <f>stage4_uk!D25*1000/assumptions!$C$7</f>
        <v/>
      </c>
      <c r="E23" s="136">
        <f>stage4_uk!E25*1000/assumptions!$C$7</f>
        <v/>
      </c>
      <c r="F23" s="136">
        <f>stage4_uk!F25*1000/assumptions!$C$7</f>
        <v/>
      </c>
      <c r="G23" s="136">
        <f>stage4_uk!G25*1000/assumptions!$C$7</f>
        <v/>
      </c>
      <c r="H23" s="136">
        <f>stage4_uk!H25*1000/assumptions!$C$7</f>
        <v/>
      </c>
      <c r="I23" s="136">
        <f>stage4_uk!I25*1000/assumptions!$C$7</f>
        <v/>
      </c>
      <c r="J23" s="136">
        <f>stage4_uk!J25*1000/assumptions!$C$7</f>
        <v/>
      </c>
      <c r="K23" s="136">
        <f>stage4_uk!K25*1000/assumptions!$C$7</f>
        <v/>
      </c>
      <c r="L23" s="136">
        <f>stage4_uk!L25*1000/assumptions!$C$7</f>
        <v/>
      </c>
      <c r="M23" s="136">
        <f>stage4_uk!M25*1000/assumptions!$C$7</f>
        <v/>
      </c>
      <c r="N23" s="136">
        <f>stage4_uk!N25*1000/assumptions!$C$7</f>
        <v/>
      </c>
      <c r="O23" s="136">
        <f>stage4_uk!O25*1000/assumptions!$C$7</f>
        <v/>
      </c>
      <c r="P23" s="136">
        <f>stage4_uk!P25*1000/assumptions!$C$7</f>
        <v/>
      </c>
      <c r="Q23" s="136">
        <f>stage4_uk!Q27*365/assumptions!$C$6</f>
        <v/>
      </c>
      <c r="R23" s="136">
        <f>stage4_uk!R27*365/assumptions!$C$6</f>
        <v/>
      </c>
      <c r="S23" s="136">
        <f>stage4_uk!S27*365/assumptions!$C$6</f>
        <v/>
      </c>
      <c r="T23" s="136">
        <f>stage4_uk!T27*365/assumptions!$C$6</f>
        <v/>
      </c>
      <c r="U23" s="100" t="inlineStr">
        <is>
          <t>Triad demand = avg operating demand 4 MW (est=Y — a 5,000h plant is assumed operating at triads; qc). HV4 band inferred (D12).</t>
        </is>
      </c>
    </row>
    <row r="24" ht="29.25" customHeight="1" s="78">
      <c r="A24" s="98" t="inlineStr">
        <is>
          <t>UK</t>
        </is>
      </c>
      <c r="B24" s="101" t="inlineStr">
        <is>
          <t>DUoS unit rates (red/amber/green × band-hour shares; uniform-operation weighting, est=Y)</t>
        </is>
      </c>
      <c r="C24" s="98" t="inlineStr">
        <is>
          <t>medium</t>
        </is>
      </c>
      <c r="D24" s="136">
        <f>IF(ISNUMBER(stage4_uk!D34),(stage4_uk!D34*stage4_uk!$D$41+stage4_uk!D35*stage4_uk!$E$41+stage4_uk!D36*stage4_uk!$F$41)*10,"")</f>
        <v/>
      </c>
      <c r="E24" s="136">
        <f>IF(ISNUMBER(stage4_uk!E34),(stage4_uk!E34*stage4_uk!$D$41+stage4_uk!E35*stage4_uk!$E$41+stage4_uk!E36*stage4_uk!$F$41)*10,"")</f>
        <v/>
      </c>
      <c r="F24" s="136">
        <f>IF(ISNUMBER(stage4_uk!F34),(stage4_uk!F34*stage4_uk!$D$41+stage4_uk!F35*stage4_uk!$E$41+stage4_uk!F36*stage4_uk!$F$41)*10,"")</f>
        <v/>
      </c>
      <c r="G24" s="136">
        <f>IF(ISNUMBER(stage4_uk!G34),(stage4_uk!G34*stage4_uk!$D$41+stage4_uk!G35*stage4_uk!$E$41+stage4_uk!G36*stage4_uk!$F$41)*10,"")</f>
        <v/>
      </c>
      <c r="H24" s="136">
        <f>IF(ISNUMBER(stage4_uk!H34),(stage4_uk!H34*stage4_uk!$D$41+stage4_uk!H35*stage4_uk!$E$41+stage4_uk!H36*stage4_uk!$F$41)*10,"")</f>
        <v/>
      </c>
      <c r="I24" s="136">
        <f>IF(ISNUMBER(stage4_uk!I34),(stage4_uk!I34*stage4_uk!$D$41+stage4_uk!I35*stage4_uk!$E$41+stage4_uk!I36*stage4_uk!$F$41)*10,"")</f>
        <v/>
      </c>
      <c r="J24" s="136">
        <f>IF(ISNUMBER(stage4_uk!J34),(stage4_uk!J34*stage4_uk!$D$41+stage4_uk!J35*stage4_uk!$E$41+stage4_uk!J36*stage4_uk!$F$41)*10,"")</f>
        <v/>
      </c>
      <c r="K24" s="136">
        <f>IF(ISNUMBER(stage4_uk!K34),(stage4_uk!K34*stage4_uk!$D$41+stage4_uk!K35*stage4_uk!$E$41+stage4_uk!K36*stage4_uk!$F$41)*10,"")</f>
        <v/>
      </c>
      <c r="L24" s="136">
        <f>IF(ISNUMBER(stage4_uk!L34),(stage4_uk!L34*stage4_uk!$D$41+stage4_uk!L35*stage4_uk!$E$41+stage4_uk!L36*stage4_uk!$F$41)*10,"")</f>
        <v/>
      </c>
      <c r="M24" s="136">
        <f>IF(ISNUMBER(stage4_uk!M34),(stage4_uk!M34*stage4_uk!$D$41+stage4_uk!M35*stage4_uk!$E$41+stage4_uk!M36*stage4_uk!$F$41)*10,"")</f>
        <v/>
      </c>
      <c r="N24" s="136">
        <f>IF(ISNUMBER(stage4_uk!N34),(stage4_uk!N34*stage4_uk!$D$41+stage4_uk!N35*stage4_uk!$E$41+stage4_uk!N36*stage4_uk!$F$41)*10,"")</f>
        <v/>
      </c>
      <c r="O24" s="136">
        <f>IF(ISNUMBER(stage4_uk!O34),(stage4_uk!O34*stage4_uk!$D$41+stage4_uk!O35*stage4_uk!$E$41+stage4_uk!O36*stage4_uk!$F$41)*10,"")</f>
        <v/>
      </c>
      <c r="P24" s="136">
        <f>IF(ISNUMBER(stage4_uk!P34),(stage4_uk!P34*stage4_uk!$D$41+stage4_uk!P35*stage4_uk!$E$41+stage4_uk!P36*stage4_uk!$F$41)*10,"")</f>
        <v/>
      </c>
      <c r="Q24" s="136">
        <f>IF(ISNUMBER(stage4_uk!Q34),(stage4_uk!Q34*stage4_uk!$D$41+stage4_uk!Q35*stage4_uk!$E$41+stage4_uk!Q36*stage4_uk!$F$41)*10,"")</f>
        <v/>
      </c>
      <c r="R24" s="136">
        <f>IF(ISNUMBER(stage4_uk!R34),(stage4_uk!R34*stage4_uk!$D$41+stage4_uk!R35*stage4_uk!$E$41+stage4_uk!R36*stage4_uk!$F$41)*10,"")</f>
        <v/>
      </c>
      <c r="S24" s="136">
        <f>IF(ISNUMBER(stage4_uk!S34),(stage4_uk!S34*stage4_uk!$D$41+stage4_uk!S35*stage4_uk!$E$41+stage4_uk!S36*stage4_uk!$F$41)*10,"")</f>
        <v/>
      </c>
      <c r="T24" s="136">
        <f>IF(ISNUMBER(stage4_uk!T34),(stage4_uk!T34*stage4_uk!$D$41+stage4_uk!T35*stage4_uk!$E$41+stage4_uk!T36*stage4_uk!$F$41)*10,"")</f>
        <v/>
      </c>
      <c r="U24" s="100" t="inlineStr">
        <is>
          <t>2017/18 band definitions differ (flag). GAP 2010–16.</t>
        </is>
      </c>
    </row>
    <row r="25" ht="24" customHeight="1" s="78">
      <c r="A25" s="98" t="inlineStr">
        <is>
          <t>UK</t>
        </is>
      </c>
      <c r="B25" s="101" t="inlineStr">
        <is>
          <t>DUoS fixed (p/MPAN/day; TCR Band-4 residual from 2022)</t>
        </is>
      </c>
      <c r="C25" s="98" t="inlineStr">
        <is>
          <t>medium</t>
        </is>
      </c>
      <c r="D25" s="136">
        <f>IF(ISNUMBER(stage4_uk!D37),stage4_uk!D37*365/100/assumptions!$C$6,"")</f>
        <v/>
      </c>
      <c r="E25" s="136">
        <f>IF(ISNUMBER(stage4_uk!E37),stage4_uk!E37*365/100/assumptions!$C$6,"")</f>
        <v/>
      </c>
      <c r="F25" s="136">
        <f>IF(ISNUMBER(stage4_uk!F37),stage4_uk!F37*365/100/assumptions!$C$6,"")</f>
        <v/>
      </c>
      <c r="G25" s="136">
        <f>IF(ISNUMBER(stage4_uk!G37),stage4_uk!G37*365/100/assumptions!$C$6,"")</f>
        <v/>
      </c>
      <c r="H25" s="136">
        <f>IF(ISNUMBER(stage4_uk!H37),stage4_uk!H37*365/100/assumptions!$C$6,"")</f>
        <v/>
      </c>
      <c r="I25" s="136">
        <f>IF(ISNUMBER(stage4_uk!I37),stage4_uk!I37*365/100/assumptions!$C$6,"")</f>
        <v/>
      </c>
      <c r="J25" s="136">
        <f>IF(ISNUMBER(stage4_uk!J37),stage4_uk!J37*365/100/assumptions!$C$6,"")</f>
        <v/>
      </c>
      <c r="K25" s="136">
        <f>IF(ISNUMBER(stage4_uk!K37),stage4_uk!K37*365/100/assumptions!$C$6,"")</f>
        <v/>
      </c>
      <c r="L25" s="136">
        <f>IF(ISNUMBER(stage4_uk!L37),stage4_uk!L37*365/100/assumptions!$C$6,"")</f>
        <v/>
      </c>
      <c r="M25" s="136">
        <f>IF(ISNUMBER(stage4_uk!M37),stage4_uk!M37*365/100/assumptions!$C$6,"")</f>
        <v/>
      </c>
      <c r="N25" s="136">
        <f>IF(ISNUMBER(stage4_uk!N37),stage4_uk!N37*365/100/assumptions!$C$6,"")</f>
        <v/>
      </c>
      <c r="O25" s="136">
        <f>IF(ISNUMBER(stage4_uk!O37),stage4_uk!O37*365/100/assumptions!$C$6,"")</f>
        <v/>
      </c>
      <c r="P25" s="136">
        <f>IF(ISNUMBER(stage4_uk!P37),stage4_uk!P37*365/100/assumptions!$C$6,"")</f>
        <v/>
      </c>
      <c r="Q25" s="136">
        <f>IF(ISNUMBER(stage4_uk!Q37),stage4_uk!Q37*365/100/assumptions!$C$6,"")</f>
        <v/>
      </c>
      <c r="R25" s="136">
        <f>IF(ISNUMBER(stage4_uk!R37),stage4_uk!R37*365/100/assumptions!$C$6,"")</f>
        <v/>
      </c>
      <c r="S25" s="136">
        <f>IF(ISNUMBER(stage4_uk!S37),stage4_uk!S37*365/100/assumptions!$C$6,"")</f>
        <v/>
      </c>
      <c r="T25" s="136">
        <f>IF(ISNUMBER(stage4_uk!T37),stage4_uk!T37*365/100/assumptions!$C$6,"")</f>
        <v/>
      </c>
      <c r="U25" s="100" t="n"/>
    </row>
    <row r="26" ht="26.25" customHeight="1" s="78">
      <c r="A26" s="98" t="inlineStr">
        <is>
          <t>UK</t>
        </is>
      </c>
      <c r="B26" s="101" t="inlineStr">
        <is>
          <t>DUoS capacity (p/kVA/day × agreed kVA; kVA = avg MW × 1000, pf≈1 est=Y)</t>
        </is>
      </c>
      <c r="C26" s="98" t="inlineStr">
        <is>
          <t>medium</t>
        </is>
      </c>
      <c r="D26" s="136">
        <f>IF(ISNUMBER(stage4_uk!D38),stage4_uk!D38*assumptions!$C$8*1000*365/100/assumptions!$C$6,"")</f>
        <v/>
      </c>
      <c r="E26" s="136">
        <f>IF(ISNUMBER(stage4_uk!E38),stage4_uk!E38*assumptions!$C$8*1000*365/100/assumptions!$C$6,"")</f>
        <v/>
      </c>
      <c r="F26" s="136">
        <f>IF(ISNUMBER(stage4_uk!F38),stage4_uk!F38*assumptions!$C$8*1000*365/100/assumptions!$C$6,"")</f>
        <v/>
      </c>
      <c r="G26" s="136">
        <f>IF(ISNUMBER(stage4_uk!G38),stage4_uk!G38*assumptions!$C$8*1000*365/100/assumptions!$C$6,"")</f>
        <v/>
      </c>
      <c r="H26" s="136">
        <f>IF(ISNUMBER(stage4_uk!H38),stage4_uk!H38*assumptions!$C$8*1000*365/100/assumptions!$C$6,"")</f>
        <v/>
      </c>
      <c r="I26" s="136">
        <f>IF(ISNUMBER(stage4_uk!I38),stage4_uk!I38*assumptions!$C$8*1000*365/100/assumptions!$C$6,"")</f>
        <v/>
      </c>
      <c r="J26" s="136">
        <f>IF(ISNUMBER(stage4_uk!J38),stage4_uk!J38*assumptions!$C$8*1000*365/100/assumptions!$C$6,"")</f>
        <v/>
      </c>
      <c r="K26" s="136">
        <f>IF(ISNUMBER(stage4_uk!K38),stage4_uk!K38*assumptions!$C$8*1000*365/100/assumptions!$C$6,"")</f>
        <v/>
      </c>
      <c r="L26" s="136">
        <f>IF(ISNUMBER(stage4_uk!L38),stage4_uk!L38*assumptions!$C$8*1000*365/100/assumptions!$C$6,"")</f>
        <v/>
      </c>
      <c r="M26" s="136">
        <f>IF(ISNUMBER(stage4_uk!M38),stage4_uk!M38*assumptions!$C$8*1000*365/100/assumptions!$C$6,"")</f>
        <v/>
      </c>
      <c r="N26" s="136">
        <f>IF(ISNUMBER(stage4_uk!N38),stage4_uk!N38*assumptions!$C$8*1000*365/100/assumptions!$C$6,"")</f>
        <v/>
      </c>
      <c r="O26" s="136">
        <f>IF(ISNUMBER(stage4_uk!O38),stage4_uk!O38*assumptions!$C$8*1000*365/100/assumptions!$C$6,"")</f>
        <v/>
      </c>
      <c r="P26" s="136">
        <f>IF(ISNUMBER(stage4_uk!P38),stage4_uk!P38*assumptions!$C$8*1000*365/100/assumptions!$C$6,"")</f>
        <v/>
      </c>
      <c r="Q26" s="136">
        <f>IF(ISNUMBER(stage4_uk!Q38),stage4_uk!Q38*assumptions!$C$8*1000*365/100/assumptions!$C$6,"")</f>
        <v/>
      </c>
      <c r="R26" s="136">
        <f>IF(ISNUMBER(stage4_uk!R38),stage4_uk!R38*assumptions!$C$8*1000*365/100/assumptions!$C$6,"")</f>
        <v/>
      </c>
      <c r="S26" s="136">
        <f>IF(ISNUMBER(stage4_uk!S38),stage4_uk!S38*assumptions!$C$8*1000*365/100/assumptions!$C$6,"")</f>
        <v/>
      </c>
      <c r="T26" s="136">
        <f>IF(ISNUMBER(stage4_uk!T38),stage4_uk!T38*assumptions!$C$8*1000*365/100/assumptions!$C$6,"")</f>
        <v/>
      </c>
      <c r="U26" s="100" t="inlineStr">
        <is>
          <t>Reactive not modelled (pf≈1).</t>
        </is>
      </c>
    </row>
    <row r="27" ht="15" customHeight="1" s="78">
      <c r="A27" s="77" t="inlineStr">
        <is>
          <t>UK</t>
        </is>
      </c>
      <c r="B27" s="77" t="inlineStr">
        <is>
          <t>BSUoS / AAHEDC / RO / CfD / FiT / CM / CCL / ESL (as large)</t>
        </is>
      </c>
      <c r="C27" s="77" t="inlineStr">
        <is>
          <t>E1</t>
        </is>
      </c>
      <c r="D27" s="136">
        <f>SUM(D8)+SUM(D9)+D10+SUM(D11)+SUM(D12)+SUM(D13)+D14+IF(ISNUMBER(stage4_uk!D53),stage4_uk!D53,0)</f>
        <v/>
      </c>
      <c r="E27" s="136">
        <f>SUM(E8)+SUM(E9)+E10+SUM(E11)+SUM(E12)+SUM(E13)+E14+IF(ISNUMBER(stage4_uk!E53),stage4_uk!E53,0)</f>
        <v/>
      </c>
      <c r="F27" s="136">
        <f>SUM(F8)+SUM(F9)+F10+SUM(F11)+SUM(F12)+SUM(F13)+F14+IF(ISNUMBER(stage4_uk!F53),stage4_uk!F53,0)</f>
        <v/>
      </c>
      <c r="G27" s="136">
        <f>SUM(G8)+SUM(G9)+G10+SUM(G11)+SUM(G12)+SUM(G13)+G14+IF(ISNUMBER(stage4_uk!G53),stage4_uk!G53,0)</f>
        <v/>
      </c>
      <c r="H27" s="136">
        <f>SUM(H8)+SUM(H9)+H10+SUM(H11)+SUM(H12)+SUM(H13)+H14+IF(ISNUMBER(stage4_uk!H53),stage4_uk!H53,0)</f>
        <v/>
      </c>
      <c r="I27" s="136">
        <f>SUM(I8)+SUM(I9)+I10+SUM(I11)+SUM(I12)+SUM(I13)+I14+IF(ISNUMBER(stage4_uk!I53),stage4_uk!I53,0)</f>
        <v/>
      </c>
      <c r="J27" s="136">
        <f>SUM(J8)+SUM(J9)+J10+SUM(J11)+SUM(J12)+SUM(J13)+J14+IF(ISNUMBER(stage4_uk!J53),stage4_uk!J53,0)</f>
        <v/>
      </c>
      <c r="K27" s="136">
        <f>SUM(K8)+SUM(K9)+K10+SUM(K11)+SUM(K12)+SUM(K13)+K14+IF(ISNUMBER(stage4_uk!K53),stage4_uk!K53,0)</f>
        <v/>
      </c>
      <c r="L27" s="136">
        <f>SUM(L8)+SUM(L9)+L10+SUM(L11)+SUM(L12)+SUM(L13)+L14+IF(ISNUMBER(stage4_uk!L53),stage4_uk!L53,0)</f>
        <v/>
      </c>
      <c r="M27" s="136">
        <f>SUM(M8)+SUM(M9)+M10+SUM(M11)+SUM(M12)+SUM(M13)+M14+IF(ISNUMBER(stage4_uk!M53),stage4_uk!M53,0)</f>
        <v/>
      </c>
      <c r="N27" s="136">
        <f>SUM(N8)+SUM(N9)+N10+SUM(N11)+SUM(N12)+SUM(N13)+N14+IF(ISNUMBER(stage4_uk!N53),stage4_uk!N53,0)</f>
        <v/>
      </c>
      <c r="O27" s="136">
        <f>SUM(O8)+SUM(O9)+O10+SUM(O11)+SUM(O12)+SUM(O13)+O14+IF(ISNUMBER(stage4_uk!O53),stage4_uk!O53,0)</f>
        <v/>
      </c>
      <c r="P27" s="136">
        <f>SUM(P8)+SUM(P9)+P10+SUM(P11)+SUM(P12)+SUM(P13)+P14+IF(ISNUMBER(stage4_uk!P53),stage4_uk!P53,0)</f>
        <v/>
      </c>
      <c r="Q27" s="136">
        <f>SUM(Q8)+SUM(Q9)+Q10+SUM(Q11)+SUM(Q12)+SUM(Q13)+Q14+IF(ISNUMBER(stage4_uk!Q53),stage4_uk!Q53,0)</f>
        <v/>
      </c>
      <c r="R27" s="136">
        <f>SUM(R8)+SUM(R9)+R10+SUM(R11)+SUM(R12)+SUM(R13)+R14+IF(ISNUMBER(stage4_uk!R53),stage4_uk!R53,0)</f>
        <v/>
      </c>
      <c r="S27" s="136">
        <f>SUM(S8)+SUM(S9)+S10+SUM(S11)+SUM(S12)+SUM(S13)+S14+IF(ISNUMBER(stage4_uk!S53),stage4_uk!S53,0)</f>
        <v/>
      </c>
      <c r="T27" s="136">
        <f>SUM(T8)+SUM(T9)+T10+SUM(T11)+SUM(T12)+SUM(T13)+T14+IF(ISNUMBER(stage4_uk!T53),stage4_uk!T53,0)</f>
        <v/>
      </c>
      <c r="U27" s="77" t="inlineStr">
        <is>
          <t>Volumetric charges identical per MWh.</t>
        </is>
      </c>
    </row>
    <row r="28" ht="15" customHeight="1" s="78">
      <c r="A28" s="94" t="inlineStr">
        <is>
          <t>UK</t>
        </is>
      </c>
      <c r="B28" s="77" t="inlineStr">
        <is>
          <t>E1 TOTAL medium (2010–16 DUoS reconstructed, D28)</t>
        </is>
      </c>
      <c r="C28" s="77" t="inlineStr">
        <is>
          <t>E1</t>
        </is>
      </c>
      <c r="D28" s="136">
        <f>IF(ISNUMBER(D24),D22+D23+D24+D25+D26+D27+IF(ISNUMBER(D109),D109,0),"")</f>
        <v/>
      </c>
      <c r="E28" s="136">
        <f>IF(ISNUMBER(E24),E22+E23+E24+E25+E26+E27+IF(ISNUMBER(E109),E109,0),"")</f>
        <v/>
      </c>
      <c r="F28" s="136">
        <f>IF(ISNUMBER(F24),F22+F23+F24+F25+F26+F27+IF(ISNUMBER(F109),F109,0),"")</f>
        <v/>
      </c>
      <c r="G28" s="136">
        <f>IF(ISNUMBER(G24),G22+G23+G24+G25+G26+G27+IF(ISNUMBER(G109),G109,0),"")</f>
        <v/>
      </c>
      <c r="H28" s="136">
        <f>IF(ISNUMBER(H24),H22+H23+H24+H25+H26+H27+IF(ISNUMBER(H109),H109,0),"")</f>
        <v/>
      </c>
      <c r="I28" s="136">
        <f>IF(ISNUMBER(I24),I22+I23+I24+I25+I26+I27+IF(ISNUMBER(I109),I109,0),"")</f>
        <v/>
      </c>
      <c r="J28" s="136">
        <f>IF(ISNUMBER(J24),J22+J23+J24+J25+J26+J27+IF(ISNUMBER(J109),J109,0),"")</f>
        <v/>
      </c>
      <c r="K28" s="136">
        <f>IF(ISNUMBER(K24),K22+K23+K24+K25+K26+K27+IF(ISNUMBER(K109),K109,0),"")</f>
        <v/>
      </c>
      <c r="L28" s="136">
        <f>IF(ISNUMBER(L24),L22+L23+L24+L25+L26+L27+IF(ISNUMBER(L109),L109,0),"")</f>
        <v/>
      </c>
      <c r="M28" s="136">
        <f>IF(ISNUMBER(M24),M22+M23+M24+M25+M26+M27+IF(ISNUMBER(M109),M109,0),"")</f>
        <v/>
      </c>
      <c r="N28" s="136">
        <f>IF(ISNUMBER(N24),N22+N23+N24+N25+N26+N27+IF(ISNUMBER(N109),N109,0),"")</f>
        <v/>
      </c>
      <c r="O28" s="136">
        <f>IF(ISNUMBER(O24),O22+O23+O24+O25+O26+O27+IF(ISNUMBER(O109),O109,0),"")</f>
        <v/>
      </c>
      <c r="P28" s="136">
        <f>IF(ISNUMBER(P24),P22+P23+P24+P25+P26+P27+IF(ISNUMBER(P109),P109,0),"")</f>
        <v/>
      </c>
      <c r="Q28" s="136">
        <f>IF(ISNUMBER(Q24),Q22+Q23+Q24+Q25+Q26+Q27+IF(ISNUMBER(Q109),Q109,0),"")</f>
        <v/>
      </c>
      <c r="R28" s="136">
        <f>IF(ISNUMBER(R24),R22+R23+R24+R25+R26+R27+IF(ISNUMBER(R109),R109,0),"")</f>
        <v/>
      </c>
      <c r="S28" s="136">
        <f>IF(ISNUMBER(S24),S22+S23+S24+S25+S26+S27+IF(ISNUMBER(S109),S109,0),"")</f>
        <v/>
      </c>
      <c r="T28" s="136">
        <f>IF(ISNUMBER(T24),T22+T23+T24+T25+T26+T27+IF(ISNUMBER(T109),T109,0),"")</f>
        <v/>
      </c>
      <c r="U28" s="77" t="inlineStr">
        <is>
          <t>MODELLED. Same FiT/CM/BSUoS completeness caveats.</t>
        </is>
      </c>
    </row>
    <row r="29" ht="15" customHeight="1" s="78">
      <c r="A29" s="77" t="inlineStr">
        <is>
          <t>UK</t>
        </is>
      </c>
      <c r="B29" s="77" t="inlineStr">
        <is>
          <t>E2 TOTAL medium (EII status assumed, D24) — CCL = 0 per D71 (min/met exemption; see r19 note).</t>
        </is>
      </c>
      <c r="C29" s="77" t="inlineStr">
        <is>
          <t>E2</t>
        </is>
      </c>
      <c r="D29" s="136">
        <f>IF(ISNUMBER(D24),D22+(D23+D24+D25+D26+SUM(D8))*(1-IF(ISNUMBER(stage4_uk!D48),stage4_uk!D48,0))+SUM(D9)+D10*(1-IF(ISNUMBER(stage4_uk!D45),stage4_uk!D45,0))+SUM(D11)*(1-IF(ISNUMBER(stage4_uk!D44),stage4_uk!D44,0))+SUM(D12)*(1-IF(ISNUMBER(stage4_uk!D46),stage4_uk!D46,0))+SUM(D13)*(1-IF(ISNUMBER(stage4_uk!D47),stage4_uk!D47,0))+IF(ISNUMBER(D110),D110,0),"")</f>
        <v/>
      </c>
      <c r="E29" s="136">
        <f>IF(ISNUMBER(E24),E22+(E23+E24+E25+E26+SUM(E8))*(1-IF(ISNUMBER(stage4_uk!E48),stage4_uk!E48,0))+SUM(E9)+E10*(1-IF(ISNUMBER(stage4_uk!E45),stage4_uk!E45,0))+SUM(E11)*(1-IF(ISNUMBER(stage4_uk!E44),stage4_uk!E44,0))+SUM(E12)*(1-IF(ISNUMBER(stage4_uk!E46),stage4_uk!E46,0))+SUM(E13)*(1-IF(ISNUMBER(stage4_uk!E47),stage4_uk!E47,0))+IF(ISNUMBER(E110),E110,0),"")</f>
        <v/>
      </c>
      <c r="F29" s="136">
        <f>IF(ISNUMBER(F24),F22+(F23+F24+F25+F26+SUM(F8))*(1-IF(ISNUMBER(stage4_uk!F48),stage4_uk!F48,0))+SUM(F9)+F10*(1-IF(ISNUMBER(stage4_uk!F45),stage4_uk!F45,0))+SUM(F11)*(1-IF(ISNUMBER(stage4_uk!F44),stage4_uk!F44,0))+SUM(F12)*(1-IF(ISNUMBER(stage4_uk!F46),stage4_uk!F46,0))+SUM(F13)*(1-IF(ISNUMBER(stage4_uk!F47),stage4_uk!F47,0))+IF(ISNUMBER(F110),F110,0),"")</f>
        <v/>
      </c>
      <c r="G29" s="136">
        <f>IF(ISNUMBER(G24),G22+(G23+G24+G25+G26+SUM(G8))*(1-IF(ISNUMBER(stage4_uk!G48),stage4_uk!G48,0))+SUM(G9)+G10*(1-IF(ISNUMBER(stage4_uk!G45),stage4_uk!G45,0))+SUM(G11)*(1-IF(ISNUMBER(stage4_uk!G44),stage4_uk!G44,0))+SUM(G12)*(1-IF(ISNUMBER(stage4_uk!G46),stage4_uk!G46,0))+SUM(G13)*(1-IF(ISNUMBER(stage4_uk!G47),stage4_uk!G47,0))+IF(ISNUMBER(G110),G110,0),"")</f>
        <v/>
      </c>
      <c r="H29" s="136">
        <f>IF(ISNUMBER(H24),H22+(H23+H24+H25+H26+SUM(H8))*(1-IF(ISNUMBER(stage4_uk!H48),stage4_uk!H48,0))+SUM(H9)+H10*(1-IF(ISNUMBER(stage4_uk!H45),stage4_uk!H45,0))+SUM(H11)*(1-IF(ISNUMBER(stage4_uk!H44),stage4_uk!H44,0))+SUM(H12)*(1-IF(ISNUMBER(stage4_uk!H46),stage4_uk!H46,0))+SUM(H13)*(1-IF(ISNUMBER(stage4_uk!H47),stage4_uk!H47,0))+IF(ISNUMBER(H110),H110,0),"")</f>
        <v/>
      </c>
      <c r="I29" s="136">
        <f>IF(ISNUMBER(I24),I22+(I23+I24+I25+I26+SUM(I8))*(1-IF(ISNUMBER(stage4_uk!I48),stage4_uk!I48,0))+SUM(I9)+I10*(1-IF(ISNUMBER(stage4_uk!I45),stage4_uk!I45,0))+SUM(I11)*(1-IF(ISNUMBER(stage4_uk!I44),stage4_uk!I44,0))+SUM(I12)*(1-IF(ISNUMBER(stage4_uk!I46),stage4_uk!I46,0))+SUM(I13)*(1-IF(ISNUMBER(stage4_uk!I47),stage4_uk!I47,0))+IF(ISNUMBER(I110),I110,0),"")</f>
        <v/>
      </c>
      <c r="J29" s="136">
        <f>IF(ISNUMBER(J24),J22+(J23+J24+J25+J26+SUM(J8))*(1-IF(ISNUMBER(stage4_uk!J48),stage4_uk!J48,0))+SUM(J9)+J10*(1-IF(ISNUMBER(stage4_uk!J45),stage4_uk!J45,0))+SUM(J11)*(1-IF(ISNUMBER(stage4_uk!J44),stage4_uk!J44,0))+SUM(J12)*(1-IF(ISNUMBER(stage4_uk!J46),stage4_uk!J46,0))+SUM(J13)*(1-IF(ISNUMBER(stage4_uk!J47),stage4_uk!J47,0))+IF(ISNUMBER(J110),J110,0),"")</f>
        <v/>
      </c>
      <c r="K29" s="136">
        <f>IF(ISNUMBER(K24),K22+(K23+K24+K25+K26+SUM(K8))*(1-IF(ISNUMBER(stage4_uk!K48),stage4_uk!K48,0))+SUM(K9)+K10*(1-IF(ISNUMBER(stage4_uk!K45),stage4_uk!K45,0))+SUM(K11)*(1-IF(ISNUMBER(stage4_uk!K44),stage4_uk!K44,0))+SUM(K12)*(1-IF(ISNUMBER(stage4_uk!K46),stage4_uk!K46,0))+SUM(K13)*(1-IF(ISNUMBER(stage4_uk!K47),stage4_uk!K47,0))+IF(ISNUMBER(K110),K110,0),"")</f>
        <v/>
      </c>
      <c r="L29" s="136">
        <f>IF(ISNUMBER(L24),L22+(L23+L24+L25+L26+SUM(L8))*(1-IF(ISNUMBER(stage4_uk!L48),stage4_uk!L48,0))+SUM(L9)+L10*(1-IF(ISNUMBER(stage4_uk!L45),stage4_uk!L45,0))+SUM(L11)*(1-IF(ISNUMBER(stage4_uk!L44),stage4_uk!L44,0))+SUM(L12)*(1-IF(ISNUMBER(stage4_uk!L46),stage4_uk!L46,0))+SUM(L13)*(1-IF(ISNUMBER(stage4_uk!L47),stage4_uk!L47,0))+IF(ISNUMBER(L110),L110,0),"")</f>
        <v/>
      </c>
      <c r="M29" s="136">
        <f>IF(ISNUMBER(M24),M22+(M23+M24+M25+M26+SUM(M8))*(1-IF(ISNUMBER(stage4_uk!M48),stage4_uk!M48,0))+SUM(M9)+M10*(1-IF(ISNUMBER(stage4_uk!M45),stage4_uk!M45,0))+SUM(M11)*(1-IF(ISNUMBER(stage4_uk!M44),stage4_uk!M44,0))+SUM(M12)*(1-IF(ISNUMBER(stage4_uk!M46),stage4_uk!M46,0))+SUM(M13)*(1-IF(ISNUMBER(stage4_uk!M47),stage4_uk!M47,0))+IF(ISNUMBER(M110),M110,0),"")</f>
        <v/>
      </c>
      <c r="N29" s="136">
        <f>IF(ISNUMBER(N24),N22+(N23+N24+N25+N26+SUM(N8))*(1-IF(ISNUMBER(stage4_uk!N48),stage4_uk!N48,0))+SUM(N9)+N10*(1-IF(ISNUMBER(stage4_uk!N45),stage4_uk!N45,0))+SUM(N11)*(1-IF(ISNUMBER(stage4_uk!N44),stage4_uk!N44,0))+SUM(N12)*(1-IF(ISNUMBER(stage4_uk!N46),stage4_uk!N46,0))+SUM(N13)*(1-IF(ISNUMBER(stage4_uk!N47),stage4_uk!N47,0))+IF(ISNUMBER(N110),N110,0),"")</f>
        <v/>
      </c>
      <c r="O29" s="136">
        <f>IF(ISNUMBER(O24),O22+(O23+O24+O25+O26+SUM(O8))*(1-IF(ISNUMBER(stage4_uk!O48),stage4_uk!O48,0))+SUM(O9)+O10*(1-IF(ISNUMBER(stage4_uk!O45),stage4_uk!O45,0))+SUM(O11)*(1-IF(ISNUMBER(stage4_uk!O44),stage4_uk!O44,0))+SUM(O12)*(1-IF(ISNUMBER(stage4_uk!O46),stage4_uk!O46,0))+SUM(O13)*(1-IF(ISNUMBER(stage4_uk!O47),stage4_uk!O47,0))+IF(ISNUMBER(O110),O110,0),"")</f>
        <v/>
      </c>
      <c r="P29" s="136">
        <f>IF(ISNUMBER(P24),P22+(P23+P24+P25+P26+SUM(P8))*(1-IF(ISNUMBER(stage4_uk!P48),stage4_uk!P48,0))+SUM(P9)+P10*(1-IF(ISNUMBER(stage4_uk!P45),stage4_uk!P45,0))+SUM(P11)*(1-IF(ISNUMBER(stage4_uk!P44),stage4_uk!P44,0))+SUM(P12)*(1-IF(ISNUMBER(stage4_uk!P46),stage4_uk!P46,0))+SUM(P13)*(1-IF(ISNUMBER(stage4_uk!P47),stage4_uk!P47,0))+IF(ISNUMBER(P110),P110,0),"")</f>
        <v/>
      </c>
      <c r="Q29" s="136">
        <f>IF(ISNUMBER(Q24),Q22+(Q23+Q24+Q25+Q26+SUM(Q8))*(1-IF(ISNUMBER(stage4_uk!Q48),stage4_uk!Q48,0))+SUM(Q9)+Q10*(1-IF(ISNUMBER(stage4_uk!Q45),stage4_uk!Q45,0))+SUM(Q11)*(1-IF(ISNUMBER(stage4_uk!Q44),stage4_uk!Q44,0))+SUM(Q12)*(1-IF(ISNUMBER(stage4_uk!Q46),stage4_uk!Q46,0))+SUM(Q13)*(1-IF(ISNUMBER(stage4_uk!Q47),stage4_uk!Q47,0))+IF(ISNUMBER(Q110),Q110,0),"")</f>
        <v/>
      </c>
      <c r="R29" s="136">
        <f>IF(ISNUMBER(R24),R22+(R23+R24+R25+R26+SUM(R8))*(1-IF(ISNUMBER(stage4_uk!R48),stage4_uk!R48,0))+SUM(R9)+R10*(1-IF(ISNUMBER(stage4_uk!R45),stage4_uk!R45,0))+SUM(R11)*(1-IF(ISNUMBER(stage4_uk!R44),stage4_uk!R44,0))+SUM(R12)*(1-IF(ISNUMBER(stage4_uk!R46),stage4_uk!R46,0))+SUM(R13)*(1-IF(ISNUMBER(stage4_uk!R47),stage4_uk!R47,0))+IF(ISNUMBER(R110),R110,0),"")</f>
        <v/>
      </c>
      <c r="S29" s="136">
        <f>IF(ISNUMBER(S24),S22+(S23+S24+S25+S26+SUM(S8))*(1-IF(ISNUMBER(stage4_uk!S48),stage4_uk!S48,0))+SUM(S9)+S10*(1-IF(ISNUMBER(stage4_uk!S45),stage4_uk!S45,0))+SUM(S11)*(1-IF(ISNUMBER(stage4_uk!S44),stage4_uk!S44,0))+SUM(S12)*(1-IF(ISNUMBER(stage4_uk!S46),stage4_uk!S46,0))+SUM(S13)*(1-IF(ISNUMBER(stage4_uk!S47),stage4_uk!S47,0))+IF(ISNUMBER(S110),S110,0),"")</f>
        <v/>
      </c>
      <c r="T29" s="136">
        <f>IF(ISNUMBER(T24),T22+(T23+T24+T25+T26+SUM(T8))*(1-IF(ISNUMBER(stage4_uk!T48),stage4_uk!T48,0))+SUM(T9)+T10*(1-IF(ISNUMBER(stage4_uk!T45),stage4_uk!T45,0))+SUM(T11)*(1-IF(ISNUMBER(stage4_uk!T44),stage4_uk!T44,0))+SUM(T12)*(1-IF(ISNUMBER(stage4_uk!T46),stage4_uk!T46,0))+SUM(T13)*(1-IF(ISNUMBER(stage4_uk!T47),stage4_uk!T47,0))+IF(ISNUMBER(T110),T110,0),"")</f>
        <v/>
      </c>
      <c r="U29" s="77" t="inlineStr">
        <is>
          <t>NCC covers TNUoS+DUoS+BSUoS. D24: medium assumed to hold EII certificate — stated on every E2 chart.</t>
        </is>
      </c>
    </row>
    <row r="30" ht="15" customHeight="1" s="78">
      <c r="A30" s="77" t="inlineStr">
        <is>
          <t>UK</t>
        </is>
      </c>
      <c r="B30" s="77" t="inlineStr">
        <is>
          <t>OBSERVED: QEP Large band (20–70 GWh), INCL CCL (D71) — archetype at band lower edge (flag)</t>
        </is>
      </c>
      <c r="C30" s="77" t="inlineStr">
        <is>
          <t>obs</t>
        </is>
      </c>
      <c r="D30" s="136">
        <f>stage4_uk!D52*10</f>
        <v/>
      </c>
      <c r="E30" s="136">
        <f>stage4_uk!E52*10</f>
        <v/>
      </c>
      <c r="F30" s="136">
        <f>stage4_uk!F52*10</f>
        <v/>
      </c>
      <c r="G30" s="136">
        <f>stage4_uk!G52*10</f>
        <v/>
      </c>
      <c r="H30" s="136">
        <f>stage4_uk!H52*10</f>
        <v/>
      </c>
      <c r="I30" s="136">
        <f>stage4_uk!I52*10</f>
        <v/>
      </c>
      <c r="J30" s="136">
        <f>stage4_uk!J52*10</f>
        <v/>
      </c>
      <c r="K30" s="136">
        <f>stage4_uk!K52*10</f>
        <v/>
      </c>
      <c r="L30" s="136">
        <f>stage4_uk!L52*10</f>
        <v/>
      </c>
      <c r="M30" s="136">
        <f>stage4_uk!M52*10</f>
        <v/>
      </c>
      <c r="N30" s="136">
        <f>stage4_uk!N52*10</f>
        <v/>
      </c>
      <c r="O30" s="136">
        <f>stage4_uk!O52*10</f>
        <v/>
      </c>
      <c r="P30" s="136">
        <f>stage4_uk!P52*10</f>
        <v/>
      </c>
      <c r="Q30" s="136">
        <f>stage4_uk!Q52*10</f>
        <v/>
      </c>
      <c r="R30" s="136">
        <f>stage4_uk!R52*10</f>
        <v/>
      </c>
      <c r="S30" s="136">
        <f>stage4_uk!S52*10</f>
        <v/>
      </c>
    </row>
    <row r="31" ht="15" customHeight="1" s="78">
      <c r="A31" s="131" t="inlineStr">
        <is>
          <t>DE — LARGE archetype (500 GWh, 8,000h, Höchstspannung, Amprion/bundeseinheitlich). Nominal €/MWh.</t>
        </is>
      </c>
      <c r="B31" s="134" t="n"/>
      <c r="C31" s="134" t="n"/>
      <c r="D31" s="134" t="n"/>
      <c r="E31" s="134" t="n"/>
      <c r="F31" s="134" t="n"/>
      <c r="G31" s="134" t="n"/>
      <c r="H31" s="134" t="n"/>
      <c r="I31" s="134" t="n"/>
      <c r="J31" s="134" t="n"/>
      <c r="K31" s="134" t="n"/>
      <c r="L31" s="134" t="n"/>
      <c r="M31" s="134" t="n"/>
      <c r="N31" s="134" t="n"/>
      <c r="O31" s="134" t="n"/>
      <c r="P31" s="134" t="n"/>
      <c r="Q31" s="134" t="n"/>
      <c r="R31" s="134" t="n"/>
      <c r="S31" s="134" t="n"/>
      <c r="T31" s="134" t="n"/>
      <c r="U31" s="134" t="n"/>
    </row>
    <row r="32" ht="15" customHeight="1" s="78">
      <c r="A32" s="77" t="inlineStr">
        <is>
          <t>DE</t>
        </is>
      </c>
      <c r="B32" s="77" t="inlineStr">
        <is>
          <t>Wholesale (Phelix front-year: trading yr Y−1 → delivery Y). 2010 &amp; 2026 GAP (MB coverage)</t>
        </is>
      </c>
      <c r="C32" s="77" t="inlineStr">
        <is>
          <t>E1+E2</t>
        </is>
      </c>
      <c r="E32" s="136">
        <f>stage4_de!D7</f>
        <v/>
      </c>
      <c r="F32" s="136">
        <f>stage4_de!E7</f>
        <v/>
      </c>
      <c r="G32" s="136">
        <f>stage4_de!F7</f>
        <v/>
      </c>
      <c r="H32" s="136">
        <f>stage4_de!G7</f>
        <v/>
      </c>
      <c r="I32" s="136">
        <f>stage4_de!H7</f>
        <v/>
      </c>
      <c r="J32" s="136">
        <f>stage4_de!I7</f>
        <v/>
      </c>
      <c r="K32" s="136">
        <f>stage4_de!J7</f>
        <v/>
      </c>
      <c r="L32" s="136">
        <f>stage4_de!K7</f>
        <v/>
      </c>
      <c r="M32" s="136">
        <f>stage4_de!L7</f>
        <v/>
      </c>
      <c r="N32" s="136">
        <f>stage4_de!M7</f>
        <v/>
      </c>
      <c r="O32" s="136">
        <f>stage4_de!N7</f>
        <v/>
      </c>
      <c r="P32" s="136">
        <f>stage4_de!O7</f>
        <v/>
      </c>
      <c r="Q32" s="136">
        <f>stage4_de!P7</f>
        <v/>
      </c>
      <c r="R32" s="136">
        <f>stage4_de!Q7</f>
        <v/>
      </c>
      <c r="S32" s="136">
        <f>stage4_de!R7</f>
        <v/>
      </c>
      <c r="T32" s="77">
        <f>stage4_de!S7</f>
        <v/>
      </c>
      <c r="U32" s="77" t="inlineStr">
        <is>
          <t>BNetzA MB series. DE-AT split 10/2018.</t>
        </is>
      </c>
    </row>
    <row r="33" ht="15" customHeight="1" s="78">
      <c r="A33" s="77" t="inlineStr">
        <is>
          <t>DE</t>
        </is>
      </c>
      <c r="B33" s="77" t="inlineStr">
        <is>
          <t>Netzentgelte HöS (LP×1000/h + AP×10). 2026 incl. €6.5bn subsidy</t>
        </is>
      </c>
      <c r="C33" s="77" t="inlineStr">
        <is>
          <t>E1 network</t>
        </is>
      </c>
      <c r="D33" s="136">
        <f>stage4_de!D11*1000/assumptions!$B$7+stage4_de!D12*10</f>
        <v/>
      </c>
      <c r="E33" s="136">
        <f>stage4_de!E11*1000/assumptions!$B$7+stage4_de!E12*10</f>
        <v/>
      </c>
      <c r="F33" s="136">
        <f>stage4_de!F11*1000/assumptions!$B$7+stage4_de!F12*10</f>
        <v/>
      </c>
      <c r="G33" s="136">
        <f>stage4_de!G11*1000/assumptions!$B$7+stage4_de!G12*10</f>
        <v/>
      </c>
      <c r="H33" s="136">
        <f>stage4_de!H11*1000/assumptions!$B$7+stage4_de!H12*10</f>
        <v/>
      </c>
      <c r="I33" s="136">
        <f>stage4_de!I11*1000/assumptions!$B$7+stage4_de!I12*10</f>
        <v/>
      </c>
      <c r="J33" s="136">
        <f>stage4_de!J11*1000/assumptions!$B$7+stage4_de!J12*10</f>
        <v/>
      </c>
      <c r="K33" s="136">
        <f>stage4_de!K11*1000/assumptions!$B$7+stage4_de!K12*10</f>
        <v/>
      </c>
      <c r="L33" s="136">
        <f>stage4_de!L11*1000/assumptions!$B$7+stage4_de!L12*10</f>
        <v/>
      </c>
      <c r="M33" s="136">
        <f>stage4_de!M11*1000/assumptions!$B$7+stage4_de!M12*10</f>
        <v/>
      </c>
      <c r="N33" s="136">
        <f>stage4_de!N11*1000/assumptions!$B$7+stage4_de!N12*10</f>
        <v/>
      </c>
      <c r="O33" s="136">
        <f>stage4_de!O11*1000/assumptions!$B$7+stage4_de!O12*10</f>
        <v/>
      </c>
      <c r="P33" s="136">
        <f>stage4_de!P11*1000/assumptions!$B$7+stage4_de!P12*10</f>
        <v/>
      </c>
      <c r="Q33" s="136">
        <f>stage4_de!Q11*1000/assumptions!$B$7+stage4_de!Q12*10</f>
        <v/>
      </c>
      <c r="R33" s="136">
        <f>stage4_de!R11*1000/assumptions!$B$7+stage4_de!R12*10</f>
        <v/>
      </c>
      <c r="S33" s="136">
        <f>stage4_de!S11*1000/assumptions!$B$7+stage4_de!S12*10</f>
        <v/>
      </c>
      <c r="T33" s="136">
        <f>stage4_de!T11*1000/assumptions!$B$7+stage4_de!T12*10</f>
        <v/>
      </c>
    </row>
    <row r="34" ht="15" customHeight="1" s="78">
      <c r="A34" s="77" t="inlineStr">
        <is>
          <t>DE</t>
        </is>
      </c>
      <c r="B34" s="77" t="inlineStr">
        <is>
          <t>2026 Netz HöS OHNE Bundeszuschuss (info — the counterfactual without incidence-(iii) subsidy)</t>
        </is>
      </c>
      <c r="C34" s="77" t="inlineStr">
        <is>
          <t>info</t>
        </is>
      </c>
      <c r="T34" s="136">
        <f>stage4_de!T13*1000/assumptions!$B$7+stage4_de!T14*10</f>
        <v/>
      </c>
    </row>
    <row r="35" ht="15" customHeight="1" s="78">
      <c r="A35" s="77" t="inlineStr">
        <is>
          <t>DE</t>
        </is>
      </c>
      <c r="B35" s="77" t="inlineStr">
        <is>
          <t>EEG-Umlage (E1, full)</t>
        </is>
      </c>
      <c r="C35" s="77" t="inlineStr">
        <is>
          <t>E1</t>
        </is>
      </c>
      <c r="D35" s="136">
        <f>stage4_de!D21*10</f>
        <v/>
      </c>
      <c r="E35" s="136">
        <f>stage4_de!E21*10</f>
        <v/>
      </c>
      <c r="F35" s="136">
        <f>stage4_de!F21*10</f>
        <v/>
      </c>
      <c r="G35" s="136">
        <f>stage4_de!G21*10</f>
        <v/>
      </c>
      <c r="H35" s="136">
        <f>stage4_de!H21*10</f>
        <v/>
      </c>
      <c r="I35" s="136">
        <f>stage4_de!I21*10</f>
        <v/>
      </c>
      <c r="J35" s="136">
        <f>stage4_de!J21*10</f>
        <v/>
      </c>
      <c r="K35" s="136">
        <f>stage4_de!K21*10</f>
        <v/>
      </c>
      <c r="L35" s="136">
        <f>stage4_de!L21*10</f>
        <v/>
      </c>
      <c r="M35" s="136">
        <f>stage4_de!M21*10</f>
        <v/>
      </c>
      <c r="N35" s="136">
        <f>stage4_de!N21*10</f>
        <v/>
      </c>
      <c r="O35" s="136">
        <f>stage4_de!O21*10</f>
        <v/>
      </c>
      <c r="P35" s="136">
        <f>stage4_de!P21*10</f>
        <v/>
      </c>
      <c r="Q35" s="136">
        <f>stage4_de!Q21*10</f>
        <v/>
      </c>
      <c r="R35" s="136">
        <f>stage4_de!R21*10</f>
        <v/>
      </c>
      <c r="S35" s="136">
        <f>stage4_de!S21*10</f>
        <v/>
      </c>
      <c r="T35" s="136">
        <f>stage4_de!T21*10</f>
        <v/>
      </c>
      <c r="U35" s="77" t="inlineStr">
        <is>
          <t>2022 = year-avg (est=Y); 0 from 2023 (budget, incidence iii).</t>
        </is>
      </c>
    </row>
    <row r="36" ht="15" customHeight="1" s="78">
      <c r="A36" s="77" t="inlineStr">
        <is>
          <t>DE</t>
        </is>
      </c>
      <c r="B36" s="77" t="inlineStr">
        <is>
          <t>KWKG (E1: Kat-B/B′ blend to 2016; full non-priv from 2017 — structural break)</t>
        </is>
      </c>
      <c r="C36" s="77" t="inlineStr">
        <is>
          <t>E1</t>
        </is>
      </c>
      <c r="D36" s="136">
        <f>(0.1*stage4_de!D22+499.9*stage4_de!D23)/500*10</f>
        <v/>
      </c>
      <c r="E36" s="136">
        <f>(0.1*stage4_de!E22+499.9*stage4_de!E23)/500*10</f>
        <v/>
      </c>
      <c r="F36" s="136">
        <f>(0.1*stage4_de!F22+499.9*stage4_de!F23)/500*10</f>
        <v/>
      </c>
      <c r="G36" s="136">
        <f>(0.1*stage4_de!G22+499.9*stage4_de!G23)/500*10</f>
        <v/>
      </c>
      <c r="H36" s="136">
        <f>(0.1*stage4_de!H22+499.9*stage4_de!H23)/500*10</f>
        <v/>
      </c>
      <c r="I36" s="136">
        <f>(0.1*stage4_de!I22+499.9*stage4_de!I23)/500*10</f>
        <v/>
      </c>
      <c r="J36" s="136">
        <f>(1*stage4_de!J22+499*stage4_de!J23)/500*10</f>
        <v/>
      </c>
      <c r="K36" s="136">
        <f>stage4_de!K22*10</f>
        <v/>
      </c>
      <c r="L36" s="136">
        <f>stage4_de!L22*10</f>
        <v/>
      </c>
      <c r="M36" s="136">
        <f>stage4_de!M22*10</f>
        <v/>
      </c>
      <c r="N36" s="136">
        <f>stage4_de!N22*10</f>
        <v/>
      </c>
      <c r="O36" s="136">
        <f>stage4_de!O22*10</f>
        <v/>
      </c>
      <c r="P36" s="136">
        <f>stage4_de!P22*10</f>
        <v/>
      </c>
      <c r="Q36" s="136">
        <f>stage4_de!Q22*10</f>
        <v/>
      </c>
      <c r="R36" s="136">
        <f>stage4_de!R22*10</f>
        <v/>
      </c>
      <c r="S36" s="136">
        <f>stage4_de!S22*10</f>
        <v/>
      </c>
      <c r="T36" s="136">
        <f>stage4_de!T22*10</f>
        <v/>
      </c>
      <c r="U36" s="77" t="inlineStr">
        <is>
          <t>2010–15: Kat A first 100 MWh, Kat B above; 2016: A′ first 1 GWh, B′ above. Break 2017 marked.</t>
        </is>
      </c>
    </row>
    <row r="37" ht="15" customHeight="1" s="78">
      <c r="A37" s="77" t="inlineStr">
        <is>
          <t>DE</t>
        </is>
      </c>
      <c r="B37" s="77" t="inlineStr">
        <is>
          <t>§19-Umlage (E1: A′ first 1 GWh + B′ above; from 2012)</t>
        </is>
      </c>
      <c r="C37" s="77" t="inlineStr">
        <is>
          <t>E1</t>
        </is>
      </c>
      <c r="F37" s="136">
        <f>(1*stage4_de!F25+499*stage4_de!F26)/500*10</f>
        <v/>
      </c>
      <c r="G37" s="136">
        <f>(1*stage4_de!G25+499*stage4_de!G26)/500*10</f>
        <v/>
      </c>
      <c r="H37" s="136">
        <f>(1*stage4_de!H25+499*stage4_de!H26)/500*10</f>
        <v/>
      </c>
      <c r="I37" s="136">
        <f>(1*stage4_de!I25+499*stage4_de!I26)/500*10</f>
        <v/>
      </c>
      <c r="J37" s="136">
        <f>(1*stage4_de!J25+499*stage4_de!J26)/500*10</f>
        <v/>
      </c>
      <c r="K37" s="136">
        <f>(1*stage4_de!K25+499*stage4_de!K26)/500*10</f>
        <v/>
      </c>
      <c r="L37" s="136">
        <f>(1*stage4_de!L25+499*stage4_de!L26)/500*10</f>
        <v/>
      </c>
      <c r="M37" s="136">
        <f>(1*stage4_de!M25+499*stage4_de!M26)/500*10</f>
        <v/>
      </c>
      <c r="N37" s="136">
        <f>(1*stage4_de!N25+499*stage4_de!N26)/500*10</f>
        <v/>
      </c>
      <c r="O37" s="136">
        <f>(1*stage4_de!O25+499*stage4_de!O26)/500*10</f>
        <v/>
      </c>
      <c r="P37" s="136">
        <f>(1*stage4_de!P25+499*stage4_de!P26)/500*10</f>
        <v/>
      </c>
      <c r="Q37" s="136">
        <f>(1*stage4_de!Q25+499*stage4_de!Q26)/500*10</f>
        <v/>
      </c>
      <c r="R37" s="136">
        <f>(1*stage4_de!R25+499*stage4_de!R26)/500*10</f>
        <v/>
      </c>
      <c r="S37" s="136">
        <f>(1*stage4_de!S25+499*stage4_de!S26)/500*10</f>
        <v/>
      </c>
      <c r="T37" s="136">
        <f>(1*stage4_de!T25+499*stage4_de!T26)/500*10</f>
        <v/>
      </c>
    </row>
    <row r="38" ht="15" customHeight="1" s="78">
      <c r="A38" s="77" t="inlineStr">
        <is>
          <t>DE</t>
        </is>
      </c>
      <c r="B38" s="77" t="inlineStr">
        <is>
          <t>Offshore-Umlage (E1: A/B blend 2013–18; full non-priv 2019+ — break)</t>
        </is>
      </c>
      <c r="C38" s="77" t="inlineStr">
        <is>
          <t>E1</t>
        </is>
      </c>
      <c r="G38" s="136">
        <f>(1*stage4_de!G28+499*stage4_de!G29)/500*10</f>
        <v/>
      </c>
      <c r="H38" s="136">
        <f>(1*stage4_de!H28+499*stage4_de!H29)/500*10</f>
        <v/>
      </c>
      <c r="I38" s="136">
        <f>(1*stage4_de!I28+499*stage4_de!I29)/500*10</f>
        <v/>
      </c>
      <c r="J38" s="136">
        <f>(1*stage4_de!J28+499*stage4_de!J29)/500*10</f>
        <v/>
      </c>
      <c r="K38" s="136">
        <f>(1*stage4_de!K28+499*stage4_de!K29)/500*10</f>
        <v/>
      </c>
      <c r="L38" s="136">
        <f>(1*stage4_de!L28+499*stage4_de!L29)/500*10</f>
        <v/>
      </c>
      <c r="M38" s="136">
        <f>stage4_de!M28*10</f>
        <v/>
      </c>
      <c r="N38" s="136">
        <f>stage4_de!N28*10</f>
        <v/>
      </c>
      <c r="O38" s="136">
        <f>stage4_de!O28*10</f>
        <v/>
      </c>
      <c r="P38" s="136">
        <f>stage4_de!P28*10</f>
        <v/>
      </c>
      <c r="Q38" s="136">
        <f>stage4_de!Q28*10</f>
        <v/>
      </c>
      <c r="R38" s="136">
        <f>stage4_de!R28*10</f>
        <v/>
      </c>
      <c r="S38" s="136">
        <f>stage4_de!S28*10</f>
        <v/>
      </c>
      <c r="T38" s="136">
        <f>stage4_de!T28*10</f>
        <v/>
      </c>
    </row>
    <row r="39" ht="15" customHeight="1" s="78">
      <c r="A39" s="77" t="inlineStr">
        <is>
          <t>DE</t>
        </is>
      </c>
      <c r="B39" s="77" t="inlineStr">
        <is>
          <t>AbLaV-Umlage</t>
        </is>
      </c>
      <c r="C39" s="77" t="inlineStr">
        <is>
          <t>E1+E2</t>
        </is>
      </c>
      <c r="H39" s="136">
        <f>stage4_de!H31*10</f>
        <v/>
      </c>
      <c r="I39" s="136">
        <f>stage4_de!I31*10</f>
        <v/>
      </c>
      <c r="J39" s="136">
        <f>stage4_de!J31*10</f>
        <v/>
      </c>
      <c r="K39" s="136">
        <f>stage4_de!K31*10</f>
        <v/>
      </c>
      <c r="L39" s="136">
        <f>stage4_de!L31*10</f>
        <v/>
      </c>
      <c r="M39" s="136">
        <f>stage4_de!M31*10</f>
        <v/>
      </c>
      <c r="N39" s="136">
        <f>stage4_de!N31*10</f>
        <v/>
      </c>
      <c r="O39" s="136">
        <f>stage4_de!O31*10</f>
        <v/>
      </c>
      <c r="P39" s="136">
        <f>stage4_de!P31*10</f>
        <v/>
      </c>
      <c r="Q39" s="136">
        <f>stage4_de!Q31*10</f>
        <v/>
      </c>
      <c r="R39" s="136">
        <f>stage4_de!R31*10</f>
        <v/>
      </c>
      <c r="S39" s="136">
        <f>stage4_de!S31*10</f>
        <v/>
      </c>
      <c r="T39" s="136">
        <f>stage4_de!T31*10</f>
        <v/>
      </c>
      <c r="U39" s="77" t="inlineStr">
        <is>
          <t>Ends 2022.</t>
        </is>
      </c>
    </row>
    <row r="40" ht="15" customHeight="1" s="78">
      <c r="A40" s="77" t="inlineStr">
        <is>
          <t>DE</t>
        </is>
      </c>
      <c r="B40" s="77" t="inlineStr">
        <is>
          <t>Stromsteuer (full §3) + Konzessionsabgabe (0 via Grenzpreis)</t>
        </is>
      </c>
      <c r="C40" s="77" t="inlineStr">
        <is>
          <t>E1</t>
        </is>
      </c>
      <c r="D40" s="136">
        <f>stage4_de!D34+stage4_de!D36*10</f>
        <v/>
      </c>
      <c r="E40" s="136">
        <f>stage4_de!E34+stage4_de!E36*10</f>
        <v/>
      </c>
      <c r="F40" s="136">
        <f>stage4_de!F34+stage4_de!F36*10</f>
        <v/>
      </c>
      <c r="G40" s="136">
        <f>stage4_de!G34+stage4_de!G36*10</f>
        <v/>
      </c>
      <c r="H40" s="136">
        <f>stage4_de!H34+stage4_de!H36*10</f>
        <v/>
      </c>
      <c r="I40" s="136">
        <f>stage4_de!I34+stage4_de!I36*10</f>
        <v/>
      </c>
      <c r="J40" s="136">
        <f>stage4_de!J34+stage4_de!J36*10</f>
        <v/>
      </c>
      <c r="K40" s="136">
        <f>stage4_de!K34+stage4_de!K36*10</f>
        <v/>
      </c>
      <c r="L40" s="136">
        <f>stage4_de!L34+stage4_de!L36*10</f>
        <v/>
      </c>
      <c r="M40" s="136">
        <f>stage4_de!M34+stage4_de!M36*10</f>
        <v/>
      </c>
      <c r="N40" s="136">
        <f>stage4_de!N34+stage4_de!N36*10</f>
        <v/>
      </c>
      <c r="O40" s="136">
        <f>stage4_de!O34+stage4_de!O36*10</f>
        <v/>
      </c>
      <c r="P40" s="136">
        <f>stage4_de!P34+stage4_de!P36*10</f>
        <v/>
      </c>
      <c r="Q40" s="136">
        <f>stage4_de!Q34+stage4_de!Q36*10</f>
        <v/>
      </c>
      <c r="R40" s="136">
        <f>stage4_de!R34+stage4_de!R36*10</f>
        <v/>
      </c>
      <c r="S40" s="136">
        <f>stage4_de!S34+stage4_de!S36*10</f>
        <v/>
      </c>
      <c r="T40" s="136">
        <f>stage4_de!T34+stage4_de!T36*10</f>
        <v/>
      </c>
    </row>
    <row r="41" ht="15" customHeight="1" s="78">
      <c r="A41" s="77" t="inlineStr">
        <is>
          <t>DE</t>
        </is>
      </c>
      <c r="B41" s="77" t="inlineStr">
        <is>
          <t>E1 TOTAL (blank 2010/2026 — wholesale gap)</t>
        </is>
      </c>
      <c r="C41" s="77" t="inlineStr">
        <is>
          <t>E1</t>
        </is>
      </c>
      <c r="D41" s="136">
        <f>IF(ISNUMBER(D32),D32+D33+D35+D36+SUM(D37)+SUM(D38)+SUM(D39)+D40,"")</f>
        <v/>
      </c>
      <c r="E41" s="136">
        <f>IF(ISNUMBER(E32),E32+E33+E35+E36+SUM(E37)+SUM(E38)+SUM(E39)+E40,"")</f>
        <v/>
      </c>
      <c r="F41" s="136">
        <f>IF(ISNUMBER(F32),F32+F33+F35+F36+SUM(F37)+SUM(F38)+SUM(F39)+F40,"")</f>
        <v/>
      </c>
      <c r="G41" s="136">
        <f>IF(ISNUMBER(G32),G32+G33+G35+G36+SUM(G37)+SUM(G38)+SUM(G39)+G40,"")</f>
        <v/>
      </c>
      <c r="H41" s="136">
        <f>IF(ISNUMBER(H32),H32+H33+H35+H36+SUM(H37)+SUM(H38)+SUM(H39)+H40,"")</f>
        <v/>
      </c>
      <c r="I41" s="136">
        <f>IF(ISNUMBER(I32),I32+I33+I35+I36+SUM(I37)+SUM(I38)+SUM(I39)+I40,"")</f>
        <v/>
      </c>
      <c r="J41" s="136">
        <f>IF(ISNUMBER(J32),J32+J33+J35+J36+SUM(J37)+SUM(J38)+SUM(J39)+J40,"")</f>
        <v/>
      </c>
      <c r="K41" s="136">
        <f>IF(ISNUMBER(K32),K32+K33+K35+K36+SUM(K37)+SUM(K38)+SUM(K39)+K40,"")</f>
        <v/>
      </c>
      <c r="L41" s="136">
        <f>IF(ISNUMBER(L32),L32+L33+L35+L36+SUM(L37)+SUM(L38)+SUM(L39)+L40,"")</f>
        <v/>
      </c>
      <c r="M41" s="136">
        <f>IF(ISNUMBER(M32),M32+M33+M35+M36+SUM(M37)+SUM(M38)+SUM(M39)+M40,"")</f>
        <v/>
      </c>
      <c r="N41" s="136">
        <f>IF(ISNUMBER(N32),N32+N33+N35+N36+SUM(N37)+SUM(N38)+SUM(N39)+N40,"")</f>
        <v/>
      </c>
      <c r="O41" s="136">
        <f>IF(ISNUMBER(O32),O32+O33+O35+O36+SUM(O37)+SUM(O38)+SUM(O39)+O40,"")</f>
        <v/>
      </c>
      <c r="P41" s="136">
        <f>IF(ISNUMBER(P32),P32+P33+P35+P36+SUM(P37)+SUM(P38)+SUM(P39)+P40,"")</f>
        <v/>
      </c>
      <c r="Q41" s="136">
        <f>IF(ISNUMBER(Q32),Q32+Q33+Q35+Q36+SUM(Q37)+SUM(Q38)+SUM(Q39)+Q40,"")</f>
        <v/>
      </c>
      <c r="R41" s="136">
        <f>IF(ISNUMBER(R32),R32+R33+R35+R36+SUM(R37)+SUM(R38)+SUM(R39)+R40,"")</f>
        <v/>
      </c>
      <c r="S41" s="136">
        <f>IF(ISNUMBER(S32),S32+S33+S35+S36+SUM(S37)+SUM(S38)+SUM(S39)+S40,"")</f>
        <v/>
      </c>
      <c r="T41" s="136">
        <f>IF(ISNUMBER(T32),T32+T33+T35+T36+SUM(T37)+SUM(T38)+SUM(T39)+T40,"")</f>
        <v/>
      </c>
      <c r="U41" s="77" t="inlineStr">
        <is>
          <t>MODELLED.</t>
        </is>
      </c>
    </row>
    <row r="42" ht="15" customHeight="1" s="78">
      <c r="A42" s="77" t="inlineStr">
        <is>
          <t>DE</t>
        </is>
      </c>
      <c r="B42" s="77" t="inlineStr">
        <is>
          <t>E2 network: 2011 = 0 (§19(2) S.2 exemption, approvals eff. 01.01.2011); 2012–13 = 10% floor (8,000h; §32(7) retroactive, D32); 2014+ = Netz × (1−0.76), D8</t>
        </is>
      </c>
      <c r="C42" s="77" t="inlineStr">
        <is>
          <t>E2</t>
        </is>
      </c>
      <c r="E42" s="77" t="n">
        <v>0</v>
      </c>
      <c r="F42" s="77">
        <f>F33*0.1</f>
        <v/>
      </c>
      <c r="G42" s="77">
        <f>G33*0.1</f>
        <v/>
      </c>
      <c r="H42" s="136">
        <f>H33*(1-0.76)</f>
        <v/>
      </c>
      <c r="I42" s="136">
        <f>I33*(1-0.76)</f>
        <v/>
      </c>
      <c r="J42" s="136">
        <f>J33*(1-0.76)</f>
        <v/>
      </c>
      <c r="K42" s="136">
        <f>K33*(1-0.76)</f>
        <v/>
      </c>
      <c r="L42" s="136">
        <f>L33*(1-0.76)</f>
        <v/>
      </c>
      <c r="M42" s="136">
        <f>M33*(1-0.76)</f>
        <v/>
      </c>
      <c r="N42" s="136">
        <f>N33*(1-0.76)</f>
        <v/>
      </c>
      <c r="O42" s="136">
        <f>O33*(1-0.76)</f>
        <v/>
      </c>
      <c r="P42" s="136">
        <f>P33*(1-0.76)</f>
        <v/>
      </c>
      <c r="Q42" s="136">
        <f>Q33*(1-0.76)</f>
        <v/>
      </c>
      <c r="R42" s="136">
        <f>R33*(1-0.76)</f>
        <v/>
      </c>
      <c r="S42" s="136">
        <f>S33*(1-0.76)</f>
        <v/>
      </c>
      <c r="T42" s="136">
        <f>T33*(1-0.76)</f>
        <v/>
      </c>
      <c r="U42" s="77" t="inlineStr">
        <is>
          <t>AgNes 68-HS-site avg Bandlast rebate. estimated=Y. NEVER delete the band (rows below).</t>
        </is>
      </c>
    </row>
    <row r="43" ht="15" customHeight="1" s="78">
      <c r="A43" s="77" t="inlineStr">
        <is>
          <t>DE</t>
        </is>
      </c>
      <c r="B43" s="77" t="inlineStr">
        <is>
          <t>E2 network band LOW = 10% statutory floor (§19(2) S.2 Nr.3, ≥8,000h)</t>
        </is>
      </c>
      <c r="C43" s="77" t="inlineStr">
        <is>
          <t>E2 band</t>
        </is>
      </c>
      <c r="H43" s="136">
        <f>H33*0.1</f>
        <v/>
      </c>
      <c r="I43" s="136">
        <f>I33*0.1</f>
        <v/>
      </c>
      <c r="J43" s="136">
        <f>J33*0.1</f>
        <v/>
      </c>
      <c r="K43" s="136">
        <f>K33*0.1</f>
        <v/>
      </c>
      <c r="L43" s="136">
        <f>L33*0.1</f>
        <v/>
      </c>
      <c r="M43" s="136">
        <f>M33*0.1</f>
        <v/>
      </c>
      <c r="N43" s="136">
        <f>N33*0.1</f>
        <v/>
      </c>
      <c r="O43" s="136">
        <f>O33*0.1</f>
        <v/>
      </c>
      <c r="P43" s="136">
        <f>P33*0.1</f>
        <v/>
      </c>
      <c r="Q43" s="136">
        <f>Q33*0.1</f>
        <v/>
      </c>
      <c r="R43" s="136">
        <f>R33*0.1</f>
        <v/>
      </c>
      <c r="S43" s="136">
        <f>S33*0.1</f>
        <v/>
      </c>
      <c r="T43" s="136">
        <f>T33*0.1</f>
        <v/>
      </c>
    </row>
    <row r="44" ht="15" customHeight="1" s="78">
      <c r="A44" s="77" t="inlineStr">
        <is>
          <t>DE</t>
        </is>
      </c>
      <c r="B44" s="77" t="inlineStr">
        <is>
          <t>E2 network band HIGH = full published tariff</t>
        </is>
      </c>
      <c r="C44" s="77" t="inlineStr">
        <is>
          <t>E2 band</t>
        </is>
      </c>
      <c r="H44" s="136">
        <f>H33</f>
        <v/>
      </c>
      <c r="I44" s="136">
        <f>I33</f>
        <v/>
      </c>
      <c r="J44" s="136">
        <f>J33</f>
        <v/>
      </c>
      <c r="K44" s="136">
        <f>K33</f>
        <v/>
      </c>
      <c r="L44" s="136">
        <f>L33</f>
        <v/>
      </c>
      <c r="M44" s="136">
        <f>M33</f>
        <v/>
      </c>
      <c r="N44" s="136">
        <f>N33</f>
        <v/>
      </c>
      <c r="O44" s="136">
        <f>O33</f>
        <v/>
      </c>
      <c r="P44" s="136">
        <f>P33</f>
        <v/>
      </c>
      <c r="Q44" s="136">
        <f>Q33</f>
        <v/>
      </c>
      <c r="R44" s="136">
        <f>R33</f>
        <v/>
      </c>
      <c r="S44" s="136">
        <f>S33</f>
        <v/>
      </c>
      <c r="T44" s="136">
        <f>T33</f>
        <v/>
      </c>
    </row>
    <row r="45" ht="15" customHeight="1" s="78">
      <c r="A45" s="77" t="inlineStr">
        <is>
          <t>DE</t>
        </is>
      </c>
      <c r="B45" s="77" t="inlineStr">
        <is>
          <t>E2 EEG (BesAR: 0.05 ct floor era-central 2012–2021; band-high = uncapped 15% formula; 2022 H1 pro-rata; 2010–11 GAP)</t>
        </is>
      </c>
      <c r="C45" s="77" t="inlineStr">
        <is>
          <t>E2</t>
        </is>
      </c>
      <c r="D45" s="77" t="n">
        <v>0.5</v>
      </c>
      <c r="E45" s="77" t="n">
        <v>0.5</v>
      </c>
      <c r="F45" s="136" t="n">
        <v>0.5</v>
      </c>
      <c r="G45" s="136" t="n">
        <v>0.5</v>
      </c>
      <c r="H45" s="136" t="n">
        <v>0.5</v>
      </c>
      <c r="I45" s="136" t="n">
        <v>0.5</v>
      </c>
      <c r="J45" s="136" t="n">
        <v>0.5</v>
      </c>
      <c r="K45" s="136" t="n">
        <v>0.5</v>
      </c>
      <c r="L45" s="136" t="n">
        <v>0.5</v>
      </c>
      <c r="M45" s="136" t="n">
        <v>0.5</v>
      </c>
      <c r="N45" s="136" t="n">
        <v>0.5</v>
      </c>
      <c r="O45" s="136" t="n">
        <v>0.5</v>
      </c>
      <c r="P45" s="136" t="n">
        <v>0.25</v>
      </c>
      <c r="Q45" s="136" t="n">
        <v>0</v>
      </c>
      <c r="R45" s="136" t="n">
        <v>0</v>
      </c>
      <c r="S45" s="136" t="n">
        <v>0</v>
      </c>
      <c r="T45" s="136" t="n">
        <v>0</v>
      </c>
      <c r="U45" s="77" t="inlineStr">
        <is>
          <t>REGIME SPLIT (Q90, 2026-07-24). 2010–2012 = EEG 2009 §§40–44 + §6 AusglMechV: flat 0.05 ct/kWh cap on the privileged volume, with a 10% SELBSTBEHALT at the full Umlage UNLESS the site clears BOTH ≥100 GWh AND ≥20% Stromkosten/Bruttowertschöpfung (§41(3) S.1 — the limbs are joined by "oder", so failing either brings the Selbstbehalt back). The large archetype (500 GWh) is modelled vollbegünstigt, so 0.05 ct/kWh across the whole volume = 0.5 €/MWh, unchanged 2010–2012. 2013+ = EEG 2012 §41(3) tranche ladder (≤1 GWh full / 1–10 GWh 10% / 10–100 GWh 1% / &gt;100 GWh 0.05 ct), then EEG 2014/2017/2021 §64 floors 0.05 (cap assumed binding — typical large EII; est=Y). CRITICAL TIMING: the EEG 2012 ladder FIRST APPLIES TO BENEFIT YEAR 2013, not 2012 — §43(1) makes applications due 30 June effective 1 January of the FOLLOWING year, and §66(13) EEG 2012 applies §41 to applications made IN 2012. Benefit year 2012 ran on applications filed 30.06.2011 under EEG 2009. Empirical confirmation: privileged undertakings 734 (2012) → 1,691 (2013) when the 1 GWh threshold bit. S189/S191. High-band 2013+: =(1+0.15×499)/500×Umlage.</t>
        </is>
      </c>
    </row>
    <row r="46" ht="15" customHeight="1" s="78">
      <c r="A46" s="77" t="inlineStr">
        <is>
          <t>DE</t>
        </is>
      </c>
      <c r="B46" s="77" t="inlineStr">
        <is>
          <t>E2 EEG band HIGH (no cap: 1 GWh full + 15% above)</t>
        </is>
      </c>
      <c r="C46" s="77" t="inlineStr">
        <is>
          <t>E2 band</t>
        </is>
      </c>
      <c r="D46" s="77">
        <f>(0.1*stage4_de!D21+0.9*0.05)*10</f>
        <v/>
      </c>
      <c r="E46" s="77">
        <f>(0.1*stage4_de!E21+0.9*0.05)*10</f>
        <v/>
      </c>
      <c r="F46" s="136">
        <f>(1*stage4_de!F21+499*0.15*stage4_de!F21)/500*10</f>
        <v/>
      </c>
      <c r="G46" s="136">
        <f>(1*stage4_de!G21+499*0.15*stage4_de!G21)/500*10</f>
        <v/>
      </c>
      <c r="H46" s="136">
        <f>(1*stage4_de!H21+499*0.15*stage4_de!H21)/500*10</f>
        <v/>
      </c>
      <c r="I46" s="136">
        <f>(1*stage4_de!I21+499*0.15*stage4_de!I21)/500*10</f>
        <v/>
      </c>
      <c r="J46" s="136">
        <f>(1*stage4_de!J21+499*0.15*stage4_de!J21)/500*10</f>
        <v/>
      </c>
      <c r="K46" s="136">
        <f>(1*stage4_de!K21+499*0.15*stage4_de!K21)/500*10</f>
        <v/>
      </c>
      <c r="L46" s="136">
        <f>(1*stage4_de!L21+499*0.15*stage4_de!L21)/500*10</f>
        <v/>
      </c>
      <c r="M46" s="136">
        <f>(1*stage4_de!M21+499*0.15*stage4_de!M21)/500*10</f>
        <v/>
      </c>
      <c r="N46" s="136">
        <f>(1*stage4_de!N21+499*0.15*stage4_de!N21)/500*10</f>
        <v/>
      </c>
      <c r="O46" s="136">
        <f>(1*stage4_de!O21+499*0.15*stage4_de!O21)/500*10</f>
        <v/>
      </c>
      <c r="P46" s="136">
        <f>(1*stage4_de!P21+499*0.15*stage4_de!P21)/500*10</f>
        <v/>
      </c>
      <c r="Q46" s="136">
        <f>(1*stage4_de!Q21+499*0.15*stage4_de!Q21)/500*10</f>
        <v/>
      </c>
      <c r="R46" s="136">
        <f>(1*stage4_de!R21+499*0.15*stage4_de!R21)/500*10</f>
        <v/>
      </c>
      <c r="S46" s="136">
        <f>(1*stage4_de!S21+499*0.15*stage4_de!S21)/500*10</f>
        <v/>
      </c>
      <c r="T46" s="136">
        <f>(1*stage4_de!T21+499*0.15*stage4_de!T21)/500*10</f>
        <v/>
      </c>
      <c r="U46" s="77" t="inlineStr">
        <is>
          <t>2010–2012 band HIGH = the TEILBEGÜNSTIGT outcome, i.e. a large site that clears 15% but not 20% Stromkosten/BWS and therefore keeps the 10% Selbstbehalt: 0.1×Umlage + 0.9×0.05 ct. This is the correct EEG 2009 upper case and replaces the EEG-2012 tranche formula, which did not apply before benefit year 2013. Q90 / S189.</t>
        </is>
      </c>
    </row>
    <row r="47" ht="15" customHeight="1" s="78">
      <c r="A47" s="77" t="inlineStr">
        <is>
          <t>DE</t>
        </is>
      </c>
      <c r="B47" s="77" t="inlineStr">
        <is>
          <t>E2 KWKG (2016 C′ blend; other years = E1, flagged — D25 overstates E2)</t>
        </is>
      </c>
      <c r="C47" s="77" t="inlineStr">
        <is>
          <t>E2</t>
        </is>
      </c>
      <c r="D47" s="136">
        <f>D36</f>
        <v/>
      </c>
      <c r="E47" s="136">
        <f>E36</f>
        <v/>
      </c>
      <c r="F47" s="136">
        <f>F36</f>
        <v/>
      </c>
      <c r="G47" s="136">
        <f>G36</f>
        <v/>
      </c>
      <c r="H47" s="136">
        <f>H36</f>
        <v/>
      </c>
      <c r="I47" s="136">
        <f>I36</f>
        <v/>
      </c>
      <c r="J47" s="136">
        <f>(1*stage4_de!J22+499*stage4_de!J24)/500*10</f>
        <v/>
      </c>
      <c r="K47" s="136">
        <f>K36</f>
        <v/>
      </c>
      <c r="L47" s="136">
        <f>L36</f>
        <v/>
      </c>
      <c r="M47" s="136">
        <f>M36</f>
        <v/>
      </c>
      <c r="N47" s="136">
        <f>N36</f>
        <v/>
      </c>
      <c r="O47" s="136">
        <f>O36</f>
        <v/>
      </c>
      <c r="P47" s="136">
        <f>P36</f>
        <v/>
      </c>
      <c r="Q47" s="136">
        <f>Q36</f>
        <v/>
      </c>
      <c r="R47" s="136">
        <f>R36</f>
        <v/>
      </c>
      <c r="S47" s="136">
        <f>S36</f>
        <v/>
      </c>
      <c r="T47" s="136">
        <f>T36</f>
        <v/>
      </c>
      <c r="U47" s="77" t="inlineStr">
        <is>
          <t>Kat C 2010–15 GAP; privileged rates company-specific 2017+ (D25).</t>
        </is>
      </c>
    </row>
    <row r="48" ht="15" customHeight="1" s="78">
      <c r="A48" s="77" t="inlineStr">
        <is>
          <t>DE</t>
        </is>
      </c>
      <c r="B48" s="77" t="inlineStr">
        <is>
          <t>E2 §19-Umlage (C′ stromintensiv blend)</t>
        </is>
      </c>
      <c r="C48" s="77" t="inlineStr">
        <is>
          <t>E2</t>
        </is>
      </c>
      <c r="F48" s="136">
        <f>(1*stage4_de!F25+499*stage4_de!F27)/500*10</f>
        <v/>
      </c>
      <c r="G48" s="136">
        <f>(1*stage4_de!G25+499*stage4_de!G27)/500*10</f>
        <v/>
      </c>
      <c r="H48" s="136">
        <f>(1*stage4_de!H25+499*stage4_de!H27)/500*10</f>
        <v/>
      </c>
      <c r="I48" s="136">
        <f>(1*stage4_de!I25+499*stage4_de!I27)/500*10</f>
        <v/>
      </c>
      <c r="J48" s="136">
        <f>(1*stage4_de!J25+499*stage4_de!J27)/500*10</f>
        <v/>
      </c>
      <c r="K48" s="136">
        <f>(1*stage4_de!K25+499*stage4_de!K27)/500*10</f>
        <v/>
      </c>
      <c r="L48" s="136">
        <f>(1*stage4_de!L25+499*stage4_de!L27)/500*10</f>
        <v/>
      </c>
      <c r="M48" s="136">
        <f>(1*stage4_de!M25+499*stage4_de!M27)/500*10</f>
        <v/>
      </c>
      <c r="N48" s="136">
        <f>(1*stage4_de!N25+499*stage4_de!N27)/500*10</f>
        <v/>
      </c>
      <c r="O48" s="136">
        <f>(1*stage4_de!O25+499*stage4_de!O27)/500*10</f>
        <v/>
      </c>
      <c r="P48" s="136">
        <f>(1*stage4_de!P25+499*stage4_de!P27)/500*10</f>
        <v/>
      </c>
      <c r="Q48" s="136">
        <f>(1*stage4_de!Q25+499*stage4_de!Q27)/500*10</f>
        <v/>
      </c>
      <c r="R48" s="136">
        <f>(1*stage4_de!R25+499*stage4_de!R27)/500*10</f>
        <v/>
      </c>
      <c r="S48" s="136">
        <f>(1*stage4_de!S25+499*stage4_de!S27)/500*10</f>
        <v/>
      </c>
      <c r="T48" s="136">
        <f>(1*stage4_de!T25+499*stage4_de!T27)/500*10</f>
        <v/>
      </c>
    </row>
    <row r="49" ht="15" customHeight="1" s="78">
      <c r="A49" s="77" t="inlineStr">
        <is>
          <t>DE</t>
        </is>
      </c>
      <c r="B49" s="77" t="inlineStr">
        <is>
          <t>E2 Offshore (Kat C blend 2013–18; = E1 2019+, D25)</t>
        </is>
      </c>
      <c r="C49" s="77" t="inlineStr">
        <is>
          <t>E2</t>
        </is>
      </c>
      <c r="G49" s="136">
        <f>(1*stage4_de!G28+499*stage4_de!G30)/500*10</f>
        <v/>
      </c>
      <c r="H49" s="136">
        <f>(1*stage4_de!H28+499*stage4_de!H30)/500*10</f>
        <v/>
      </c>
      <c r="I49" s="136">
        <f>(1*stage4_de!I28+499*stage4_de!I30)/500*10</f>
        <v/>
      </c>
      <c r="J49" s="136">
        <f>(1*stage4_de!J28+499*stage4_de!J30)/500*10</f>
        <v/>
      </c>
      <c r="K49" s="136">
        <f>(1*stage4_de!K28+499*stage4_de!K30)/500*10</f>
        <v/>
      </c>
      <c r="L49" s="136">
        <f>(1*stage4_de!L28+499*stage4_de!L30)/500*10</f>
        <v/>
      </c>
      <c r="M49" s="136">
        <f>M38</f>
        <v/>
      </c>
      <c r="N49" s="136">
        <f>N38</f>
        <v/>
      </c>
      <c r="O49" s="136">
        <f>O38</f>
        <v/>
      </c>
      <c r="P49" s="136">
        <f>P38</f>
        <v/>
      </c>
      <c r="Q49" s="136">
        <f>Q38</f>
        <v/>
      </c>
      <c r="R49" s="136">
        <f>R38</f>
        <v/>
      </c>
      <c r="S49" s="136">
        <f>S38</f>
        <v/>
      </c>
      <c r="T49" s="136">
        <f>T38</f>
        <v/>
      </c>
    </row>
    <row r="50" ht="15" customHeight="1" s="78">
      <c r="A50" s="77" t="inlineStr">
        <is>
          <t>DE</t>
        </is>
      </c>
      <c r="B50" s="77" t="inlineStr">
        <is>
          <t>E2 Stromsteuer (2010 §9(3) 12.30; §9b 2011+; §10 Spitzenausgleich NOT modelled — overstates E2)</t>
        </is>
      </c>
      <c r="C50" s="77" t="inlineStr">
        <is>
          <t>E2</t>
        </is>
      </c>
      <c r="D50" s="77">
        <f>stage4_de!D35</f>
        <v/>
      </c>
      <c r="E50" s="136">
        <f>stage4_de!E35</f>
        <v/>
      </c>
      <c r="F50" s="136">
        <f>stage4_de!F35</f>
        <v/>
      </c>
      <c r="G50" s="136">
        <f>stage4_de!G35</f>
        <v/>
      </c>
      <c r="H50" s="136">
        <f>stage4_de!H35</f>
        <v/>
      </c>
      <c r="I50" s="136">
        <f>stage4_de!I35</f>
        <v/>
      </c>
      <c r="J50" s="136">
        <f>stage4_de!J35</f>
        <v/>
      </c>
      <c r="K50" s="136">
        <f>stage4_de!K35</f>
        <v/>
      </c>
      <c r="L50" s="136">
        <f>stage4_de!L35</f>
        <v/>
      </c>
      <c r="M50" s="136">
        <f>stage4_de!M35</f>
        <v/>
      </c>
      <c r="N50" s="136">
        <f>stage4_de!N35</f>
        <v/>
      </c>
      <c r="O50" s="136">
        <f>stage4_de!O35</f>
        <v/>
      </c>
      <c r="P50" s="136">
        <f>stage4_de!P35</f>
        <v/>
      </c>
      <c r="Q50" s="136">
        <f>stage4_de!Q35</f>
        <v/>
      </c>
      <c r="R50" s="136">
        <f>stage4_de!R35</f>
        <v/>
      </c>
      <c r="S50" s="136">
        <f>stage4_de!S35</f>
        <v/>
      </c>
      <c r="T50" s="136">
        <f>stage4_de!T35</f>
        <v/>
      </c>
    </row>
    <row r="51" ht="15" customHeight="1" s="78">
      <c r="A51" s="77" t="inlineStr">
        <is>
          <t>DE</t>
        </is>
      </c>
      <c r="B51" s="77" t="inlineStr">
        <is>
          <t>E2 TOTAL central (2014–2025; SPK not netted — wholesale carbon relief unmodelled, qc)</t>
        </is>
      </c>
      <c r="C51" s="77" t="inlineStr">
        <is>
          <t>E2</t>
        </is>
      </c>
      <c r="D51" s="136">
        <f>IF(AND(ISNUMBER(D32),ISNUMBER(D42),ISNUMBER(D45)),D32+D42+D45+D47+SUM(D48)+SUM(D49)+SUM(D39)+D50,"")</f>
        <v/>
      </c>
      <c r="E51" s="136">
        <f>IF(AND(ISNUMBER(E32),ISNUMBER(E42),ISNUMBER(E45)),E32+E42+E45+E47+SUM(E48)+SUM(E49)+SUM(E39)+E50,"")</f>
        <v/>
      </c>
      <c r="F51" s="136">
        <f>IF(AND(ISNUMBER(F32),ISNUMBER(F42),ISNUMBER(F45)),F32+F42+F45+F47+SUM(F48)+SUM(F49)+SUM(F39)+F50,"")</f>
        <v/>
      </c>
      <c r="G51" s="136">
        <f>IF(AND(ISNUMBER(G32),ISNUMBER(G42),ISNUMBER(G45)),G32+G42+G45+G47+SUM(G48)+SUM(G49)+SUM(G39)+G50,"")</f>
        <v/>
      </c>
      <c r="H51" s="136">
        <f>IF(AND(ISNUMBER(H32),ISNUMBER(H42),ISNUMBER(H45)),H32+H42+H45+H47+SUM(H48)+SUM(H49)+SUM(H39)+H50,"")</f>
        <v/>
      </c>
      <c r="I51" s="136">
        <f>IF(AND(ISNUMBER(I32),ISNUMBER(I42),ISNUMBER(I45)),I32+I42+I45+I47+SUM(I48)+SUM(I49)+SUM(I39)+I50,"")</f>
        <v/>
      </c>
      <c r="J51" s="136">
        <f>IF(AND(ISNUMBER(J32),ISNUMBER(J42),ISNUMBER(J45)),J32+J42+J45+J47+SUM(J48)+SUM(J49)+SUM(J39)+J50,"")</f>
        <v/>
      </c>
      <c r="K51" s="136">
        <f>IF(AND(ISNUMBER(K32),ISNUMBER(K42),ISNUMBER(K45)),K32+K42+K45+K47+SUM(K48)+SUM(K49)+SUM(K39)+K50,"")</f>
        <v/>
      </c>
      <c r="L51" s="136">
        <f>IF(AND(ISNUMBER(L32),ISNUMBER(L42),ISNUMBER(L45)),L32+L42+L45+L47+SUM(L48)+SUM(L49)+SUM(L39)+L50,"")</f>
        <v/>
      </c>
      <c r="M51" s="136">
        <f>IF(AND(ISNUMBER(M32),ISNUMBER(M42),ISNUMBER(M45)),M32+M42+M45+M47+SUM(M48)+SUM(M49)+SUM(M39)+M50,"")</f>
        <v/>
      </c>
      <c r="N51" s="136">
        <f>IF(AND(ISNUMBER(N32),ISNUMBER(N42),ISNUMBER(N45)),N32+N42+N45+N47+SUM(N48)+SUM(N49)+SUM(N39)+N50,"")</f>
        <v/>
      </c>
      <c r="O51" s="136">
        <f>IF(AND(ISNUMBER(O32),ISNUMBER(O42),ISNUMBER(O45)),O32+O42+O45+O47+SUM(O48)+SUM(O49)+SUM(O39)+O50,"")</f>
        <v/>
      </c>
      <c r="P51" s="136">
        <f>IF(AND(ISNUMBER(P32),ISNUMBER(P42),ISNUMBER(P45)),P32+P42+P45+P47+SUM(P48)+SUM(P49)+SUM(P39)+P50,"")</f>
        <v/>
      </c>
      <c r="Q51" s="136">
        <f>IF(AND(ISNUMBER(Q32),ISNUMBER(Q42),ISNUMBER(Q45)),Q32+Q42+Q45+Q47+SUM(Q48)+SUM(Q49)+SUM(Q39)+Q50,"")</f>
        <v/>
      </c>
      <c r="R51" s="136">
        <f>IF(AND(ISNUMBER(R32),ISNUMBER(R42),ISNUMBER(R45)),R32+R42+R45+R47+SUM(R48)+SUM(R49)+SUM(R39)+R50,"")</f>
        <v/>
      </c>
      <c r="S51" s="136">
        <f>IF(AND(ISNUMBER(S32),ISNUMBER(S42),ISNUMBER(S45)),S32+S42+S45+S47+SUM(S48)+SUM(S49)+SUM(S39)+S50,"")</f>
        <v/>
      </c>
      <c r="T51" s="136">
        <f>IF(AND(ISNUMBER(T32),ISNUMBER(T42),ISNUMBER(T45)),T32+T42+T45+T47+SUM(T48)+SUM(T49)+SUM(T39)+T50,"")</f>
        <v/>
      </c>
      <c r="U51" s="77" t="inlineStr">
        <is>
          <t>MODELLED. Band = swap network central for low/high rows.</t>
        </is>
      </c>
    </row>
    <row r="52" ht="15" customHeight="1" s="78">
      <c r="A52" s="77" t="inlineStr">
        <is>
          <t>DE</t>
        </is>
      </c>
      <c r="B52" s="77" t="inlineStr">
        <is>
          <t>E2 TOTAL band LOW (network at 10% floor)</t>
        </is>
      </c>
      <c r="C52" s="77" t="inlineStr">
        <is>
          <t>E2 band</t>
        </is>
      </c>
      <c r="D52" s="136">
        <f>IF(ISNUMBER(D51),D51-D42+D43,"")</f>
        <v/>
      </c>
      <c r="E52" s="136">
        <f>IF(ISNUMBER(E51),E51-E42+E43,"")</f>
        <v/>
      </c>
      <c r="F52" s="136">
        <f>IF(ISNUMBER(F51),F51-F42+F43,"")</f>
        <v/>
      </c>
      <c r="G52" s="136">
        <f>IF(ISNUMBER(G51),G51-G42+G43,"")</f>
        <v/>
      </c>
      <c r="H52" s="136">
        <f>IF(ISNUMBER(H51),H51-H42+H43,"")</f>
        <v/>
      </c>
      <c r="I52" s="136">
        <f>IF(ISNUMBER(I51),I51-I42+I43,"")</f>
        <v/>
      </c>
      <c r="J52" s="136">
        <f>IF(ISNUMBER(J51),J51-J42+J43,"")</f>
        <v/>
      </c>
      <c r="K52" s="136">
        <f>IF(ISNUMBER(K51),K51-K42+K43,"")</f>
        <v/>
      </c>
      <c r="L52" s="136">
        <f>IF(ISNUMBER(L51),L51-L42+L43,"")</f>
        <v/>
      </c>
      <c r="M52" s="136">
        <f>IF(ISNUMBER(M51),M51-M42+M43,"")</f>
        <v/>
      </c>
      <c r="N52" s="136">
        <f>IF(ISNUMBER(N51),N51-N42+N43,"")</f>
        <v/>
      </c>
      <c r="O52" s="136">
        <f>IF(ISNUMBER(O51),O51-O42+O43,"")</f>
        <v/>
      </c>
      <c r="P52" s="136">
        <f>IF(ISNUMBER(P51),P51-P42+P43,"")</f>
        <v/>
      </c>
      <c r="Q52" s="136">
        <f>IF(ISNUMBER(Q51),Q51-Q42+Q43,"")</f>
        <v/>
      </c>
      <c r="R52" s="136">
        <f>IF(ISNUMBER(R51),R51-R42+R43,"")</f>
        <v/>
      </c>
      <c r="S52" s="136">
        <f>IF(ISNUMBER(S51),S51-S42+S43,"")</f>
        <v/>
      </c>
      <c r="T52" s="136">
        <f>IF(ISNUMBER(T51),T51-T42+T43,"")</f>
        <v/>
      </c>
    </row>
    <row r="53" ht="15" customHeight="1" s="78">
      <c r="A53" s="77" t="inlineStr">
        <is>
          <t>DE</t>
        </is>
      </c>
      <c r="B53" s="77" t="inlineStr">
        <is>
          <t>E2 TOTAL band HIGH (network full + EEG high-band)</t>
        </is>
      </c>
      <c r="C53" s="77" t="inlineStr">
        <is>
          <t>E2 band</t>
        </is>
      </c>
      <c r="D53" s="136">
        <f>IF(ISNUMBER(D51),D51-D42+D44-D45+SUM(D46),"")</f>
        <v/>
      </c>
      <c r="E53" s="136">
        <f>IF(ISNUMBER(E51),E51-E42+E44-E45+SUM(E46),"")</f>
        <v/>
      </c>
      <c r="F53" s="136">
        <f>IF(ISNUMBER(F51),F51-F42+F44-F45+SUM(F46),"")</f>
        <v/>
      </c>
      <c r="G53" s="136">
        <f>IF(ISNUMBER(G51),G51-G42+G44-G45+SUM(G46),"")</f>
        <v/>
      </c>
      <c r="H53" s="136">
        <f>IF(ISNUMBER(H51),H51-H42+H44-H45+SUM(H46),"")</f>
        <v/>
      </c>
      <c r="I53" s="136">
        <f>IF(ISNUMBER(I51),I51-I42+I44-I45+SUM(I46),"")</f>
        <v/>
      </c>
      <c r="J53" s="136">
        <f>IF(ISNUMBER(J51),J51-J42+J44-J45+SUM(J46),"")</f>
        <v/>
      </c>
      <c r="K53" s="136">
        <f>IF(ISNUMBER(K51),K51-K42+K44-K45+SUM(K46),"")</f>
        <v/>
      </c>
      <c r="L53" s="136">
        <f>IF(ISNUMBER(L51),L51-L42+L44-L45+SUM(L46),"")</f>
        <v/>
      </c>
      <c r="M53" s="136">
        <f>IF(ISNUMBER(M51),M51-M42+M44-M45+SUM(M46),"")</f>
        <v/>
      </c>
      <c r="N53" s="136">
        <f>IF(ISNUMBER(N51),N51-N42+N44-N45+SUM(N46),"")</f>
        <v/>
      </c>
      <c r="O53" s="136">
        <f>IF(ISNUMBER(O51),O51-O42+O44-O45+SUM(O46),"")</f>
        <v/>
      </c>
      <c r="P53" s="136">
        <f>IF(ISNUMBER(P51),P51-P42+P44-P45+SUM(P46),"")</f>
        <v/>
      </c>
      <c r="Q53" s="136">
        <f>IF(ISNUMBER(Q51),Q51-Q42+Q44-Q45+SUM(Q46),"")</f>
        <v/>
      </c>
      <c r="R53" s="136">
        <f>IF(ISNUMBER(R51),R51-R42+R44-R45+SUM(R46),"")</f>
        <v/>
      </c>
      <c r="S53" s="136">
        <f>IF(ISNUMBER(S51),S51-S42+S44-S45+SUM(S46),"")</f>
        <v/>
      </c>
      <c r="T53" s="136">
        <f>IF(ISNUMBER(T51),T51-T42+T44-T45+SUM(T46),"")</f>
        <v/>
      </c>
    </row>
    <row r="54" ht="15" customHeight="1" s="78">
      <c r="A54" s="77" t="inlineStr">
        <is>
          <t>DE</t>
        </is>
      </c>
      <c r="B54" s="77" t="inlineStr">
        <is>
          <t>OBSERVED: Eurostat IF (70–150 GWh) annual (validation); IG (≥150 GWh) from 2020 below</t>
        </is>
      </c>
      <c r="C54" s="77" t="inlineStr">
        <is>
          <t>obs</t>
        </is>
      </c>
      <c r="D54" s="136">
        <f>stage4_de!D42*1000</f>
        <v/>
      </c>
      <c r="E54" s="136">
        <f>stage4_de!E42*1000</f>
        <v/>
      </c>
      <c r="F54" s="136">
        <f>stage4_de!F42*1000</f>
        <v/>
      </c>
      <c r="G54" s="136">
        <f>stage4_de!G42*1000</f>
        <v/>
      </c>
      <c r="H54" s="136">
        <f>stage4_de!H42*1000</f>
        <v/>
      </c>
      <c r="I54" s="136">
        <f>stage4_de!I42*1000</f>
        <v/>
      </c>
      <c r="J54" s="136">
        <f>stage4_de!J42*1000</f>
        <v/>
      </c>
      <c r="K54" s="136">
        <f>stage4_de!K42*1000</f>
        <v/>
      </c>
      <c r="L54" s="136">
        <f>stage4_de!L42*1000</f>
        <v/>
      </c>
      <c r="M54" s="136">
        <f>stage4_de!M42*1000</f>
        <v/>
      </c>
      <c r="N54" s="136">
        <f>stage4_de!N42*1000</f>
        <v/>
      </c>
      <c r="O54" s="136">
        <f>stage4_de!O42*1000</f>
        <v/>
      </c>
      <c r="P54" s="136">
        <f>stage4_de!P42*1000</f>
        <v/>
      </c>
      <c r="Q54" s="136">
        <f>stage4_de!Q42*1000</f>
        <v/>
      </c>
      <c r="R54" s="136">
        <f>stage4_de!R42*1000</f>
        <v/>
      </c>
      <c r="S54" s="136">
        <f>stage4_de!S42*1000</f>
        <v/>
      </c>
      <c r="U54" s="77" t="inlineStr">
        <is>
          <t>Semester avg, est=Y (D7).</t>
        </is>
      </c>
    </row>
    <row r="55" ht="15" customHeight="1" s="78">
      <c r="A55" s="77" t="inlineStr">
        <is>
          <t>DE</t>
        </is>
      </c>
      <c r="B55" s="77" t="inlineStr">
        <is>
          <t>OBSERVED: Eurostat IG annual (2020+)</t>
        </is>
      </c>
      <c r="C55" s="77" t="inlineStr">
        <is>
          <t>obs</t>
        </is>
      </c>
      <c r="N55" s="136">
        <f>stage4_de!N45*1000</f>
        <v/>
      </c>
      <c r="O55" s="136">
        <f>stage4_de!O45*1000</f>
        <v/>
      </c>
      <c r="P55" s="136">
        <f>stage4_de!P45*1000</f>
        <v/>
      </c>
      <c r="Q55" s="136">
        <f>stage4_de!Q45*1000</f>
        <v/>
      </c>
      <c r="R55" s="136">
        <f>stage4_de!R45*1000</f>
        <v/>
      </c>
      <c r="S55" s="136">
        <f>stage4_de!S45*1000</f>
        <v/>
      </c>
      <c r="U55" s="77" t="inlineStr">
        <is>
          <t>Q21: IG usable 2019-S2+.</t>
        </is>
      </c>
    </row>
    <row r="56" ht="15" customHeight="1" s="78">
      <c r="A56" s="131" t="inlineStr">
        <is>
          <t>DE — MEDIUM archetype (20 GWh, 5,000h, Mittelspannung, Westnetz). Nominal €/MWh.</t>
        </is>
      </c>
      <c r="B56" s="134" t="n"/>
      <c r="C56" s="134" t="n"/>
      <c r="D56" s="134" t="n"/>
      <c r="E56" s="134" t="n"/>
      <c r="F56" s="134" t="n"/>
      <c r="G56" s="134" t="n"/>
      <c r="H56" s="134" t="n"/>
      <c r="I56" s="134" t="n"/>
      <c r="J56" s="134" t="n"/>
      <c r="K56" s="134" t="n"/>
      <c r="L56" s="134" t="n"/>
      <c r="M56" s="134" t="n"/>
      <c r="N56" s="134" t="n"/>
      <c r="O56" s="134" t="n"/>
      <c r="P56" s="134" t="n"/>
      <c r="Q56" s="134" t="n"/>
      <c r="R56" s="134" t="n"/>
      <c r="S56" s="134" t="n"/>
      <c r="T56" s="134" t="n"/>
      <c r="U56" s="134" t="n"/>
    </row>
    <row r="57" ht="15" customHeight="1" s="78">
      <c r="A57" s="77" t="inlineStr">
        <is>
          <t>DE</t>
        </is>
      </c>
      <c r="B57" s="77" t="inlineStr">
        <is>
          <t>Wholesale (as large)</t>
        </is>
      </c>
      <c r="C57" s="77" t="inlineStr">
        <is>
          <t>E1+E2</t>
        </is>
      </c>
      <c r="E57" s="136">
        <f>SUM(E32)</f>
        <v/>
      </c>
      <c r="F57" s="136">
        <f>SUM(F32)</f>
        <v/>
      </c>
      <c r="G57" s="136">
        <f>SUM(G32)</f>
        <v/>
      </c>
      <c r="H57" s="136">
        <f>SUM(H32)</f>
        <v/>
      </c>
      <c r="I57" s="136">
        <f>SUM(I32)</f>
        <v/>
      </c>
      <c r="J57" s="136">
        <f>SUM(J32)</f>
        <v/>
      </c>
      <c r="K57" s="136">
        <f>SUM(K32)</f>
        <v/>
      </c>
      <c r="L57" s="136">
        <f>SUM(L32)</f>
        <v/>
      </c>
      <c r="M57" s="136">
        <f>SUM(M32)</f>
        <v/>
      </c>
      <c r="N57" s="136">
        <f>SUM(N32)</f>
        <v/>
      </c>
      <c r="O57" s="136">
        <f>SUM(O32)</f>
        <v/>
      </c>
      <c r="P57" s="136">
        <f>SUM(P32)</f>
        <v/>
      </c>
      <c r="Q57" s="136">
        <f>SUM(Q32)</f>
        <v/>
      </c>
      <c r="R57" s="136">
        <f>SUM(R32)</f>
        <v/>
      </c>
      <c r="S57" s="136">
        <f>SUM(S32)</f>
        <v/>
      </c>
      <c r="T57" s="77">
        <f>SUM(T32)</f>
        <v/>
      </c>
    </row>
    <row r="58" ht="15" customHeight="1" s="78">
      <c r="A58" s="77" t="inlineStr">
        <is>
          <t>DE</t>
        </is>
      </c>
      <c r="B58" s="77" t="inlineStr">
        <is>
          <t>Netzentgelte MS (Westnetz 2013+; MB national-avg bridge 2010–12, 6,000h case — flagged, D20)</t>
        </is>
      </c>
      <c r="C58" s="77" t="inlineStr">
        <is>
          <t>E1=E2 network</t>
        </is>
      </c>
      <c r="D58" s="136">
        <f>stage4_de!D17*10</f>
        <v/>
      </c>
      <c r="E58" s="136">
        <f>stage4_de!E17*10</f>
        <v/>
      </c>
      <c r="F58" s="136">
        <f>stage4_de!F17*10</f>
        <v/>
      </c>
      <c r="G58" s="136">
        <f>stage4_de!G15*1000/assumptions!$C$7+stage4_de!G16*10</f>
        <v/>
      </c>
      <c r="H58" s="136">
        <f>stage4_de!H15*1000/assumptions!$C$7+stage4_de!H16*10</f>
        <v/>
      </c>
      <c r="I58" s="136">
        <f>stage4_de!I15*1000/assumptions!$C$7+stage4_de!I16*10</f>
        <v/>
      </c>
      <c r="J58" s="136">
        <f>stage4_de!J15*1000/assumptions!$C$7+stage4_de!J16*10</f>
        <v/>
      </c>
      <c r="K58" s="136">
        <f>stage4_de!K15*1000/assumptions!$C$7+stage4_de!K16*10</f>
        <v/>
      </c>
      <c r="L58" s="136">
        <f>stage4_de!L15*1000/assumptions!$C$7+stage4_de!L16*10</f>
        <v/>
      </c>
      <c r="M58" s="136">
        <f>stage4_de!M15*1000/assumptions!$C$7+stage4_de!M16*10</f>
        <v/>
      </c>
      <c r="N58" s="136">
        <f>stage4_de!N15*1000/assumptions!$C$7+stage4_de!N16*10</f>
        <v/>
      </c>
      <c r="O58" s="136">
        <f>stage4_de!O15*1000/assumptions!$C$7+stage4_de!O16*10</f>
        <v/>
      </c>
      <c r="P58" s="136">
        <f>stage4_de!P15*1000/assumptions!$C$7+stage4_de!P16*10</f>
        <v/>
      </c>
      <c r="Q58" s="136">
        <f>stage4_de!Q15*1000/assumptions!$C$7+stage4_de!Q16*10</f>
        <v/>
      </c>
      <c r="R58" s="136">
        <f>stage4_de!R15*1000/assumptions!$C$7+stage4_de!R16*10</f>
        <v/>
      </c>
      <c r="S58" s="136">
        <f>stage4_de!S15*1000/assumptions!$C$7+stage4_de!S16*10</f>
        <v/>
      </c>
      <c r="T58" s="136">
        <f>stage4_de!T15*1000/assumptions!$C$7+stage4_de!T16*10</f>
        <v/>
      </c>
      <c r="U58" s="77" t="inlineStr">
        <is>
          <t>No §19 relief at 5,000h (fails Satz 2). Bridge era methodology break marked.</t>
        </is>
      </c>
    </row>
    <row r="59" ht="15" customHeight="1" s="78">
      <c r="A59" s="77" t="inlineStr">
        <is>
          <t>DE</t>
        </is>
      </c>
      <c r="B59" s="77" t="inlineStr">
        <is>
          <t>Umlagen E1 (EEG full + KWKG/§19/Offshore blends at 20 GWh + AbLaV)</t>
        </is>
      </c>
      <c r="C59" s="77" t="inlineStr">
        <is>
          <t>E1</t>
        </is>
      </c>
      <c r="D59" s="136">
        <f>stage4_de!D21*10+(0.1*stage4_de!D22+19.9*stage4_de!D23)/20*10</f>
        <v/>
      </c>
      <c r="E59" s="136">
        <f>stage4_de!E21*10+(0.1*stage4_de!E22+19.9*stage4_de!E23)/20*10</f>
        <v/>
      </c>
      <c r="F59" s="136">
        <f>stage4_de!F21*10+(0.1*stage4_de!F22+19.9*stage4_de!F23)/20*10+(1*stage4_de!F25+19*stage4_de!F26)/20*10</f>
        <v/>
      </c>
      <c r="G59" s="136">
        <f>stage4_de!G21*10+(0.1*stage4_de!G22+19.9*stage4_de!G23)/20*10+(1*stage4_de!G25+19*stage4_de!G26)/20*10+(1*stage4_de!G28+19*stage4_de!G29)/20*10</f>
        <v/>
      </c>
      <c r="H59" s="136">
        <f>stage4_de!H21*10+(0.1*stage4_de!H22+19.9*stage4_de!H23)/20*10+(1*stage4_de!H25+19*stage4_de!H26)/20*10+(1*stage4_de!H28+19*stage4_de!H29)/20*10+stage4_de!H31*10</f>
        <v/>
      </c>
      <c r="I59" s="136">
        <f>stage4_de!I21*10+(0.1*stage4_de!I22+19.9*stage4_de!I23)/20*10+(1*stage4_de!I25+19*stage4_de!I26)/20*10+(1*stage4_de!I28+19*stage4_de!I29)/20*10+stage4_de!I31*10</f>
        <v/>
      </c>
      <c r="J59" s="136">
        <f>stage4_de!J21*10+(1*stage4_de!J22+19*stage4_de!J23)/20*10+(1*stage4_de!J25+19*stage4_de!J26)/20*10+(1*stage4_de!J28+19*stage4_de!J29)/20*10+stage4_de!J31*10</f>
        <v/>
      </c>
      <c r="K59" s="136">
        <f>stage4_de!K21*10+stage4_de!K22*10+(1*stage4_de!K25+19*stage4_de!K26)/20*10+(1*stage4_de!K28+19*stage4_de!K29)/20*10+stage4_de!K31*10</f>
        <v/>
      </c>
      <c r="L59" s="136">
        <f>stage4_de!L21*10+stage4_de!L22*10+(1*stage4_de!L25+19*stage4_de!L26)/20*10+(1*stage4_de!L28+19*stage4_de!L29)/20*10+stage4_de!L31*10</f>
        <v/>
      </c>
      <c r="M59" s="136">
        <f>stage4_de!M21*10+stage4_de!M22*10+(1*stage4_de!M25+19*stage4_de!M26)/20*10+stage4_de!M28*10+stage4_de!M31*10</f>
        <v/>
      </c>
      <c r="N59" s="136">
        <f>stage4_de!N21*10+stage4_de!N22*10+(1*stage4_de!N25+19*stage4_de!N26)/20*10+stage4_de!N28*10+stage4_de!N31*10</f>
        <v/>
      </c>
      <c r="O59" s="136">
        <f>stage4_de!O21*10+stage4_de!O22*10+(1*stage4_de!O25+19*stage4_de!O26)/20*10+stage4_de!O28*10+stage4_de!O31*10</f>
        <v/>
      </c>
      <c r="P59" s="136">
        <f>stage4_de!P21*10+stage4_de!P22*10+(1*stage4_de!P25+19*stage4_de!P26)/20*10+stage4_de!P28*10+stage4_de!P31*10</f>
        <v/>
      </c>
      <c r="Q59" s="136">
        <f>stage4_de!Q21*10+stage4_de!Q22*10+(1*stage4_de!Q25+19*stage4_de!Q26)/20*10+stage4_de!Q28*10+stage4_de!Q31*10</f>
        <v/>
      </c>
      <c r="R59" s="136">
        <f>stage4_de!R21*10+stage4_de!R22*10+(1*stage4_de!R25+19*stage4_de!R26)/20*10+stage4_de!R28*10+stage4_de!R31*10</f>
        <v/>
      </c>
      <c r="S59" s="136">
        <f>stage4_de!S21*10+stage4_de!S22*10+(1*stage4_de!S25+19*stage4_de!S26)/20*10+stage4_de!S28*10+stage4_de!S31*10</f>
        <v/>
      </c>
      <c r="T59" s="136">
        <f>stage4_de!T21*10+stage4_de!T22*10+(1*stage4_de!T25+19*stage4_de!T26)/20*10+stage4_de!T28*10+stage4_de!T31*10</f>
        <v/>
      </c>
      <c r="U59" s="77" t="inlineStr">
        <is>
          <t>Same era structure as large; tranche blends at 20 GWh.</t>
        </is>
      </c>
    </row>
    <row r="60" ht="15" customHeight="1" s="78">
      <c r="A60" s="77" t="inlineStr">
        <is>
          <t>DE</t>
        </is>
      </c>
      <c r="B60" s="77" t="inlineStr">
        <is>
          <t>Stromsteuer + KA (E1)</t>
        </is>
      </c>
      <c r="C60" s="77" t="inlineStr">
        <is>
          <t>E1</t>
        </is>
      </c>
      <c r="D60" s="136">
        <f>stage4_de!D34+stage4_de!D36*10</f>
        <v/>
      </c>
      <c r="E60" s="136">
        <f>stage4_de!E34+stage4_de!E36*10</f>
        <v/>
      </c>
      <c r="F60" s="136">
        <f>stage4_de!F34+stage4_de!F36*10</f>
        <v/>
      </c>
      <c r="G60" s="136">
        <f>stage4_de!G34+stage4_de!G36*10</f>
        <v/>
      </c>
      <c r="H60" s="136">
        <f>stage4_de!H34+stage4_de!H36*10</f>
        <v/>
      </c>
      <c r="I60" s="136">
        <f>stage4_de!I34+stage4_de!I36*10</f>
        <v/>
      </c>
      <c r="J60" s="136">
        <f>stage4_de!J34+stage4_de!J36*10</f>
        <v/>
      </c>
      <c r="K60" s="136">
        <f>stage4_de!K34+stage4_de!K36*10</f>
        <v/>
      </c>
      <c r="L60" s="136">
        <f>stage4_de!L34+stage4_de!L36*10</f>
        <v/>
      </c>
      <c r="M60" s="136">
        <f>stage4_de!M34+stage4_de!M36*10</f>
        <v/>
      </c>
      <c r="N60" s="136">
        <f>stage4_de!N34+stage4_de!N36*10</f>
        <v/>
      </c>
      <c r="O60" s="136">
        <f>stage4_de!O34+stage4_de!O36*10</f>
        <v/>
      </c>
      <c r="P60" s="136">
        <f>stage4_de!P34+stage4_de!P36*10</f>
        <v/>
      </c>
      <c r="Q60" s="136">
        <f>stage4_de!Q34+stage4_de!Q36*10</f>
        <v/>
      </c>
      <c r="R60" s="136">
        <f>stage4_de!R34+stage4_de!R36*10</f>
        <v/>
      </c>
      <c r="S60" s="136">
        <f>stage4_de!S34+stage4_de!S36*10</f>
        <v/>
      </c>
      <c r="T60" s="136">
        <f>stage4_de!T34+stage4_de!T36*10</f>
        <v/>
      </c>
    </row>
    <row r="61" ht="15" customHeight="1" s="78">
      <c r="A61" s="77" t="inlineStr">
        <is>
          <t>DE</t>
        </is>
      </c>
      <c r="B61" s="77" t="inlineStr">
        <is>
          <t>E1 TOTAL medium</t>
        </is>
      </c>
      <c r="C61" s="77" t="inlineStr">
        <is>
          <t>E1</t>
        </is>
      </c>
      <c r="D61" s="136">
        <f>IF(ISNUMBER(D57),D57+D58+D59+D60,"")</f>
        <v/>
      </c>
      <c r="E61" s="136">
        <f>IF(ISNUMBER(E57),E57+E58+E59+E60,"")</f>
        <v/>
      </c>
      <c r="F61" s="136">
        <f>IF(ISNUMBER(F57),F57+F58+F59+F60,"")</f>
        <v/>
      </c>
      <c r="G61" s="136">
        <f>IF(ISNUMBER(G57),G57+G58+G59+G60,"")</f>
        <v/>
      </c>
      <c r="H61" s="136">
        <f>IF(ISNUMBER(H57),H57+H58+H59+H60,"")</f>
        <v/>
      </c>
      <c r="I61" s="136">
        <f>IF(ISNUMBER(I57),I57+I58+I59+I60,"")</f>
        <v/>
      </c>
      <c r="J61" s="136">
        <f>IF(ISNUMBER(J57),J57+J58+J59+J60,"")</f>
        <v/>
      </c>
      <c r="K61" s="136">
        <f>IF(ISNUMBER(K57),K57+K58+K59+K60,"")</f>
        <v/>
      </c>
      <c r="L61" s="136">
        <f>IF(ISNUMBER(L57),L57+L58+L59+L60,"")</f>
        <v/>
      </c>
      <c r="M61" s="136">
        <f>IF(ISNUMBER(M57),M57+M58+M59+M60,"")</f>
        <v/>
      </c>
      <c r="N61" s="136">
        <f>IF(ISNUMBER(N57),N57+N58+N59+N60,"")</f>
        <v/>
      </c>
      <c r="O61" s="136">
        <f>IF(ISNUMBER(O57),O57+O58+O59+O60,"")</f>
        <v/>
      </c>
      <c r="P61" s="136">
        <f>IF(ISNUMBER(P57),P57+P58+P59+P60,"")</f>
        <v/>
      </c>
      <c r="Q61" s="136">
        <f>IF(ISNUMBER(Q57),Q57+Q58+Q59+Q60,"")</f>
        <v/>
      </c>
      <c r="R61" s="136">
        <f>IF(ISNUMBER(R57),R57+R58+R59+R60,"")</f>
        <v/>
      </c>
      <c r="S61" s="136">
        <f>IF(ISNUMBER(S57),S57+S58+S59+S60,"")</f>
        <v/>
      </c>
      <c r="T61" s="136">
        <f>IF(ISNUMBER(T57),T57+T58+T59+T60,"")</f>
        <v/>
      </c>
      <c r="U61" s="77" t="inlineStr">
        <is>
          <t>MODELLED.</t>
        </is>
      </c>
    </row>
    <row r="62" ht="15" customHeight="1" s="78">
      <c r="A62" s="77" t="inlineStr">
        <is>
          <t>DE</t>
        </is>
      </c>
      <c r="B62" s="77" t="inlineStr">
        <is>
          <t>E2 EEG medium (BesAR per D24: 2012–13 sliding ≈10%×U; 2014–21 central = (1+19×0.15)/20×U uncapped; band-low = 0.1 ct floor)</t>
        </is>
      </c>
      <c r="C62" s="77" t="inlineStr">
        <is>
          <t>E2</t>
        </is>
      </c>
      <c r="D62" s="77">
        <f>(0.1*stage4_de!D21+0.9*0.05)*10</f>
        <v/>
      </c>
      <c r="E62" s="77">
        <f>(0.1*stage4_de!E21+0.9*0.05)*10</f>
        <v/>
      </c>
      <c r="F62" s="136">
        <f>(0.1*stage4_de!F21+0.9*0.05)*10</f>
        <v/>
      </c>
      <c r="G62" s="136">
        <f>0.1*stage4_de!G21*10</f>
        <v/>
      </c>
      <c r="H62" s="136">
        <f>(1*stage4_de!H21+19*0.15*stage4_de!H21)/20*10</f>
        <v/>
      </c>
      <c r="I62" s="136">
        <f>(1*stage4_de!I21+19*0.15*stage4_de!I21)/20*10</f>
        <v/>
      </c>
      <c r="J62" s="136">
        <f>(1*stage4_de!J21+19*0.15*stage4_de!J21)/20*10</f>
        <v/>
      </c>
      <c r="K62" s="136">
        <f>(1*stage4_de!K21+19*0.15*stage4_de!K21)/20*10</f>
        <v/>
      </c>
      <c r="L62" s="136">
        <f>(1*stage4_de!L21+19*0.15*stage4_de!L21)/20*10</f>
        <v/>
      </c>
      <c r="M62" s="136">
        <f>(1*stage4_de!M21+19*0.15*stage4_de!M21)/20*10</f>
        <v/>
      </c>
      <c r="N62" s="136">
        <f>(1*stage4_de!N21+19*0.15*stage4_de!N21)/20*10</f>
        <v/>
      </c>
      <c r="O62" s="136">
        <f>(1*stage4_de!O21+19*0.15*stage4_de!O21)/20*10</f>
        <v/>
      </c>
      <c r="P62" s="136">
        <f>(1*stage4_de!P21+19*0.15*stage4_de!P21)/20*10</f>
        <v/>
      </c>
      <c r="Q62" s="136">
        <f>(1*stage4_de!Q21+19*0.15*stage4_de!Q21)/20*10</f>
        <v/>
      </c>
      <c r="R62" s="136">
        <f>(1*stage4_de!R21+19*0.15*stage4_de!R21)/20*10</f>
        <v/>
      </c>
      <c r="S62" s="136">
        <f>(1*stage4_de!S21+19*0.15*stage4_de!S21)/20*10</f>
        <v/>
      </c>
      <c r="T62" s="136">
        <f>(1*stage4_de!T21+19*0.15*stage4_de!T21)/20*10</f>
        <v/>
      </c>
      <c r="U62" s="77" t="inlineStr">
        <is>
          <t>MEDIUM (20 GWh) is ALWAYS teilbegünstigt — §41(3) EEG 2009 exempts only sites clearing BOTH ≥100 GWh AND ≥20% Stromkosten/BWS, and 20 GWh can never clear the first limb. 2010–2012 (EEG 2009 regime): 0.1×Umlage + 0.9×0.05 ct/kWh → 0.2497 / 0.398 / 0.4042 ct/kWh. Eligibility met: &gt;10 GWh and &gt;15% BWS assumed per D24. 2013+ (EEG 2012 §41(3) ladder): at EXACTLY 20 GWh the ladder collapses to 10% of the Umlage — (1×U + 9×0.1U + 10×0.01U)/20 = 2U/20 = 0.1U — so the existing 0.1×U formula is EXACTLY right for 2013 and must not be "corrected". 2014+ EEG 2014/2017/2021 §64: (1 + 19×0.15)/20 × U, cap (BWS) unknowable for the archetype → central = no-cap (conservative-high). Q90 / S189/S190. est=Y.</t>
        </is>
      </c>
    </row>
    <row r="63" ht="15" customHeight="1" s="78">
      <c r="A63" s="77" t="inlineStr">
        <is>
          <t>DE</t>
        </is>
      </c>
      <c r="B63" s="77" t="inlineStr">
        <is>
          <t>E2 Umlagen other (KWKG =E1 exc 2016 C′; §19 C′; Offshore C/=E1; AbLaV)</t>
        </is>
      </c>
      <c r="C63" s="77" t="inlineStr">
        <is>
          <t>E2</t>
        </is>
      </c>
      <c r="D63" s="136">
        <f>(0.1*stage4_de!D22+19.9*stage4_de!D23)/20*10</f>
        <v/>
      </c>
      <c r="E63" s="136">
        <f>(0.1*stage4_de!E22+19.9*stage4_de!E23)/20*10</f>
        <v/>
      </c>
      <c r="F63" s="136">
        <f>(0.1*stage4_de!F22+19.9*stage4_de!F23)/20*10+(1*stage4_de!F25+19*stage4_de!F27)/20*10</f>
        <v/>
      </c>
      <c r="G63" s="136">
        <f>(0.1*stage4_de!G22+19.9*stage4_de!G23)/20*10+(1*stage4_de!G25+19*stage4_de!G27)/20*10+(1*stage4_de!G28+19*stage4_de!G30)/20*10</f>
        <v/>
      </c>
      <c r="H63" s="136">
        <f>(0.1*stage4_de!H22+19.9*stage4_de!H23)/20*10+(1*stage4_de!H25+19*stage4_de!H27)/20*10+(1*stage4_de!H28+19*stage4_de!H30)/20*10+stage4_de!H31*10</f>
        <v/>
      </c>
      <c r="I63" s="136">
        <f>(0.1*stage4_de!I22+19.9*stage4_de!I23)/20*10+(1*stage4_de!I25+19*stage4_de!I27)/20*10+(1*stage4_de!I28+19*stage4_de!I30)/20*10+stage4_de!I31*10</f>
        <v/>
      </c>
      <c r="J63" s="136">
        <f>(1*stage4_de!J22+19*stage4_de!J24)/20*10+(1*stage4_de!J25+19*stage4_de!J27)/20*10+(1*stage4_de!J28+19*stage4_de!J30)/20*10+stage4_de!J31*10</f>
        <v/>
      </c>
      <c r="K63" s="136">
        <f>stage4_de!K22*10+(1*stage4_de!K25+19*stage4_de!K27)/20*10+(1*stage4_de!K28+19*stage4_de!K30)/20*10+stage4_de!K31*10</f>
        <v/>
      </c>
      <c r="L63" s="136">
        <f>stage4_de!L22*10+(1*stage4_de!L25+19*stage4_de!L27)/20*10+(1*stage4_de!L28+19*stage4_de!L30)/20*10+stage4_de!L31*10</f>
        <v/>
      </c>
      <c r="M63" s="136">
        <f>stage4_de!M22*10+(1*stage4_de!M25+19*stage4_de!M27)/20*10+stage4_de!M28*10+stage4_de!M31*10</f>
        <v/>
      </c>
      <c r="N63" s="136">
        <f>stage4_de!N22*10+(1*stage4_de!N25+19*stage4_de!N27)/20*10+stage4_de!N28*10+stage4_de!N31*10</f>
        <v/>
      </c>
      <c r="O63" s="136">
        <f>stage4_de!O22*10+(1*stage4_de!O25+19*stage4_de!O27)/20*10+stage4_de!O28*10+stage4_de!O31*10</f>
        <v/>
      </c>
      <c r="P63" s="136">
        <f>stage4_de!P22*10+(1*stage4_de!P25+19*stage4_de!P27)/20*10+stage4_de!P28*10+stage4_de!P31*10</f>
        <v/>
      </c>
      <c r="Q63" s="136">
        <f>stage4_de!Q22*10+(1*stage4_de!Q25+19*stage4_de!Q27)/20*10+stage4_de!Q28*10+stage4_de!Q31*10</f>
        <v/>
      </c>
      <c r="R63" s="136">
        <f>stage4_de!R22*10+(1*stage4_de!R25+19*stage4_de!R27)/20*10+stage4_de!R28*10+stage4_de!R31*10</f>
        <v/>
      </c>
      <c r="S63" s="136">
        <f>stage4_de!S22*10+(1*stage4_de!S25+19*stage4_de!S27)/20*10+stage4_de!S28*10+stage4_de!S31*10</f>
        <v/>
      </c>
      <c r="T63" s="136">
        <f>stage4_de!T22*10+(1*stage4_de!T25+19*stage4_de!T27)/20*10+stage4_de!T28*10+stage4_de!T31*10</f>
        <v/>
      </c>
      <c r="U63" s="77" t="inlineStr">
        <is>
          <t>D25 where privileged rate unpublished (2017+/2019+) — overstates E2, flagged.</t>
        </is>
      </c>
    </row>
    <row r="64" ht="15" customHeight="1" s="78">
      <c r="A64" s="77" t="inlineStr">
        <is>
          <t>DE</t>
        </is>
      </c>
      <c r="B64" s="77" t="inlineStr">
        <is>
          <t>E2 TOTAL medium (2012+; EII status assumed, D24)</t>
        </is>
      </c>
      <c r="C64" s="77" t="inlineStr">
        <is>
          <t>E2</t>
        </is>
      </c>
      <c r="D64" s="77">
        <f>IF(ISNUMBER(D57),D57+D58+D62+D63+stage4_de!D35,"")</f>
        <v/>
      </c>
      <c r="E64" s="77">
        <f>IF(ISNUMBER(E57),E57+E58+E62+E63+stage4_de!E35,"")</f>
        <v/>
      </c>
      <c r="F64" s="136">
        <f>IF(ISNUMBER(F57),F57+F58+F62+F63+stage4_de!F35,"")</f>
        <v/>
      </c>
      <c r="G64" s="136">
        <f>IF(ISNUMBER(G57),G57+G58+G62+G63+stage4_de!G35,"")</f>
        <v/>
      </c>
      <c r="H64" s="136">
        <f>IF(ISNUMBER(H57),H57+H58+H62+H63+stage4_de!H35,"")</f>
        <v/>
      </c>
      <c r="I64" s="136">
        <f>IF(ISNUMBER(I57),I57+I58+I62+I63+stage4_de!I35,"")</f>
        <v/>
      </c>
      <c r="J64" s="136">
        <f>IF(ISNUMBER(J57),J57+J58+J62+J63+stage4_de!J35,"")</f>
        <v/>
      </c>
      <c r="K64" s="136">
        <f>IF(ISNUMBER(K57),K57+K58+K62+K63+stage4_de!K35,"")</f>
        <v/>
      </c>
      <c r="L64" s="136">
        <f>IF(ISNUMBER(L57),L57+L58+L62+L63+stage4_de!L35,"")</f>
        <v/>
      </c>
      <c r="M64" s="136">
        <f>IF(ISNUMBER(M57),M57+M58+M62+M63+stage4_de!M35,"")</f>
        <v/>
      </c>
      <c r="N64" s="136">
        <f>IF(ISNUMBER(N57),N57+N58+N62+N63+stage4_de!N35,"")</f>
        <v/>
      </c>
      <c r="O64" s="136">
        <f>IF(ISNUMBER(O57),O57+O58+O62+O63+stage4_de!O35,"")</f>
        <v/>
      </c>
      <c r="P64" s="136">
        <f>IF(ISNUMBER(P57),P57+P58+P62+P63+stage4_de!P35,"")</f>
        <v/>
      </c>
      <c r="Q64" s="136">
        <f>IF(ISNUMBER(Q57),Q57+Q58+Q62+Q63+stage4_de!Q35,"")</f>
        <v/>
      </c>
      <c r="R64" s="136">
        <f>IF(ISNUMBER(R57),R57+R58+R62+R63+stage4_de!R35,"")</f>
        <v/>
      </c>
      <c r="S64" s="136">
        <f>IF(ISNUMBER(S57),S57+S58+S62+S63+stage4_de!S35,"")</f>
        <v/>
      </c>
      <c r="T64" s="136">
        <f>IF(ISNUMBER(T57),T57+T58+T62+T63+stage4_de!T35,"")</f>
        <v/>
      </c>
      <c r="U64" s="77" t="inlineStr">
        <is>
          <t>Network = E1 (no §19 at 5,000h).</t>
        </is>
      </c>
    </row>
    <row r="65" ht="15" customHeight="1" s="78">
      <c r="A65" s="77" t="inlineStr">
        <is>
          <t>DE</t>
        </is>
      </c>
      <c r="B65" s="77" t="inlineStr">
        <is>
          <t>OBSERVED: Eurostat ID (2–20 GWh) annual</t>
        </is>
      </c>
      <c r="C65" s="77" t="inlineStr">
        <is>
          <t>obs</t>
        </is>
      </c>
      <c r="D65" s="136">
        <f>stage4_de!D39*1000</f>
        <v/>
      </c>
      <c r="E65" s="136">
        <f>stage4_de!E39*1000</f>
        <v/>
      </c>
      <c r="F65" s="136">
        <f>stage4_de!F39*1000</f>
        <v/>
      </c>
      <c r="G65" s="136">
        <f>stage4_de!G39*1000</f>
        <v/>
      </c>
      <c r="H65" s="136">
        <f>stage4_de!H39*1000</f>
        <v/>
      </c>
      <c r="I65" s="136">
        <f>stage4_de!I39*1000</f>
        <v/>
      </c>
      <c r="J65" s="136">
        <f>stage4_de!J39*1000</f>
        <v/>
      </c>
      <c r="K65" s="136">
        <f>stage4_de!K39*1000</f>
        <v/>
      </c>
      <c r="L65" s="136">
        <f>stage4_de!L39*1000</f>
        <v/>
      </c>
      <c r="M65" s="136">
        <f>stage4_de!M39*1000</f>
        <v/>
      </c>
      <c r="N65" s="136">
        <f>stage4_de!N39*1000</f>
        <v/>
      </c>
      <c r="O65" s="136">
        <f>stage4_de!O39*1000</f>
        <v/>
      </c>
      <c r="P65" s="136">
        <f>stage4_de!P39*1000</f>
        <v/>
      </c>
      <c r="Q65" s="136">
        <f>stage4_de!Q39*1000</f>
        <v/>
      </c>
      <c r="R65" s="136">
        <f>stage4_de!R39*1000</f>
        <v/>
      </c>
      <c r="S65" s="136">
        <f>stage4_de!S39*1000</f>
        <v/>
      </c>
      <c r="U65" s="77" t="inlineStr">
        <is>
          <t>GN3 (BDEW 17.6 ct 2025) is the second anchor.</t>
        </is>
      </c>
    </row>
    <row r="66" ht="16.5" customHeight="1" s="78">
      <c r="A66" s="131" t="inlineStr">
        <is>
          <t>CN — provincial basket (renormalised, D23; coverage row shown). Nominal 元/MWh. E1 = E2 (no formal exemption regime).</t>
        </is>
      </c>
      <c r="B66" s="134" t="n"/>
      <c r="C66" s="134" t="n"/>
      <c r="D66" s="134" t="n"/>
      <c r="E66" s="134" t="n"/>
      <c r="F66" s="134" t="n"/>
      <c r="G66" s="134" t="n"/>
      <c r="H66" s="134" t="n"/>
      <c r="I66" s="134" t="n"/>
      <c r="J66" s="134" t="n"/>
      <c r="K66" s="134" t="n"/>
      <c r="L66" s="134" t="n"/>
      <c r="M66" s="134" t="n"/>
      <c r="N66" s="134" t="n"/>
      <c r="O66" s="134" t="n"/>
      <c r="P66" s="134" t="n"/>
      <c r="Q66" s="134" t="n"/>
      <c r="R66" s="134" t="n"/>
      <c r="S66" s="134" t="n"/>
      <c r="T66" s="134" t="n"/>
      <c r="U66" s="134" t="n"/>
    </row>
    <row r="67" ht="16.5" customHeight="1" s="78">
      <c r="A67" s="77" t="inlineStr">
        <is>
          <t>CN</t>
        </is>
      </c>
      <c r="B67" s="77" t="inlineStr">
        <is>
          <t>LARGE: catalogue basket 2012–21 (2020 incl. COVID rebate; 2021 Jan–Sep) → market basket 2022+ (JS/GD/HN)</t>
        </is>
      </c>
      <c r="C67" s="77" t="inlineStr">
        <is>
          <t>E1=E2</t>
        </is>
      </c>
      <c r="F67" s="136">
        <f>stage4_cn!F58</f>
        <v/>
      </c>
      <c r="G67" s="136">
        <f>stage4_cn!G58</f>
        <v/>
      </c>
      <c r="H67" s="136">
        <f>stage4_cn!H58</f>
        <v/>
      </c>
      <c r="I67" s="136">
        <f>stage4_cn!I58</f>
        <v/>
      </c>
      <c r="J67" s="136">
        <f>stage4_cn!J58</f>
        <v/>
      </c>
      <c r="K67" s="136">
        <f>stage4_cn!K58</f>
        <v/>
      </c>
      <c r="L67" s="136">
        <f>stage4_cn!L58</f>
        <v/>
      </c>
      <c r="M67" s="136">
        <f>stage4_cn!M58</f>
        <v/>
      </c>
      <c r="N67" s="136">
        <f>stage4_cn!N58+stage4_cn!N63</f>
        <v/>
      </c>
      <c r="O67" s="136">
        <f>stage4_cn!O58</f>
        <v/>
      </c>
      <c r="P67" s="136">
        <f>stage4_cn!P88</f>
        <v/>
      </c>
      <c r="Q67" s="136">
        <f>stage4_cn!Q88</f>
        <v/>
      </c>
      <c r="R67" s="136">
        <f>stage4_cn!R88</f>
        <v/>
      </c>
      <c r="S67" s="136">
        <f>stage4_cn!S88</f>
        <v/>
      </c>
      <c r="T67" s="136">
        <f>stage4_cn!T88</f>
        <v/>
      </c>
      <c r="U67" s="77" t="inlineStr">
        <is>
          <t>Breaks 2021-10 &amp; 2026 marked; never a continuous line. 系统运行 proxy flags (stage4_cn).</t>
        </is>
      </c>
    </row>
    <row r="68" ht="15" customHeight="1" s="78">
      <c r="A68" s="77" t="inlineStr">
        <is>
          <t>CN</t>
        </is>
      </c>
      <c r="B68" s="77" t="inlineStr">
        <is>
          <t>LARGE excl Inner Mongolia (swing constituent; catalogue era only — IM absent from market basket anyway)</t>
        </is>
      </c>
      <c r="C68" s="77" t="inlineStr">
        <is>
          <t>E1=E2 variant</t>
        </is>
      </c>
      <c r="F68" s="136">
        <f>stage4_cn!F59</f>
        <v/>
      </c>
      <c r="G68" s="136">
        <f>stage4_cn!G59</f>
        <v/>
      </c>
      <c r="H68" s="136">
        <f>stage4_cn!H59</f>
        <v/>
      </c>
      <c r="I68" s="136">
        <f>stage4_cn!I59</f>
        <v/>
      </c>
      <c r="J68" s="136">
        <f>stage4_cn!J59</f>
        <v/>
      </c>
      <c r="K68" s="136">
        <f>stage4_cn!K59</f>
        <v/>
      </c>
      <c r="L68" s="136">
        <f>stage4_cn!L59</f>
        <v/>
      </c>
      <c r="M68" s="136">
        <f>stage4_cn!M59</f>
        <v/>
      </c>
      <c r="N68" s="136">
        <f>stage4_cn!N59</f>
        <v/>
      </c>
      <c r="O68" s="136">
        <f>stage4_cn!O59</f>
        <v/>
      </c>
    </row>
    <row r="69" ht="15" customHeight="1" s="78">
      <c r="A69" s="77" t="inlineStr">
        <is>
          <t>CN</t>
        </is>
      </c>
      <c r="B69" s="77" t="inlineStr">
        <is>
          <t>LARGE basket coverage (Set-C weight share)</t>
        </is>
      </c>
      <c r="C69" s="77" t="inlineStr">
        <is>
          <t>note</t>
        </is>
      </c>
      <c r="F69" s="138">
        <f>stage4_cn!F62</f>
        <v/>
      </c>
      <c r="G69" s="138">
        <f>stage4_cn!G62</f>
        <v/>
      </c>
      <c r="H69" s="138">
        <f>stage4_cn!H62</f>
        <v/>
      </c>
      <c r="I69" s="138">
        <f>stage4_cn!I62</f>
        <v/>
      </c>
      <c r="J69" s="138">
        <f>stage4_cn!J62</f>
        <v/>
      </c>
      <c r="K69" s="138">
        <f>stage4_cn!K62</f>
        <v/>
      </c>
      <c r="L69" s="138">
        <f>stage4_cn!L62</f>
        <v/>
      </c>
      <c r="M69" s="138">
        <f>stage4_cn!M62</f>
        <v/>
      </c>
      <c r="N69" s="138">
        <f>stage4_cn!N62</f>
        <v/>
      </c>
      <c r="O69" s="138">
        <f>stage4_cn!O62</f>
        <v/>
      </c>
      <c r="P69" s="138">
        <f>stage4_cn!P89</f>
        <v/>
      </c>
      <c r="Q69" s="138">
        <f>stage4_cn!Q89</f>
        <v/>
      </c>
      <c r="R69" s="138">
        <f>stage4_cn!R89</f>
        <v/>
      </c>
      <c r="S69" s="138">
        <f>stage4_cn!S89</f>
        <v/>
      </c>
      <c r="T69" s="138">
        <f>stage4_cn!T89</f>
        <v/>
      </c>
      <c r="U69" s="77" t="inlineStr">
        <is>
          <t>Report on every chart.</t>
        </is>
      </c>
    </row>
    <row r="70" ht="16.5" customHeight="1" s="78">
      <c r="A70" s="77" t="inlineStr">
        <is>
          <t>CN</t>
        </is>
      </c>
      <c r="B70" s="77" t="inlineStr">
        <is>
          <t>MEDIUM: catalogue basket 2012–21 (2020 incl. COVID) → JS 代理购电 build 2022+ (coverage 17.7%)</t>
        </is>
      </c>
      <c r="C70" s="77" t="inlineStr">
        <is>
          <t>E1=E2</t>
        </is>
      </c>
      <c r="F70" s="136">
        <f>stage4_cn!F60</f>
        <v/>
      </c>
      <c r="G70" s="136">
        <f>stage4_cn!G60</f>
        <v/>
      </c>
      <c r="H70" s="136">
        <f>stage4_cn!H60</f>
        <v/>
      </c>
      <c r="I70" s="136">
        <f>stage4_cn!I60</f>
        <v/>
      </c>
      <c r="J70" s="136">
        <f>stage4_cn!J60</f>
        <v/>
      </c>
      <c r="K70" s="136">
        <f>stage4_cn!K60</f>
        <v/>
      </c>
      <c r="L70" s="136">
        <f>stage4_cn!L60</f>
        <v/>
      </c>
      <c r="M70" s="136">
        <f>stage4_cn!M60</f>
        <v/>
      </c>
      <c r="N70" s="136">
        <f>stage4_cn!N60*(1-0.05*11/12)</f>
        <v/>
      </c>
      <c r="O70" s="136">
        <f>stage4_cn!O60</f>
        <v/>
      </c>
      <c r="P70" s="136">
        <f>stage4_cn!P93</f>
        <v/>
      </c>
      <c r="Q70" s="136">
        <f>stage4_cn!Q93</f>
        <v/>
      </c>
      <c r="R70" s="136">
        <f>stage4_cn!R93</f>
        <v/>
      </c>
      <c r="S70" s="136">
        <f>stage4_cn!S93</f>
        <v/>
      </c>
      <c r="T70" s="136">
        <f>stage4_cn!T93</f>
        <v/>
      </c>
      <c r="U70" s="77" t="inlineStr">
        <is>
          <t>GD/SD/HN full-bill snapshots kept as anchors (stage4_cn). 需量-basis two-part throughout.</t>
        </is>
      </c>
    </row>
    <row r="71" ht="15" customHeight="1" s="78">
      <c r="A71" s="77" t="inlineStr">
        <is>
          <t>CN</t>
        </is>
      </c>
      <c r="B71" s="77" t="inlineStr">
        <is>
          <t>MEDIUM excl Inner Mongolia (catalogue era)</t>
        </is>
      </c>
      <c r="C71" s="77" t="inlineStr">
        <is>
          <t>E1=E2 variant</t>
        </is>
      </c>
      <c r="F71" s="136">
        <f>stage4_cn!F61</f>
        <v/>
      </c>
      <c r="G71" s="136">
        <f>stage4_cn!G61</f>
        <v/>
      </c>
      <c r="H71" s="136">
        <f>stage4_cn!H61</f>
        <v/>
      </c>
      <c r="I71" s="136">
        <f>stage4_cn!I61</f>
        <v/>
      </c>
      <c r="J71" s="136">
        <f>stage4_cn!J61</f>
        <v/>
      </c>
      <c r="K71" s="136">
        <f>stage4_cn!K61</f>
        <v/>
      </c>
      <c r="L71" s="136">
        <f>stage4_cn!L61</f>
        <v/>
      </c>
      <c r="M71" s="136">
        <f>stage4_cn!M61</f>
        <v/>
      </c>
      <c r="N71" s="136">
        <f>stage4_cn!N61</f>
        <v/>
      </c>
      <c r="O71" s="136">
        <f>stage4_cn!O61</f>
        <v/>
      </c>
    </row>
    <row r="72" ht="16.5" customHeight="1" s="78">
      <c r="A72" s="77" t="inlineStr">
        <is>
          <t>CN</t>
        </is>
      </c>
      <c r="B72" s="77" t="inlineStr">
        <is>
          <t>No validation overlay exists for CN (no band-average survey) — owned in text; NEA 通报 anchors on qc list</t>
        </is>
      </c>
      <c r="C72" s="77" t="inlineStr">
        <is>
          <t>note</t>
        </is>
      </c>
    </row>
    <row r="73" ht="15" customHeight="1" s="78">
      <c r="A73" s="131" t="inlineStr">
        <is>
          <t>REAL 2025 USD/MWh (Fed H.10 annual-avg FX × CPI-U deflator; fx_deflator helper cols I–M). NO 2026 conversion (D6). Footnote: "Real 2025 USD/MWh. Converted at annual-average market FX. Excludes VAT." CN series: 含税 as published (Q84; de-VAT memo stage6 r189–191).</t>
        </is>
      </c>
      <c r="B73" s="134" t="n"/>
      <c r="C73" s="134" t="n"/>
      <c r="D73" s="134" t="n"/>
      <c r="E73" s="134" t="n"/>
      <c r="F73" s="134" t="n"/>
      <c r="G73" s="134" t="n"/>
      <c r="H73" s="134" t="n"/>
      <c r="I73" s="134" t="n"/>
      <c r="J73" s="134" t="n"/>
      <c r="K73" s="134" t="n"/>
      <c r="L73" s="134" t="n"/>
      <c r="M73" s="134" t="n"/>
      <c r="N73" s="134" t="n"/>
      <c r="O73" s="134" t="n"/>
      <c r="P73" s="134" t="n"/>
      <c r="Q73" s="134" t="n"/>
      <c r="R73" s="134" t="n"/>
      <c r="S73" s="134" t="n"/>
      <c r="T73" s="134" t="n"/>
      <c r="U73" s="134" t="n"/>
    </row>
    <row r="74" ht="15" customHeight="1" s="78">
      <c r="A74" s="77" t="inlineStr">
        <is>
          <t>UK</t>
        </is>
      </c>
      <c r="B74" s="77" t="inlineStr">
        <is>
          <t>UK LARGE E1 — real 2025 USD/MWh</t>
        </is>
      </c>
      <c r="C74" s="77" t="inlineStr">
        <is>
          <t>USD</t>
        </is>
      </c>
      <c r="D74" s="136">
        <f>IF(ISNUMBER(D15),D15*fx_deflator!$I$5*fx_deflator!$M$5,"")</f>
        <v/>
      </c>
      <c r="E74" s="136">
        <f>IF(ISNUMBER(E15),E15*fx_deflator!$I$6*fx_deflator!$M$6,"")</f>
        <v/>
      </c>
      <c r="F74" s="136">
        <f>IF(ISNUMBER(F15),F15*fx_deflator!$I$7*fx_deflator!$M$7,"")</f>
        <v/>
      </c>
      <c r="G74" s="136">
        <f>IF(ISNUMBER(G15),G15*fx_deflator!$I$8*fx_deflator!$M$8,"")</f>
        <v/>
      </c>
      <c r="H74" s="136">
        <f>IF(ISNUMBER(H15),H15*fx_deflator!$I$9*fx_deflator!$M$9,"")</f>
        <v/>
      </c>
      <c r="I74" s="136">
        <f>IF(ISNUMBER(I15),I15*fx_deflator!$I$10*fx_deflator!$M$10,"")</f>
        <v/>
      </c>
      <c r="J74" s="136">
        <f>IF(ISNUMBER(J15),J15*fx_deflator!$I$11*fx_deflator!$M$11,"")</f>
        <v/>
      </c>
      <c r="K74" s="136">
        <f>IF(ISNUMBER(K15),K15*fx_deflator!$I$12*fx_deflator!$M$12,"")</f>
        <v/>
      </c>
      <c r="L74" s="136">
        <f>IF(ISNUMBER(L15),L15*fx_deflator!$I$13*fx_deflator!$M$13,"")</f>
        <v/>
      </c>
      <c r="M74" s="136">
        <f>IF(ISNUMBER(M15),M15*fx_deflator!$I$14*fx_deflator!$M$14,"")</f>
        <v/>
      </c>
      <c r="N74" s="136">
        <f>IF(ISNUMBER(N15),N15*fx_deflator!$I$15*fx_deflator!$M$15,"")</f>
        <v/>
      </c>
      <c r="O74" s="136">
        <f>IF(ISNUMBER(O15),O15*fx_deflator!$I$16*fx_deflator!$M$16,"")</f>
        <v/>
      </c>
      <c r="P74" s="136">
        <f>IF(ISNUMBER(P15),P15*fx_deflator!$I$17*fx_deflator!$M$17,"")</f>
        <v/>
      </c>
      <c r="Q74" s="136">
        <f>IF(ISNUMBER(Q15),Q15*fx_deflator!$I$18*fx_deflator!$M$18,"")</f>
        <v/>
      </c>
      <c r="R74" s="136">
        <f>IF(ISNUMBER(R15),R15*fx_deflator!$I$19*fx_deflator!$M$19,"")</f>
        <v/>
      </c>
      <c r="S74" s="136">
        <f>IF(ISNUMBER(S15),S15*fx_deflator!$I$20*fx_deflator!$M$20,"")</f>
        <v/>
      </c>
    </row>
    <row r="75" ht="15" customHeight="1" s="78">
      <c r="A75" s="77" t="inlineStr">
        <is>
          <t>UK</t>
        </is>
      </c>
      <c r="B75" s="77" t="inlineStr">
        <is>
          <t>UK LARGE E2 — real 2025 USD/MWh</t>
        </is>
      </c>
      <c r="C75" s="77" t="inlineStr">
        <is>
          <t>USD</t>
        </is>
      </c>
      <c r="D75" s="136">
        <f>IF(ISNUMBER(D19),D19*fx_deflator!$I$5*fx_deflator!$M$5,"")</f>
        <v/>
      </c>
      <c r="E75" s="136">
        <f>IF(ISNUMBER(E19),E19*fx_deflator!$I$6*fx_deflator!$M$6,"")</f>
        <v/>
      </c>
      <c r="F75" s="136">
        <f>IF(ISNUMBER(F19),F19*fx_deflator!$I$7*fx_deflator!$M$7,"")</f>
        <v/>
      </c>
      <c r="G75" s="136">
        <f>IF(ISNUMBER(G19),G19*fx_deflator!$I$8*fx_deflator!$M$8,"")</f>
        <v/>
      </c>
      <c r="H75" s="136">
        <f>IF(ISNUMBER(H19),H19*fx_deflator!$I$9*fx_deflator!$M$9,"")</f>
        <v/>
      </c>
      <c r="I75" s="136">
        <f>IF(ISNUMBER(I19),I19*fx_deflator!$I$10*fx_deflator!$M$10,"")</f>
        <v/>
      </c>
      <c r="J75" s="136">
        <f>IF(ISNUMBER(J19),J19*fx_deflator!$I$11*fx_deflator!$M$11,"")</f>
        <v/>
      </c>
      <c r="K75" s="136">
        <f>IF(ISNUMBER(K19),K19*fx_deflator!$I$12*fx_deflator!$M$12,"")</f>
        <v/>
      </c>
      <c r="L75" s="136">
        <f>IF(ISNUMBER(L19),L19*fx_deflator!$I$13*fx_deflator!$M$13,"")</f>
        <v/>
      </c>
      <c r="M75" s="136">
        <f>IF(ISNUMBER(M19),M19*fx_deflator!$I$14*fx_deflator!$M$14,"")</f>
        <v/>
      </c>
      <c r="N75" s="136">
        <f>IF(ISNUMBER(N19),N19*fx_deflator!$I$15*fx_deflator!$M$15,"")</f>
        <v/>
      </c>
      <c r="O75" s="136">
        <f>IF(ISNUMBER(O19),O19*fx_deflator!$I$16*fx_deflator!$M$16,"")</f>
        <v/>
      </c>
      <c r="P75" s="136">
        <f>IF(ISNUMBER(P19),P19*fx_deflator!$I$17*fx_deflator!$M$17,"")</f>
        <v/>
      </c>
      <c r="Q75" s="136">
        <f>IF(ISNUMBER(Q19),Q19*fx_deflator!$I$18*fx_deflator!$M$18,"")</f>
        <v/>
      </c>
      <c r="R75" s="136">
        <f>IF(ISNUMBER(R19),R19*fx_deflator!$I$19*fx_deflator!$M$19,"")</f>
        <v/>
      </c>
      <c r="S75" s="136">
        <f>IF(ISNUMBER(S19),S19*fx_deflator!$I$20*fx_deflator!$M$20,"")</f>
        <v/>
      </c>
    </row>
    <row r="76" ht="15" customHeight="1" s="78">
      <c r="A76" s="77" t="inlineStr">
        <is>
          <t>UK</t>
        </is>
      </c>
      <c r="B76" s="77" t="inlineStr">
        <is>
          <t>UK MEDIUM E1 — real 2025 USD/MWh</t>
        </is>
      </c>
      <c r="C76" s="77" t="inlineStr">
        <is>
          <t>USD</t>
        </is>
      </c>
      <c r="D76" s="136">
        <f>IF(ISNUMBER(D28),D28*fx_deflator!$I$5*fx_deflator!$M$5,"")</f>
        <v/>
      </c>
      <c r="E76" s="136">
        <f>IF(ISNUMBER(E28),E28*fx_deflator!$I$6*fx_deflator!$M$6,"")</f>
        <v/>
      </c>
      <c r="F76" s="136">
        <f>IF(ISNUMBER(F28),F28*fx_deflator!$I$7*fx_deflator!$M$7,"")</f>
        <v/>
      </c>
      <c r="G76" s="136">
        <f>IF(ISNUMBER(G28),G28*fx_deflator!$I$8*fx_deflator!$M$8,"")</f>
        <v/>
      </c>
      <c r="H76" s="136">
        <f>IF(ISNUMBER(H28),H28*fx_deflator!$I$9*fx_deflator!$M$9,"")</f>
        <v/>
      </c>
      <c r="I76" s="136">
        <f>IF(ISNUMBER(I28),I28*fx_deflator!$I$10*fx_deflator!$M$10,"")</f>
        <v/>
      </c>
      <c r="J76" s="136">
        <f>IF(ISNUMBER(J28),J28*fx_deflator!$I$11*fx_deflator!$M$11,"")</f>
        <v/>
      </c>
      <c r="K76" s="136">
        <f>IF(ISNUMBER(K28),K28*fx_deflator!$I$12*fx_deflator!$M$12,"")</f>
        <v/>
      </c>
      <c r="L76" s="136">
        <f>IF(ISNUMBER(L28),L28*fx_deflator!$I$13*fx_deflator!$M$13,"")</f>
        <v/>
      </c>
      <c r="M76" s="136">
        <f>IF(ISNUMBER(M28),M28*fx_deflator!$I$14*fx_deflator!$M$14,"")</f>
        <v/>
      </c>
      <c r="N76" s="136">
        <f>IF(ISNUMBER(N28),N28*fx_deflator!$I$15*fx_deflator!$M$15,"")</f>
        <v/>
      </c>
      <c r="O76" s="136">
        <f>IF(ISNUMBER(O28),O28*fx_deflator!$I$16*fx_deflator!$M$16,"")</f>
        <v/>
      </c>
      <c r="P76" s="136">
        <f>IF(ISNUMBER(P28),P28*fx_deflator!$I$17*fx_deflator!$M$17,"")</f>
        <v/>
      </c>
      <c r="Q76" s="136">
        <f>IF(ISNUMBER(Q28),Q28*fx_deflator!$I$18*fx_deflator!$M$18,"")</f>
        <v/>
      </c>
      <c r="R76" s="136">
        <f>IF(ISNUMBER(R28),R28*fx_deflator!$I$19*fx_deflator!$M$19,"")</f>
        <v/>
      </c>
      <c r="S76" s="136">
        <f>IF(ISNUMBER(S28),S28*fx_deflator!$I$20*fx_deflator!$M$20,"")</f>
        <v/>
      </c>
    </row>
    <row r="77" ht="15" customHeight="1" s="78">
      <c r="A77" s="77" t="inlineStr">
        <is>
          <t>UK</t>
        </is>
      </c>
      <c r="B77" s="77" t="inlineStr">
        <is>
          <t>UK MEDIUM E2 — real 2025 USD/MWh</t>
        </is>
      </c>
      <c r="C77" s="77" t="inlineStr">
        <is>
          <t>USD</t>
        </is>
      </c>
      <c r="D77" s="136">
        <f>IF(ISNUMBER(D29),D29*fx_deflator!$I$5*fx_deflator!$M$5,"")</f>
        <v/>
      </c>
      <c r="E77" s="136">
        <f>IF(ISNUMBER(E29),E29*fx_deflator!$I$6*fx_deflator!$M$6,"")</f>
        <v/>
      </c>
      <c r="F77" s="136">
        <f>IF(ISNUMBER(F29),F29*fx_deflator!$I$7*fx_deflator!$M$7,"")</f>
        <v/>
      </c>
      <c r="G77" s="136">
        <f>IF(ISNUMBER(G29),G29*fx_deflator!$I$8*fx_deflator!$M$8,"")</f>
        <v/>
      </c>
      <c r="H77" s="136">
        <f>IF(ISNUMBER(H29),H29*fx_deflator!$I$9*fx_deflator!$M$9,"")</f>
        <v/>
      </c>
      <c r="I77" s="136">
        <f>IF(ISNUMBER(I29),I29*fx_deflator!$I$10*fx_deflator!$M$10,"")</f>
        <v/>
      </c>
      <c r="J77" s="136">
        <f>IF(ISNUMBER(J29),J29*fx_deflator!$I$11*fx_deflator!$M$11,"")</f>
        <v/>
      </c>
      <c r="K77" s="136">
        <f>IF(ISNUMBER(K29),K29*fx_deflator!$I$12*fx_deflator!$M$12,"")</f>
        <v/>
      </c>
      <c r="L77" s="136">
        <f>IF(ISNUMBER(L29),L29*fx_deflator!$I$13*fx_deflator!$M$13,"")</f>
        <v/>
      </c>
      <c r="M77" s="136">
        <f>IF(ISNUMBER(M29),M29*fx_deflator!$I$14*fx_deflator!$M$14,"")</f>
        <v/>
      </c>
      <c r="N77" s="136">
        <f>IF(ISNUMBER(N29),N29*fx_deflator!$I$15*fx_deflator!$M$15,"")</f>
        <v/>
      </c>
      <c r="O77" s="136">
        <f>IF(ISNUMBER(O29),O29*fx_deflator!$I$16*fx_deflator!$M$16,"")</f>
        <v/>
      </c>
      <c r="P77" s="136">
        <f>IF(ISNUMBER(P29),P29*fx_deflator!$I$17*fx_deflator!$M$17,"")</f>
        <v/>
      </c>
      <c r="Q77" s="136">
        <f>IF(ISNUMBER(Q29),Q29*fx_deflator!$I$18*fx_deflator!$M$18,"")</f>
        <v/>
      </c>
      <c r="R77" s="136">
        <f>IF(ISNUMBER(R29),R29*fx_deflator!$I$19*fx_deflator!$M$19,"")</f>
        <v/>
      </c>
      <c r="S77" s="136">
        <f>IF(ISNUMBER(S29),S29*fx_deflator!$I$20*fx_deflator!$M$20,"")</f>
        <v/>
      </c>
    </row>
    <row r="78" ht="15" customHeight="1" s="78">
      <c r="A78" s="77" t="inlineStr">
        <is>
          <t>UK</t>
        </is>
      </c>
      <c r="B78" s="77" t="inlineStr">
        <is>
          <t>UK OBSERVED QEP Extra Large (incl CCL, D71) — real 2025 USD/MWh</t>
        </is>
      </c>
      <c r="C78" s="77" t="inlineStr">
        <is>
          <t>USD</t>
        </is>
      </c>
      <c r="D78" s="136">
        <f>IF(ISNUMBER(D20),D20*fx_deflator!$I$5*fx_deflator!$M$5,"")</f>
        <v/>
      </c>
      <c r="E78" s="136">
        <f>IF(ISNUMBER(E20),E20*fx_deflator!$I$6*fx_deflator!$M$6,"")</f>
        <v/>
      </c>
      <c r="F78" s="136">
        <f>IF(ISNUMBER(F20),F20*fx_deflator!$I$7*fx_deflator!$M$7,"")</f>
        <v/>
      </c>
      <c r="G78" s="136">
        <f>IF(ISNUMBER(G20),G20*fx_deflator!$I$8*fx_deflator!$M$8,"")</f>
        <v/>
      </c>
      <c r="H78" s="136">
        <f>IF(ISNUMBER(H20),H20*fx_deflator!$I$9*fx_deflator!$M$9,"")</f>
        <v/>
      </c>
      <c r="I78" s="136">
        <f>IF(ISNUMBER(I20),I20*fx_deflator!$I$10*fx_deflator!$M$10,"")</f>
        <v/>
      </c>
      <c r="J78" s="136">
        <f>IF(ISNUMBER(J20),J20*fx_deflator!$I$11*fx_deflator!$M$11,"")</f>
        <v/>
      </c>
      <c r="K78" s="136">
        <f>IF(ISNUMBER(K20),K20*fx_deflator!$I$12*fx_deflator!$M$12,"")</f>
        <v/>
      </c>
      <c r="L78" s="136">
        <f>IF(ISNUMBER(L20),L20*fx_deflator!$I$13*fx_deflator!$M$13,"")</f>
        <v/>
      </c>
      <c r="M78" s="136">
        <f>IF(ISNUMBER(M20),M20*fx_deflator!$I$14*fx_deflator!$M$14,"")</f>
        <v/>
      </c>
      <c r="N78" s="136">
        <f>IF(ISNUMBER(N20),N20*fx_deflator!$I$15*fx_deflator!$M$15,"")</f>
        <v/>
      </c>
      <c r="O78" s="136">
        <f>IF(ISNUMBER(O20),O20*fx_deflator!$I$16*fx_deflator!$M$16,"")</f>
        <v/>
      </c>
      <c r="P78" s="136">
        <f>IF(ISNUMBER(P20),P20*fx_deflator!$I$17*fx_deflator!$M$17,"")</f>
        <v/>
      </c>
      <c r="Q78" s="136">
        <f>IF(ISNUMBER(Q20),Q20*fx_deflator!$I$18*fx_deflator!$M$18,"")</f>
        <v/>
      </c>
      <c r="R78" s="136">
        <f>IF(ISNUMBER(R20),R20*fx_deflator!$I$19*fx_deflator!$M$19,"")</f>
        <v/>
      </c>
      <c r="S78" s="136">
        <f>IF(ISNUMBER(S20),S20*fx_deflator!$I$20*fx_deflator!$M$20,"")</f>
        <v/>
      </c>
    </row>
    <row r="79" ht="15" customHeight="1" s="78">
      <c r="A79" s="77" t="inlineStr">
        <is>
          <t>UK</t>
        </is>
      </c>
      <c r="B79" s="77" t="inlineStr">
        <is>
          <t>UK OBSERVED QEP Large (incl CCL, D71) — real 2025 USD/MWh</t>
        </is>
      </c>
      <c r="C79" s="77" t="inlineStr">
        <is>
          <t>USD</t>
        </is>
      </c>
      <c r="D79" s="136">
        <f>IF(ISNUMBER(D30),D30*fx_deflator!$I$5*fx_deflator!$M$5,"")</f>
        <v/>
      </c>
      <c r="E79" s="136">
        <f>IF(ISNUMBER(E30),E30*fx_deflator!$I$6*fx_deflator!$M$6,"")</f>
        <v/>
      </c>
      <c r="F79" s="136">
        <f>IF(ISNUMBER(F30),F30*fx_deflator!$I$7*fx_deflator!$M$7,"")</f>
        <v/>
      </c>
      <c r="G79" s="136">
        <f>IF(ISNUMBER(G30),G30*fx_deflator!$I$8*fx_deflator!$M$8,"")</f>
        <v/>
      </c>
      <c r="H79" s="136">
        <f>IF(ISNUMBER(H30),H30*fx_deflator!$I$9*fx_deflator!$M$9,"")</f>
        <v/>
      </c>
      <c r="I79" s="136">
        <f>IF(ISNUMBER(I30),I30*fx_deflator!$I$10*fx_deflator!$M$10,"")</f>
        <v/>
      </c>
      <c r="J79" s="136">
        <f>IF(ISNUMBER(J30),J30*fx_deflator!$I$11*fx_deflator!$M$11,"")</f>
        <v/>
      </c>
      <c r="K79" s="136">
        <f>IF(ISNUMBER(K30),K30*fx_deflator!$I$12*fx_deflator!$M$12,"")</f>
        <v/>
      </c>
      <c r="L79" s="136">
        <f>IF(ISNUMBER(L30),L30*fx_deflator!$I$13*fx_deflator!$M$13,"")</f>
        <v/>
      </c>
      <c r="M79" s="136">
        <f>IF(ISNUMBER(M30),M30*fx_deflator!$I$14*fx_deflator!$M$14,"")</f>
        <v/>
      </c>
      <c r="N79" s="136">
        <f>IF(ISNUMBER(N30),N30*fx_deflator!$I$15*fx_deflator!$M$15,"")</f>
        <v/>
      </c>
      <c r="O79" s="136">
        <f>IF(ISNUMBER(O30),O30*fx_deflator!$I$16*fx_deflator!$M$16,"")</f>
        <v/>
      </c>
      <c r="P79" s="136">
        <f>IF(ISNUMBER(P30),P30*fx_deflator!$I$17*fx_deflator!$M$17,"")</f>
        <v/>
      </c>
      <c r="Q79" s="136">
        <f>IF(ISNUMBER(Q30),Q30*fx_deflator!$I$18*fx_deflator!$M$18,"")</f>
        <v/>
      </c>
      <c r="R79" s="136">
        <f>IF(ISNUMBER(R30),R30*fx_deflator!$I$19*fx_deflator!$M$19,"")</f>
        <v/>
      </c>
      <c r="S79" s="136">
        <f>IF(ISNUMBER(S30),S30*fx_deflator!$I$20*fx_deflator!$M$20,"")</f>
        <v/>
      </c>
    </row>
    <row r="80" ht="15" customHeight="1" s="78">
      <c r="A80" s="77" t="inlineStr">
        <is>
          <t>DE</t>
        </is>
      </c>
      <c r="B80" s="77" t="inlineStr">
        <is>
          <t>DE LARGE E1 — real 2025 USD/MWh</t>
        </is>
      </c>
      <c r="C80" s="77" t="inlineStr">
        <is>
          <t>USD</t>
        </is>
      </c>
      <c r="D80" s="136">
        <f>IF(ISNUMBER(D41),D41*fx_deflator!$J$5*fx_deflator!$M$5,"")</f>
        <v/>
      </c>
      <c r="E80" s="136">
        <f>IF(ISNUMBER(E41),E41*fx_deflator!$J$6*fx_deflator!$M$6,"")</f>
        <v/>
      </c>
      <c r="F80" s="136">
        <f>IF(ISNUMBER(F41),F41*fx_deflator!$J$7*fx_deflator!$M$7,"")</f>
        <v/>
      </c>
      <c r="G80" s="136">
        <f>IF(ISNUMBER(G41),G41*fx_deflator!$J$8*fx_deflator!$M$8,"")</f>
        <v/>
      </c>
      <c r="H80" s="136">
        <f>IF(ISNUMBER(H41),H41*fx_deflator!$J$9*fx_deflator!$M$9,"")</f>
        <v/>
      </c>
      <c r="I80" s="136">
        <f>IF(ISNUMBER(I41),I41*fx_deflator!$J$10*fx_deflator!$M$10,"")</f>
        <v/>
      </c>
      <c r="J80" s="136">
        <f>IF(ISNUMBER(J41),J41*fx_deflator!$J$11*fx_deflator!$M$11,"")</f>
        <v/>
      </c>
      <c r="K80" s="136">
        <f>IF(ISNUMBER(K41),K41*fx_deflator!$J$12*fx_deflator!$M$12,"")</f>
        <v/>
      </c>
      <c r="L80" s="136">
        <f>IF(ISNUMBER(L41),L41*fx_deflator!$J$13*fx_deflator!$M$13,"")</f>
        <v/>
      </c>
      <c r="M80" s="136">
        <f>IF(ISNUMBER(M41),M41*fx_deflator!$J$14*fx_deflator!$M$14,"")</f>
        <v/>
      </c>
      <c r="N80" s="136">
        <f>IF(ISNUMBER(N41),N41*fx_deflator!$J$15*fx_deflator!$M$15,"")</f>
        <v/>
      </c>
      <c r="O80" s="136">
        <f>IF(ISNUMBER(O41),O41*fx_deflator!$J$16*fx_deflator!$M$16,"")</f>
        <v/>
      </c>
      <c r="P80" s="136">
        <f>IF(ISNUMBER(P41),P41*fx_deflator!$J$17*fx_deflator!$M$17,"")</f>
        <v/>
      </c>
      <c r="Q80" s="136">
        <f>IF(ISNUMBER(Q41),Q41*fx_deflator!$J$18*fx_deflator!$M$18,"")</f>
        <v/>
      </c>
      <c r="R80" s="136">
        <f>IF(ISNUMBER(R41),R41*fx_deflator!$J$19*fx_deflator!$M$19,"")</f>
        <v/>
      </c>
      <c r="S80" s="136">
        <f>IF(ISNUMBER(S41),S41*fx_deflator!$J$20*fx_deflator!$M$20,"")</f>
        <v/>
      </c>
    </row>
    <row r="81" ht="15" customHeight="1" s="78">
      <c r="A81" s="77" t="inlineStr">
        <is>
          <t>DE</t>
        </is>
      </c>
      <c r="B81" s="77" t="inlineStr">
        <is>
          <t>DE LARGE E2 central — real 2025 USD/MWh</t>
        </is>
      </c>
      <c r="C81" s="77" t="inlineStr">
        <is>
          <t>USD</t>
        </is>
      </c>
      <c r="D81" s="136">
        <f>IF(ISNUMBER(D51),D51*fx_deflator!$J$5*fx_deflator!$M$5,"")</f>
        <v/>
      </c>
      <c r="E81" s="136">
        <f>IF(ISNUMBER(E51),E51*fx_deflator!$J$6*fx_deflator!$M$6,"")</f>
        <v/>
      </c>
      <c r="F81" s="136">
        <f>IF(ISNUMBER(F51),F51*fx_deflator!$J$7*fx_deflator!$M$7,"")</f>
        <v/>
      </c>
      <c r="G81" s="136">
        <f>IF(ISNUMBER(G51),G51*fx_deflator!$J$8*fx_deflator!$M$8,"")</f>
        <v/>
      </c>
      <c r="H81" s="136">
        <f>IF(ISNUMBER(H51),H51*fx_deflator!$J$9*fx_deflator!$M$9,"")</f>
        <v/>
      </c>
      <c r="I81" s="136">
        <f>IF(ISNUMBER(I51),I51*fx_deflator!$J$10*fx_deflator!$M$10,"")</f>
        <v/>
      </c>
      <c r="J81" s="136">
        <f>IF(ISNUMBER(J51),J51*fx_deflator!$J$11*fx_deflator!$M$11,"")</f>
        <v/>
      </c>
      <c r="K81" s="136">
        <f>IF(ISNUMBER(K51),K51*fx_deflator!$J$12*fx_deflator!$M$12,"")</f>
        <v/>
      </c>
      <c r="L81" s="136">
        <f>IF(ISNUMBER(L51),L51*fx_deflator!$J$13*fx_deflator!$M$13,"")</f>
        <v/>
      </c>
      <c r="M81" s="136">
        <f>IF(ISNUMBER(M51),M51*fx_deflator!$J$14*fx_deflator!$M$14,"")</f>
        <v/>
      </c>
      <c r="N81" s="136">
        <f>IF(ISNUMBER(N51),N51*fx_deflator!$J$15*fx_deflator!$M$15,"")</f>
        <v/>
      </c>
      <c r="O81" s="136">
        <f>IF(ISNUMBER(O51),O51*fx_deflator!$J$16*fx_deflator!$M$16,"")</f>
        <v/>
      </c>
      <c r="P81" s="136">
        <f>IF(ISNUMBER(P51),P51*fx_deflator!$J$17*fx_deflator!$M$17,"")</f>
        <v/>
      </c>
      <c r="Q81" s="136">
        <f>IF(ISNUMBER(Q51),Q51*fx_deflator!$J$18*fx_deflator!$M$18,"")</f>
        <v/>
      </c>
      <c r="R81" s="136">
        <f>IF(ISNUMBER(R51),R51*fx_deflator!$J$19*fx_deflator!$M$19,"")</f>
        <v/>
      </c>
      <c r="S81" s="136">
        <f>IF(ISNUMBER(S51),S51*fx_deflator!$J$20*fx_deflator!$M$20,"")</f>
        <v/>
      </c>
    </row>
    <row r="82" ht="15" customHeight="1" s="78">
      <c r="A82" s="77" t="inlineStr">
        <is>
          <t>DE</t>
        </is>
      </c>
      <c r="B82" s="77" t="inlineStr">
        <is>
          <t>DE LARGE E2 band low — real 2025 USD/MWh</t>
        </is>
      </c>
      <c r="C82" s="77" t="inlineStr">
        <is>
          <t>USD</t>
        </is>
      </c>
      <c r="D82" s="136">
        <f>IF(ISNUMBER(D52),D52*fx_deflator!$J$5*fx_deflator!$M$5,"")</f>
        <v/>
      </c>
      <c r="E82" s="136">
        <f>IF(ISNUMBER(E52),E52*fx_deflator!$J$6*fx_deflator!$M$6,"")</f>
        <v/>
      </c>
      <c r="F82" s="136">
        <f>IF(ISNUMBER(F52),F52*fx_deflator!$J$7*fx_deflator!$M$7,"")</f>
        <v/>
      </c>
      <c r="G82" s="136">
        <f>IF(ISNUMBER(G52),G52*fx_deflator!$J$8*fx_deflator!$M$8,"")</f>
        <v/>
      </c>
      <c r="H82" s="136">
        <f>IF(ISNUMBER(H52),H52*fx_deflator!$J$9*fx_deflator!$M$9,"")</f>
        <v/>
      </c>
      <c r="I82" s="136">
        <f>IF(ISNUMBER(I52),I52*fx_deflator!$J$10*fx_deflator!$M$10,"")</f>
        <v/>
      </c>
      <c r="J82" s="136">
        <f>IF(ISNUMBER(J52),J52*fx_deflator!$J$11*fx_deflator!$M$11,"")</f>
        <v/>
      </c>
      <c r="K82" s="136">
        <f>IF(ISNUMBER(K52),K52*fx_deflator!$J$12*fx_deflator!$M$12,"")</f>
        <v/>
      </c>
      <c r="L82" s="136">
        <f>IF(ISNUMBER(L52),L52*fx_deflator!$J$13*fx_deflator!$M$13,"")</f>
        <v/>
      </c>
      <c r="M82" s="136">
        <f>IF(ISNUMBER(M52),M52*fx_deflator!$J$14*fx_deflator!$M$14,"")</f>
        <v/>
      </c>
      <c r="N82" s="136">
        <f>IF(ISNUMBER(N52),N52*fx_deflator!$J$15*fx_deflator!$M$15,"")</f>
        <v/>
      </c>
      <c r="O82" s="136">
        <f>IF(ISNUMBER(O52),O52*fx_deflator!$J$16*fx_deflator!$M$16,"")</f>
        <v/>
      </c>
      <c r="P82" s="136">
        <f>IF(ISNUMBER(P52),P52*fx_deflator!$J$17*fx_deflator!$M$17,"")</f>
        <v/>
      </c>
      <c r="Q82" s="136">
        <f>IF(ISNUMBER(Q52),Q52*fx_deflator!$J$18*fx_deflator!$M$18,"")</f>
        <v/>
      </c>
      <c r="R82" s="136">
        <f>IF(ISNUMBER(R52),R52*fx_deflator!$J$19*fx_deflator!$M$19,"")</f>
        <v/>
      </c>
      <c r="S82" s="136">
        <f>IF(ISNUMBER(S52),S52*fx_deflator!$J$20*fx_deflator!$M$20,"")</f>
        <v/>
      </c>
    </row>
    <row r="83" ht="15" customHeight="1" s="78">
      <c r="A83" s="77" t="inlineStr">
        <is>
          <t>DE</t>
        </is>
      </c>
      <c r="B83" s="77" t="inlineStr">
        <is>
          <t>DE LARGE E2 band high — real 2025 USD/MWh</t>
        </is>
      </c>
      <c r="C83" s="77" t="inlineStr">
        <is>
          <t>USD</t>
        </is>
      </c>
      <c r="D83" s="136">
        <f>IF(ISNUMBER(D53),D53*fx_deflator!$J$5*fx_deflator!$M$5,"")</f>
        <v/>
      </c>
      <c r="E83" s="136">
        <f>IF(ISNUMBER(E53),E53*fx_deflator!$J$6*fx_deflator!$M$6,"")</f>
        <v/>
      </c>
      <c r="F83" s="136">
        <f>IF(ISNUMBER(F53),F53*fx_deflator!$J$7*fx_deflator!$M$7,"")</f>
        <v/>
      </c>
      <c r="G83" s="136">
        <f>IF(ISNUMBER(G53),G53*fx_deflator!$J$8*fx_deflator!$M$8,"")</f>
        <v/>
      </c>
      <c r="H83" s="136">
        <f>IF(ISNUMBER(H53),H53*fx_deflator!$J$9*fx_deflator!$M$9,"")</f>
        <v/>
      </c>
      <c r="I83" s="136">
        <f>IF(ISNUMBER(I53),I53*fx_deflator!$J$10*fx_deflator!$M$10,"")</f>
        <v/>
      </c>
      <c r="J83" s="136">
        <f>IF(ISNUMBER(J53),J53*fx_deflator!$J$11*fx_deflator!$M$11,"")</f>
        <v/>
      </c>
      <c r="K83" s="136">
        <f>IF(ISNUMBER(K53),K53*fx_deflator!$J$12*fx_deflator!$M$12,"")</f>
        <v/>
      </c>
      <c r="L83" s="136">
        <f>IF(ISNUMBER(L53),L53*fx_deflator!$J$13*fx_deflator!$M$13,"")</f>
        <v/>
      </c>
      <c r="M83" s="136">
        <f>IF(ISNUMBER(M53),M53*fx_deflator!$J$14*fx_deflator!$M$14,"")</f>
        <v/>
      </c>
      <c r="N83" s="136">
        <f>IF(ISNUMBER(N53),N53*fx_deflator!$J$15*fx_deflator!$M$15,"")</f>
        <v/>
      </c>
      <c r="O83" s="136">
        <f>IF(ISNUMBER(O53),O53*fx_deflator!$J$16*fx_deflator!$M$16,"")</f>
        <v/>
      </c>
      <c r="P83" s="136">
        <f>IF(ISNUMBER(P53),P53*fx_deflator!$J$17*fx_deflator!$M$17,"")</f>
        <v/>
      </c>
      <c r="Q83" s="136">
        <f>IF(ISNUMBER(Q53),Q53*fx_deflator!$J$18*fx_deflator!$M$18,"")</f>
        <v/>
      </c>
      <c r="R83" s="136">
        <f>IF(ISNUMBER(R53),R53*fx_deflator!$J$19*fx_deflator!$M$19,"")</f>
        <v/>
      </c>
      <c r="S83" s="136">
        <f>IF(ISNUMBER(S53),S53*fx_deflator!$J$20*fx_deflator!$M$20,"")</f>
        <v/>
      </c>
    </row>
    <row r="84" ht="15" customHeight="1" s="78">
      <c r="A84" s="77" t="inlineStr">
        <is>
          <t>DE</t>
        </is>
      </c>
      <c r="B84" s="77" t="inlineStr">
        <is>
          <t>DE MEDIUM E1 — real 2025 USD/MWh</t>
        </is>
      </c>
      <c r="C84" s="77" t="inlineStr">
        <is>
          <t>USD</t>
        </is>
      </c>
      <c r="D84" s="136">
        <f>IF(ISNUMBER(D61),D61*fx_deflator!$J$5*fx_deflator!$M$5,"")</f>
        <v/>
      </c>
      <c r="E84" s="136">
        <f>IF(ISNUMBER(E61),E61*fx_deflator!$J$6*fx_deflator!$M$6,"")</f>
        <v/>
      </c>
      <c r="F84" s="136">
        <f>IF(ISNUMBER(F61),F61*fx_deflator!$J$7*fx_deflator!$M$7,"")</f>
        <v/>
      </c>
      <c r="G84" s="136">
        <f>IF(ISNUMBER(G61),G61*fx_deflator!$J$8*fx_deflator!$M$8,"")</f>
        <v/>
      </c>
      <c r="H84" s="136">
        <f>IF(ISNUMBER(H61),H61*fx_deflator!$J$9*fx_deflator!$M$9,"")</f>
        <v/>
      </c>
      <c r="I84" s="136">
        <f>IF(ISNUMBER(I61),I61*fx_deflator!$J$10*fx_deflator!$M$10,"")</f>
        <v/>
      </c>
      <c r="J84" s="136">
        <f>IF(ISNUMBER(J61),J61*fx_deflator!$J$11*fx_deflator!$M$11,"")</f>
        <v/>
      </c>
      <c r="K84" s="136">
        <f>IF(ISNUMBER(K61),K61*fx_deflator!$J$12*fx_deflator!$M$12,"")</f>
        <v/>
      </c>
      <c r="L84" s="136">
        <f>IF(ISNUMBER(L61),L61*fx_deflator!$J$13*fx_deflator!$M$13,"")</f>
        <v/>
      </c>
      <c r="M84" s="136">
        <f>IF(ISNUMBER(M61),M61*fx_deflator!$J$14*fx_deflator!$M$14,"")</f>
        <v/>
      </c>
      <c r="N84" s="136">
        <f>IF(ISNUMBER(N61),N61*fx_deflator!$J$15*fx_deflator!$M$15,"")</f>
        <v/>
      </c>
      <c r="O84" s="136">
        <f>IF(ISNUMBER(O61),O61*fx_deflator!$J$16*fx_deflator!$M$16,"")</f>
        <v/>
      </c>
      <c r="P84" s="136">
        <f>IF(ISNUMBER(P61),P61*fx_deflator!$J$17*fx_deflator!$M$17,"")</f>
        <v/>
      </c>
      <c r="Q84" s="136">
        <f>IF(ISNUMBER(Q61),Q61*fx_deflator!$J$18*fx_deflator!$M$18,"")</f>
        <v/>
      </c>
      <c r="R84" s="136">
        <f>IF(ISNUMBER(R61),R61*fx_deflator!$J$19*fx_deflator!$M$19,"")</f>
        <v/>
      </c>
      <c r="S84" s="136">
        <f>IF(ISNUMBER(S61),S61*fx_deflator!$J$20*fx_deflator!$M$20,"")</f>
        <v/>
      </c>
    </row>
    <row r="85" ht="15" customHeight="1" s="78">
      <c r="A85" s="77" t="inlineStr">
        <is>
          <t>DE</t>
        </is>
      </c>
      <c r="B85" s="77" t="inlineStr">
        <is>
          <t>DE MEDIUM E2 — real 2025 USD/MWh</t>
        </is>
      </c>
      <c r="C85" s="77" t="inlineStr">
        <is>
          <t>USD</t>
        </is>
      </c>
      <c r="D85" s="136">
        <f>IF(ISNUMBER(D64),D64*fx_deflator!$J$5*fx_deflator!$M$5,"")</f>
        <v/>
      </c>
      <c r="E85" s="136">
        <f>IF(ISNUMBER(E64),E64*fx_deflator!$J$6*fx_deflator!$M$6,"")</f>
        <v/>
      </c>
      <c r="F85" s="136">
        <f>IF(ISNUMBER(F64),F64*fx_deflator!$J$7*fx_deflator!$M$7,"")</f>
        <v/>
      </c>
      <c r="G85" s="136">
        <f>IF(ISNUMBER(G64),G64*fx_deflator!$J$8*fx_deflator!$M$8,"")</f>
        <v/>
      </c>
      <c r="H85" s="136">
        <f>IF(ISNUMBER(H64),H64*fx_deflator!$J$9*fx_deflator!$M$9,"")</f>
        <v/>
      </c>
      <c r="I85" s="136">
        <f>IF(ISNUMBER(I64),I64*fx_deflator!$J$10*fx_deflator!$M$10,"")</f>
        <v/>
      </c>
      <c r="J85" s="136">
        <f>IF(ISNUMBER(J64),J64*fx_deflator!$J$11*fx_deflator!$M$11,"")</f>
        <v/>
      </c>
      <c r="K85" s="136">
        <f>IF(ISNUMBER(K64),K64*fx_deflator!$J$12*fx_deflator!$M$12,"")</f>
        <v/>
      </c>
      <c r="L85" s="136">
        <f>IF(ISNUMBER(L64),L64*fx_deflator!$J$13*fx_deflator!$M$13,"")</f>
        <v/>
      </c>
      <c r="M85" s="136">
        <f>IF(ISNUMBER(M64),M64*fx_deflator!$J$14*fx_deflator!$M$14,"")</f>
        <v/>
      </c>
      <c r="N85" s="136">
        <f>IF(ISNUMBER(N64),N64*fx_deflator!$J$15*fx_deflator!$M$15,"")</f>
        <v/>
      </c>
      <c r="O85" s="136">
        <f>IF(ISNUMBER(O64),O64*fx_deflator!$J$16*fx_deflator!$M$16,"")</f>
        <v/>
      </c>
      <c r="P85" s="136">
        <f>IF(ISNUMBER(P64),P64*fx_deflator!$J$17*fx_deflator!$M$17,"")</f>
        <v/>
      </c>
      <c r="Q85" s="136">
        <f>IF(ISNUMBER(Q64),Q64*fx_deflator!$J$18*fx_deflator!$M$18,"")</f>
        <v/>
      </c>
      <c r="R85" s="136">
        <f>IF(ISNUMBER(R64),R64*fx_deflator!$J$19*fx_deflator!$M$19,"")</f>
        <v/>
      </c>
      <c r="S85" s="136">
        <f>IF(ISNUMBER(S64),S64*fx_deflator!$J$20*fx_deflator!$M$20,"")</f>
        <v/>
      </c>
    </row>
    <row r="86" ht="15" customHeight="1" s="78">
      <c r="A86" s="77" t="inlineStr">
        <is>
          <t>DE</t>
        </is>
      </c>
      <c r="B86" s="77" t="inlineStr">
        <is>
          <t>DE OBSERVED Eurostat IF — real 2025 USD/MWh</t>
        </is>
      </c>
      <c r="C86" s="77" t="inlineStr">
        <is>
          <t>USD</t>
        </is>
      </c>
      <c r="D86" s="136">
        <f>IF(ISNUMBER(D54),D54*fx_deflator!$J$5*fx_deflator!$M$5,"")</f>
        <v/>
      </c>
      <c r="E86" s="136">
        <f>IF(ISNUMBER(E54),E54*fx_deflator!$J$6*fx_deflator!$M$6,"")</f>
        <v/>
      </c>
      <c r="F86" s="136">
        <f>IF(ISNUMBER(F54),F54*fx_deflator!$J$7*fx_deflator!$M$7,"")</f>
        <v/>
      </c>
      <c r="G86" s="136">
        <f>IF(ISNUMBER(G54),G54*fx_deflator!$J$8*fx_deflator!$M$8,"")</f>
        <v/>
      </c>
      <c r="H86" s="136">
        <f>IF(ISNUMBER(H54),H54*fx_deflator!$J$9*fx_deflator!$M$9,"")</f>
        <v/>
      </c>
      <c r="I86" s="136">
        <f>IF(ISNUMBER(I54),I54*fx_deflator!$J$10*fx_deflator!$M$10,"")</f>
        <v/>
      </c>
      <c r="J86" s="136">
        <f>IF(ISNUMBER(J54),J54*fx_deflator!$J$11*fx_deflator!$M$11,"")</f>
        <v/>
      </c>
      <c r="K86" s="136">
        <f>IF(ISNUMBER(K54),K54*fx_deflator!$J$12*fx_deflator!$M$12,"")</f>
        <v/>
      </c>
      <c r="L86" s="136">
        <f>IF(ISNUMBER(L54),L54*fx_deflator!$J$13*fx_deflator!$M$13,"")</f>
        <v/>
      </c>
      <c r="M86" s="136">
        <f>IF(ISNUMBER(M54),M54*fx_deflator!$J$14*fx_deflator!$M$14,"")</f>
        <v/>
      </c>
      <c r="N86" s="136">
        <f>IF(ISNUMBER(N54),N54*fx_deflator!$J$15*fx_deflator!$M$15,"")</f>
        <v/>
      </c>
      <c r="O86" s="136">
        <f>IF(ISNUMBER(O54),O54*fx_deflator!$J$16*fx_deflator!$M$16,"")</f>
        <v/>
      </c>
      <c r="P86" s="136">
        <f>IF(ISNUMBER(P54),P54*fx_deflator!$J$17*fx_deflator!$M$17,"")</f>
        <v/>
      </c>
      <c r="Q86" s="136">
        <f>IF(ISNUMBER(Q54),Q54*fx_deflator!$J$18*fx_deflator!$M$18,"")</f>
        <v/>
      </c>
      <c r="R86" s="136">
        <f>IF(ISNUMBER(R54),R54*fx_deflator!$J$19*fx_deflator!$M$19,"")</f>
        <v/>
      </c>
      <c r="S86" s="136">
        <f>IF(ISNUMBER(S54),S54*fx_deflator!$J$20*fx_deflator!$M$20,"")</f>
        <v/>
      </c>
    </row>
    <row r="87" ht="15" customHeight="1" s="78">
      <c r="A87" s="77" t="inlineStr">
        <is>
          <t>DE</t>
        </is>
      </c>
      <c r="B87" s="77" t="inlineStr">
        <is>
          <t>DE OBSERVED Eurostat IG — real 2025 USD/MWh</t>
        </is>
      </c>
      <c r="C87" s="77" t="inlineStr">
        <is>
          <t>USD</t>
        </is>
      </c>
      <c r="D87" s="136">
        <f>IF(ISNUMBER(D55),D55*fx_deflator!$J$5*fx_deflator!$M$5,"")</f>
        <v/>
      </c>
      <c r="E87" s="136">
        <f>IF(ISNUMBER(E55),E55*fx_deflator!$J$6*fx_deflator!$M$6,"")</f>
        <v/>
      </c>
      <c r="F87" s="136">
        <f>IF(ISNUMBER(F55),F55*fx_deflator!$J$7*fx_deflator!$M$7,"")</f>
        <v/>
      </c>
      <c r="G87" s="136">
        <f>IF(ISNUMBER(G55),G55*fx_deflator!$J$8*fx_deflator!$M$8,"")</f>
        <v/>
      </c>
      <c r="H87" s="136">
        <f>IF(ISNUMBER(H55),H55*fx_deflator!$J$9*fx_deflator!$M$9,"")</f>
        <v/>
      </c>
      <c r="I87" s="136">
        <f>IF(ISNUMBER(I55),I55*fx_deflator!$J$10*fx_deflator!$M$10,"")</f>
        <v/>
      </c>
      <c r="J87" s="136">
        <f>IF(ISNUMBER(J55),J55*fx_deflator!$J$11*fx_deflator!$M$11,"")</f>
        <v/>
      </c>
      <c r="K87" s="136">
        <f>IF(ISNUMBER(K55),K55*fx_deflator!$J$12*fx_deflator!$M$12,"")</f>
        <v/>
      </c>
      <c r="L87" s="136">
        <f>IF(ISNUMBER(L55),L55*fx_deflator!$J$13*fx_deflator!$M$13,"")</f>
        <v/>
      </c>
      <c r="M87" s="136">
        <f>IF(ISNUMBER(M55),M55*fx_deflator!$J$14*fx_deflator!$M$14,"")</f>
        <v/>
      </c>
      <c r="N87" s="136">
        <f>IF(ISNUMBER(N55),N55*fx_deflator!$J$15*fx_deflator!$M$15,"")</f>
        <v/>
      </c>
      <c r="O87" s="136">
        <f>IF(ISNUMBER(O55),O55*fx_deflator!$J$16*fx_deflator!$M$16,"")</f>
        <v/>
      </c>
      <c r="P87" s="136">
        <f>IF(ISNUMBER(P55),P55*fx_deflator!$J$17*fx_deflator!$M$17,"")</f>
        <v/>
      </c>
      <c r="Q87" s="136">
        <f>IF(ISNUMBER(Q55),Q55*fx_deflator!$J$18*fx_deflator!$M$18,"")</f>
        <v/>
      </c>
      <c r="R87" s="136">
        <f>IF(ISNUMBER(R55),R55*fx_deflator!$J$19*fx_deflator!$M$19,"")</f>
        <v/>
      </c>
      <c r="S87" s="136">
        <f>IF(ISNUMBER(S55),S55*fx_deflator!$J$20*fx_deflator!$M$20,"")</f>
        <v/>
      </c>
    </row>
    <row r="88" ht="15" customHeight="1" s="78">
      <c r="A88" s="77" t="inlineStr">
        <is>
          <t>DE</t>
        </is>
      </c>
      <c r="B88" s="77" t="inlineStr">
        <is>
          <t>DE OBSERVED Eurostat ID — real 2025 USD/MWh</t>
        </is>
      </c>
      <c r="C88" s="77" t="inlineStr">
        <is>
          <t>USD</t>
        </is>
      </c>
      <c r="D88" s="136">
        <f>IF(ISNUMBER(D65),D65*fx_deflator!$J$5*fx_deflator!$M$5,"")</f>
        <v/>
      </c>
      <c r="E88" s="136">
        <f>IF(ISNUMBER(E65),E65*fx_deflator!$J$6*fx_deflator!$M$6,"")</f>
        <v/>
      </c>
      <c r="F88" s="136">
        <f>IF(ISNUMBER(F65),F65*fx_deflator!$J$7*fx_deflator!$M$7,"")</f>
        <v/>
      </c>
      <c r="G88" s="136">
        <f>IF(ISNUMBER(G65),G65*fx_deflator!$J$8*fx_deflator!$M$8,"")</f>
        <v/>
      </c>
      <c r="H88" s="136">
        <f>IF(ISNUMBER(H65),H65*fx_deflator!$J$9*fx_deflator!$M$9,"")</f>
        <v/>
      </c>
      <c r="I88" s="136">
        <f>IF(ISNUMBER(I65),I65*fx_deflator!$J$10*fx_deflator!$M$10,"")</f>
        <v/>
      </c>
      <c r="J88" s="136">
        <f>IF(ISNUMBER(J65),J65*fx_deflator!$J$11*fx_deflator!$M$11,"")</f>
        <v/>
      </c>
      <c r="K88" s="136">
        <f>IF(ISNUMBER(K65),K65*fx_deflator!$J$12*fx_deflator!$M$12,"")</f>
        <v/>
      </c>
      <c r="L88" s="136">
        <f>IF(ISNUMBER(L65),L65*fx_deflator!$J$13*fx_deflator!$M$13,"")</f>
        <v/>
      </c>
      <c r="M88" s="136">
        <f>IF(ISNUMBER(M65),M65*fx_deflator!$J$14*fx_deflator!$M$14,"")</f>
        <v/>
      </c>
      <c r="N88" s="136">
        <f>IF(ISNUMBER(N65),N65*fx_deflator!$J$15*fx_deflator!$M$15,"")</f>
        <v/>
      </c>
      <c r="O88" s="136">
        <f>IF(ISNUMBER(O65),O65*fx_deflator!$J$16*fx_deflator!$M$16,"")</f>
        <v/>
      </c>
      <c r="P88" s="136">
        <f>IF(ISNUMBER(P65),P65*fx_deflator!$J$17*fx_deflator!$M$17,"")</f>
        <v/>
      </c>
      <c r="Q88" s="136">
        <f>IF(ISNUMBER(Q65),Q65*fx_deflator!$J$18*fx_deflator!$M$18,"")</f>
        <v/>
      </c>
      <c r="R88" s="136">
        <f>IF(ISNUMBER(R65),R65*fx_deflator!$J$19*fx_deflator!$M$19,"")</f>
        <v/>
      </c>
      <c r="S88" s="136">
        <f>IF(ISNUMBER(S65),S65*fx_deflator!$J$20*fx_deflator!$M$20,"")</f>
        <v/>
      </c>
    </row>
    <row r="89" ht="15" customHeight="1" s="78">
      <c r="A89" s="77" t="inlineStr">
        <is>
          <t>CN</t>
        </is>
      </c>
      <c r="B89" s="77" t="inlineStr">
        <is>
          <t>CN LARGE (E1=E2) — real 2025 USD/MWh (incl VAT as published — Q84)</t>
        </is>
      </c>
      <c r="C89" s="77" t="inlineStr">
        <is>
          <t>USD</t>
        </is>
      </c>
      <c r="D89" s="136">
        <f>IF(ISNUMBER(D67),D67/fx_deflator!$K$5*fx_deflator!$M$5,"")</f>
        <v/>
      </c>
      <c r="E89" s="136">
        <f>IF(ISNUMBER(E67),E67/fx_deflator!$K$6*fx_deflator!$M$6,"")</f>
        <v/>
      </c>
      <c r="F89" s="136">
        <f>IF(ISNUMBER(F67),F67/fx_deflator!$K$7*fx_deflator!$M$7,"")</f>
        <v/>
      </c>
      <c r="G89" s="136">
        <f>IF(ISNUMBER(G67),G67/fx_deflator!$K$8*fx_deflator!$M$8,"")</f>
        <v/>
      </c>
      <c r="H89" s="136">
        <f>IF(ISNUMBER(H67),H67/fx_deflator!$K$9*fx_deflator!$M$9,"")</f>
        <v/>
      </c>
      <c r="I89" s="136">
        <f>IF(ISNUMBER(I67),I67/fx_deflator!$K$10*fx_deflator!$M$10,"")</f>
        <v/>
      </c>
      <c r="J89" s="136">
        <f>IF(ISNUMBER(J67),J67/fx_deflator!$K$11*fx_deflator!$M$11,"")</f>
        <v/>
      </c>
      <c r="K89" s="136">
        <f>IF(ISNUMBER(K67),K67/fx_deflator!$K$12*fx_deflator!$M$12,"")</f>
        <v/>
      </c>
      <c r="L89" s="136">
        <f>IF(ISNUMBER(L67),L67/fx_deflator!$K$13*fx_deflator!$M$13,"")</f>
        <v/>
      </c>
      <c r="M89" s="136">
        <f>IF(ISNUMBER(M67),M67/fx_deflator!$K$14*fx_deflator!$M$14,"")</f>
        <v/>
      </c>
      <c r="N89" s="136">
        <f>IF(ISNUMBER(N67),N67/fx_deflator!$K$15*fx_deflator!$M$15,"")</f>
        <v/>
      </c>
      <c r="O89" s="136">
        <f>IF(ISNUMBER(O67),O67/fx_deflator!$K$16*fx_deflator!$M$16,"")</f>
        <v/>
      </c>
      <c r="P89" s="136">
        <f>IF(ISNUMBER(P67),P67/fx_deflator!$K$17*fx_deflator!$M$17,"")</f>
        <v/>
      </c>
      <c r="Q89" s="136">
        <f>IF(ISNUMBER(Q67),Q67/fx_deflator!$K$18*fx_deflator!$M$18,"")</f>
        <v/>
      </c>
      <c r="R89" s="136">
        <f>IF(ISNUMBER(R67),R67/fx_deflator!$K$19*fx_deflator!$M$19,"")</f>
        <v/>
      </c>
      <c r="S89" s="136">
        <f>IF(ISNUMBER(S67),S67/fx_deflator!$K$20*fx_deflator!$M$20,"")</f>
        <v/>
      </c>
    </row>
    <row r="90" ht="15" customHeight="1" s="78">
      <c r="A90" s="77" t="inlineStr">
        <is>
          <t>CN</t>
        </is>
      </c>
      <c r="B90" s="77" t="inlineStr">
        <is>
          <t>CN MEDIUM (E1=E2) — real 2025 USD/MWh (incl VAT as published — Q84)</t>
        </is>
      </c>
      <c r="C90" s="77" t="inlineStr">
        <is>
          <t>USD</t>
        </is>
      </c>
      <c r="D90" s="136">
        <f>IF(ISNUMBER(D70),D70/fx_deflator!$K$5*fx_deflator!$M$5,"")</f>
        <v/>
      </c>
      <c r="E90" s="136">
        <f>IF(ISNUMBER(E70),E70/fx_deflator!$K$6*fx_deflator!$M$6,"")</f>
        <v/>
      </c>
      <c r="F90" s="136">
        <f>IF(ISNUMBER(F70),F70/fx_deflator!$K$7*fx_deflator!$M$7,"")</f>
        <v/>
      </c>
      <c r="G90" s="136">
        <f>IF(ISNUMBER(G70),G70/fx_deflator!$K$8*fx_deflator!$M$8,"")</f>
        <v/>
      </c>
      <c r="H90" s="136">
        <f>IF(ISNUMBER(H70),H70/fx_deflator!$K$9*fx_deflator!$M$9,"")</f>
        <v/>
      </c>
      <c r="I90" s="136">
        <f>IF(ISNUMBER(I70),I70/fx_deflator!$K$10*fx_deflator!$M$10,"")</f>
        <v/>
      </c>
      <c r="J90" s="136">
        <f>IF(ISNUMBER(J70),J70/fx_deflator!$K$11*fx_deflator!$M$11,"")</f>
        <v/>
      </c>
      <c r="K90" s="136">
        <f>IF(ISNUMBER(K70),K70/fx_deflator!$K$12*fx_deflator!$M$12,"")</f>
        <v/>
      </c>
      <c r="L90" s="136">
        <f>IF(ISNUMBER(L70),L70/fx_deflator!$K$13*fx_deflator!$M$13,"")</f>
        <v/>
      </c>
      <c r="M90" s="136">
        <f>IF(ISNUMBER(M70),M70/fx_deflator!$K$14*fx_deflator!$M$14,"")</f>
        <v/>
      </c>
      <c r="N90" s="136">
        <f>IF(ISNUMBER(N70),N70/fx_deflator!$K$15*fx_deflator!$M$15,"")</f>
        <v/>
      </c>
      <c r="O90" s="136">
        <f>IF(ISNUMBER(O70),O70/fx_deflator!$K$16*fx_deflator!$M$16,"")</f>
        <v/>
      </c>
      <c r="P90" s="136">
        <f>IF(ISNUMBER(P70),P70/fx_deflator!$K$17*fx_deflator!$M$17,"")</f>
        <v/>
      </c>
      <c r="Q90" s="136">
        <f>IF(ISNUMBER(Q70),Q70/fx_deflator!$K$18*fx_deflator!$M$18,"")</f>
        <v/>
      </c>
      <c r="R90" s="136">
        <f>IF(ISNUMBER(R70),R70/fx_deflator!$K$19*fx_deflator!$M$19,"")</f>
        <v/>
      </c>
      <c r="S90" s="136">
        <f>IF(ISNUMBER(S70),S70/fx_deflator!$K$20*fx_deflator!$M$20,"")</f>
        <v/>
      </c>
    </row>
    <row r="91" ht="15" customHeight="1" s="78">
      <c r="A91" s="131" t="inlineStr">
        <is>
          <t>VALIDATION GATE (house rule 3): observed band average must fall between E2 and E1. Run in nominal local currency; UK compared EXCL CCL (QEP 3.4.1 basis). Build-up excludes supply margin → observed near/above E1 flags margin+gaps, not archetype failure — investigate, never tune (results → qc).</t>
        </is>
      </c>
      <c r="B91" s="134" t="n"/>
      <c r="C91" s="134" t="n"/>
      <c r="D91" s="134" t="n"/>
      <c r="E91" s="134" t="n"/>
      <c r="F91" s="134" t="n"/>
      <c r="G91" s="134" t="n"/>
      <c r="H91" s="134" t="n"/>
      <c r="I91" s="134" t="n"/>
      <c r="J91" s="134" t="n"/>
      <c r="K91" s="134" t="n"/>
      <c r="L91" s="134" t="n"/>
      <c r="M91" s="134" t="n"/>
      <c r="N91" s="134" t="n"/>
      <c r="O91" s="134" t="n"/>
      <c r="P91" s="134" t="n"/>
      <c r="Q91" s="134" t="n"/>
      <c r="R91" s="134" t="n"/>
      <c r="S91" s="134" t="n"/>
      <c r="T91" s="134" t="n"/>
      <c r="U91" s="134" t="n"/>
    </row>
    <row r="92" ht="15" customHeight="1" s="78">
      <c r="A92" s="77" t="inlineStr">
        <is>
          <t>UK</t>
        </is>
      </c>
      <c r="B92" s="77" t="inlineStr">
        <is>
          <t>GATE UK large: QEP XL ∈ [E2, E1] (provisional pre-2024: E1 understated by FiT/CM/BSUoS gaps) [D71: both sides now incl CCL; E2 carries none]</t>
        </is>
      </c>
      <c r="C92" s="77" t="inlineStr">
        <is>
          <t>gate</t>
        </is>
      </c>
      <c r="D92" s="137">
        <f>IF(OR(NOT(ISNUMBER(D20)),NOT(ISNUMBER(D15)),NOT(ISNUMBER(D19))),"n/a",IF(AND(D20&gt;=D19,D20&lt;=D15),"PASS","FAIL"))</f>
        <v/>
      </c>
      <c r="E92" s="137">
        <f>IF(OR(NOT(ISNUMBER(E20)),NOT(ISNUMBER(E15)),NOT(ISNUMBER(E19))),"n/a",IF(AND(E20&gt;=E19,E20&lt;=E15),"PASS","FAIL"))</f>
        <v/>
      </c>
      <c r="F92" s="137">
        <f>IF(OR(NOT(ISNUMBER(F20)),NOT(ISNUMBER(F15)),NOT(ISNUMBER(F19))),"n/a",IF(AND(F20&gt;=F19,F20&lt;=F15),"PASS","FAIL"))</f>
        <v/>
      </c>
      <c r="G92" s="137">
        <f>IF(OR(NOT(ISNUMBER(G20)),NOT(ISNUMBER(G15)),NOT(ISNUMBER(G19))),"n/a",IF(AND(G20&gt;=G19,G20&lt;=G15),"PASS","FAIL"))</f>
        <v/>
      </c>
      <c r="H92" s="137">
        <f>IF(OR(NOT(ISNUMBER(H20)),NOT(ISNUMBER(H15)),NOT(ISNUMBER(H19))),"n/a",IF(AND(H20&gt;=H19,H20&lt;=H15),"PASS","FAIL"))</f>
        <v/>
      </c>
      <c r="I92" s="137">
        <f>IF(OR(NOT(ISNUMBER(I20)),NOT(ISNUMBER(I15)),NOT(ISNUMBER(I19))),"n/a",IF(AND(I20&gt;=I19,I20&lt;=I15),"PASS","FAIL"))</f>
        <v/>
      </c>
      <c r="J92" s="137">
        <f>IF(OR(NOT(ISNUMBER(J20)),NOT(ISNUMBER(J15)),NOT(ISNUMBER(J19))),"n/a",IF(AND(J20&gt;=J19,J20&lt;=J15),"PASS","FAIL"))</f>
        <v/>
      </c>
      <c r="K92" s="137">
        <f>IF(OR(NOT(ISNUMBER(K20)),NOT(ISNUMBER(K15)),NOT(ISNUMBER(K19))),"n/a",IF(AND(K20&gt;=K19,K20&lt;=K15),"PASS","FAIL"))</f>
        <v/>
      </c>
      <c r="L92" s="137">
        <f>IF(OR(NOT(ISNUMBER(L20)),NOT(ISNUMBER(L15)),NOT(ISNUMBER(L19))),"n/a",IF(AND(L20&gt;=L19,L20&lt;=L15),"PASS","FAIL"))</f>
        <v/>
      </c>
      <c r="M92" s="137">
        <f>IF(OR(NOT(ISNUMBER(M20)),NOT(ISNUMBER(M15)),NOT(ISNUMBER(M19))),"n/a",IF(AND(M20&gt;=M19,M20&lt;=M15),"PASS","FAIL"))</f>
        <v/>
      </c>
      <c r="N92" s="137">
        <f>IF(OR(NOT(ISNUMBER(N20)),NOT(ISNUMBER(N15)),NOT(ISNUMBER(N19))),"n/a",IF(AND(N20&gt;=N19,N20&lt;=N15),"PASS","FAIL"))</f>
        <v/>
      </c>
      <c r="O92" s="137">
        <f>IF(OR(NOT(ISNUMBER(O20)),NOT(ISNUMBER(O15)),NOT(ISNUMBER(O19))),"n/a",IF(AND(O20&gt;=O19,O20&lt;=O15),"PASS","FAIL"))</f>
        <v/>
      </c>
      <c r="P92" s="137">
        <f>IF(OR(NOT(ISNUMBER(P20)),NOT(ISNUMBER(P15)),NOT(ISNUMBER(P19))),"n/a",IF(AND(P20&gt;=P19,P20&lt;=P15),"PASS","FAIL"))</f>
        <v/>
      </c>
      <c r="Q92" s="137">
        <f>IF(OR(NOT(ISNUMBER(Q20)),NOT(ISNUMBER(Q15)),NOT(ISNUMBER(Q19))),"n/a",IF(AND(Q20&gt;=Q19,Q20&lt;=Q15),"PASS","FAIL"))</f>
        <v/>
      </c>
      <c r="R92" s="137">
        <f>IF(OR(NOT(ISNUMBER(R20)),NOT(ISNUMBER(R15)),NOT(ISNUMBER(R19))),"n/a",IF(AND(R20&gt;=R19,R20&lt;=R15),"PASS","FAIL"))</f>
        <v/>
      </c>
      <c r="S92" s="137">
        <f>IF(OR(NOT(ISNUMBER(S20)),NOT(ISNUMBER(S15)),NOT(ISNUMBER(S19))),"n/a",IF(AND(S20&gt;=S19,S20&lt;=S15),"PASS","FAIL"))</f>
        <v/>
      </c>
    </row>
    <row r="93" ht="15" customHeight="1" s="78">
      <c r="A93" s="77" t="inlineStr">
        <is>
          <t>UK</t>
        </is>
      </c>
      <c r="B93" s="77" t="inlineStr">
        <is>
          <t>GATE UK medium: QEP Large ∈ [E2, E1] (2017+) [D71: both sides now incl CCL; E2 carries none]</t>
        </is>
      </c>
      <c r="C93" s="77" t="inlineStr">
        <is>
          <t>gate</t>
        </is>
      </c>
      <c r="D93" s="137">
        <f>IF(OR(NOT(ISNUMBER(D30)),NOT(ISNUMBER(D28)),NOT(ISNUMBER(D29))),"n/a",IF(AND(D30&gt;=D29,D30&lt;=D28),"PASS","FAIL"))</f>
        <v/>
      </c>
      <c r="E93" s="137">
        <f>IF(OR(NOT(ISNUMBER(E30)),NOT(ISNUMBER(E28)),NOT(ISNUMBER(E29))),"n/a",IF(AND(E30&gt;=E29,E30&lt;=E28),"PASS","FAIL"))</f>
        <v/>
      </c>
      <c r="F93" s="137">
        <f>IF(OR(NOT(ISNUMBER(F30)),NOT(ISNUMBER(F28)),NOT(ISNUMBER(F29))),"n/a",IF(AND(F30&gt;=F29,F30&lt;=F28),"PASS","FAIL"))</f>
        <v/>
      </c>
      <c r="G93" s="137">
        <f>IF(OR(NOT(ISNUMBER(G30)),NOT(ISNUMBER(G28)),NOT(ISNUMBER(G29))),"n/a",IF(AND(G30&gt;=G29,G30&lt;=G28),"PASS","FAIL"))</f>
        <v/>
      </c>
      <c r="H93" s="137">
        <f>IF(OR(NOT(ISNUMBER(H30)),NOT(ISNUMBER(H28)),NOT(ISNUMBER(H29))),"n/a",IF(AND(H30&gt;=H29,H30&lt;=H28),"PASS","FAIL"))</f>
        <v/>
      </c>
      <c r="I93" s="137">
        <f>IF(OR(NOT(ISNUMBER(I30)),NOT(ISNUMBER(I28)),NOT(ISNUMBER(I29))),"n/a",IF(AND(I30&gt;=I29,I30&lt;=I28),"PASS","FAIL"))</f>
        <v/>
      </c>
      <c r="J93" s="137">
        <f>IF(OR(NOT(ISNUMBER(J30)),NOT(ISNUMBER(J28)),NOT(ISNUMBER(J29))),"n/a",IF(AND(J30&gt;=J29,J30&lt;=J28),"PASS","FAIL"))</f>
        <v/>
      </c>
      <c r="K93" s="137">
        <f>IF(OR(NOT(ISNUMBER(K30)),NOT(ISNUMBER(K28)),NOT(ISNUMBER(K29))),"n/a",IF(AND(K30&gt;=K29,K30&lt;=K28),"PASS","FAIL"))</f>
        <v/>
      </c>
      <c r="L93" s="137">
        <f>IF(OR(NOT(ISNUMBER(L30)),NOT(ISNUMBER(L28)),NOT(ISNUMBER(L29))),"n/a",IF(AND(L30&gt;=L29,L30&lt;=L28),"PASS","FAIL"))</f>
        <v/>
      </c>
      <c r="M93" s="137">
        <f>IF(OR(NOT(ISNUMBER(M30)),NOT(ISNUMBER(M28)),NOT(ISNUMBER(M29))),"n/a",IF(AND(M30&gt;=M29,M30&lt;=M28),"PASS","FAIL"))</f>
        <v/>
      </c>
      <c r="N93" s="137">
        <f>IF(OR(NOT(ISNUMBER(N30)),NOT(ISNUMBER(N28)),NOT(ISNUMBER(N29))),"n/a",IF(AND(N30&gt;=N29,N30&lt;=N28),"PASS","FAIL"))</f>
        <v/>
      </c>
      <c r="O93" s="137">
        <f>IF(OR(NOT(ISNUMBER(O30)),NOT(ISNUMBER(O28)),NOT(ISNUMBER(O29))),"n/a",IF(AND(O30&gt;=O29,O30&lt;=O28),"PASS","FAIL"))</f>
        <v/>
      </c>
      <c r="P93" s="137">
        <f>IF(OR(NOT(ISNUMBER(P30)),NOT(ISNUMBER(P28)),NOT(ISNUMBER(P29))),"n/a",IF(AND(P30&gt;=P29,P30&lt;=P28),"PASS","FAIL"))</f>
        <v/>
      </c>
      <c r="Q93" s="137">
        <f>IF(OR(NOT(ISNUMBER(Q30)),NOT(ISNUMBER(Q28)),NOT(ISNUMBER(Q29))),"n/a",IF(AND(Q30&gt;=Q29,Q30&lt;=Q28),"PASS","FAIL"))</f>
        <v/>
      </c>
      <c r="R93" s="137">
        <f>IF(OR(NOT(ISNUMBER(R30)),NOT(ISNUMBER(R28)),NOT(ISNUMBER(R29))),"n/a",IF(AND(R30&gt;=R29,R30&lt;=R28),"PASS","FAIL"))</f>
        <v/>
      </c>
      <c r="S93" s="137">
        <f>IF(OR(NOT(ISNUMBER(S30)),NOT(ISNUMBER(S28)),NOT(ISNUMBER(S29))),"n/a",IF(AND(S30&gt;=S29,S30&lt;=S28),"PASS","FAIL"))</f>
        <v/>
      </c>
    </row>
    <row r="94" ht="15" customHeight="1" s="78">
      <c r="A94" s="77" t="inlineStr">
        <is>
          <t>DE</t>
        </is>
      </c>
      <c r="B94" s="77" t="inlineStr">
        <is>
          <t>GATE DE large: Eurostat IF ∈ [E2 central, E1]</t>
        </is>
      </c>
      <c r="C94" s="77" t="inlineStr">
        <is>
          <t>gate</t>
        </is>
      </c>
      <c r="D94" s="137">
        <f>IF(OR(NOT(ISNUMBER(D54)),NOT(ISNUMBER(D41)),NOT(ISNUMBER(D51))),"n/a",IF(AND(D54&gt;=(D51),D54&lt;=(D41)),"PASS","FAIL"))</f>
        <v/>
      </c>
      <c r="E94" s="137">
        <f>IF(OR(NOT(ISNUMBER(E54)),NOT(ISNUMBER(E41)),NOT(ISNUMBER(E51))),"n/a",IF(AND(E54&gt;=(E51),E54&lt;=(E41)),"PASS","FAIL"))</f>
        <v/>
      </c>
      <c r="F94" s="137">
        <f>IF(OR(NOT(ISNUMBER(F54)),NOT(ISNUMBER(F41)),NOT(ISNUMBER(F51))),"n/a",IF(AND(F54&gt;=(F51),F54&lt;=(F41)),"PASS","FAIL"))</f>
        <v/>
      </c>
      <c r="G94" s="137">
        <f>IF(OR(NOT(ISNUMBER(G54)),NOT(ISNUMBER(G41)),NOT(ISNUMBER(G51))),"n/a",IF(AND(G54&gt;=(G51),G54&lt;=(G41)),"PASS","FAIL"))</f>
        <v/>
      </c>
      <c r="H94" s="137">
        <f>IF(OR(NOT(ISNUMBER(H54)),NOT(ISNUMBER(H41)),NOT(ISNUMBER(H51))),"n/a",IF(AND(H54&gt;=(H51),H54&lt;=(H41)),"PASS","FAIL"))</f>
        <v/>
      </c>
      <c r="I94" s="137">
        <f>IF(OR(NOT(ISNUMBER(I54)),NOT(ISNUMBER(I41)),NOT(ISNUMBER(I51))),"n/a",IF(AND(I54&gt;=(I51),I54&lt;=(I41)),"PASS","FAIL"))</f>
        <v/>
      </c>
      <c r="J94" s="137">
        <f>IF(OR(NOT(ISNUMBER(J54)),NOT(ISNUMBER(J41)),NOT(ISNUMBER(J51))),"n/a",IF(AND(J54&gt;=(J51),J54&lt;=(J41)),"PASS","FAIL"))</f>
        <v/>
      </c>
      <c r="K94" s="137">
        <f>IF(OR(NOT(ISNUMBER(K54)),NOT(ISNUMBER(K41)),NOT(ISNUMBER(K51))),"n/a",IF(AND(K54&gt;=(K51),K54&lt;=(K41)),"PASS","FAIL"))</f>
        <v/>
      </c>
      <c r="L94" s="137">
        <f>IF(OR(NOT(ISNUMBER(L54)),NOT(ISNUMBER(L41)),NOT(ISNUMBER(L51))),"n/a",IF(AND(L54&gt;=(L51),L54&lt;=(L41)),"PASS","FAIL"))</f>
        <v/>
      </c>
      <c r="M94" s="137">
        <f>IF(OR(NOT(ISNUMBER(M54)),NOT(ISNUMBER(M41)),NOT(ISNUMBER(M51))),"n/a",IF(AND(M54&gt;=(M51),M54&lt;=(M41)),"PASS","FAIL"))</f>
        <v/>
      </c>
      <c r="N94" s="137">
        <f>IF(OR(NOT(ISNUMBER(N54)),NOT(ISNUMBER(N41)),NOT(ISNUMBER(N51))),"n/a",IF(AND(N54&gt;=(N51),N54&lt;=(N41)),"PASS","FAIL"))</f>
        <v/>
      </c>
      <c r="O94" s="137">
        <f>IF(OR(NOT(ISNUMBER(O54)),NOT(ISNUMBER(O41)),NOT(ISNUMBER(O51))),"n/a",IF(AND(O54&gt;=(O51),O54&lt;=(O41)),"PASS","FAIL"))</f>
        <v/>
      </c>
      <c r="P94" s="137">
        <f>IF(OR(NOT(ISNUMBER(P54)),NOT(ISNUMBER(P41)),NOT(ISNUMBER(P51))),"n/a",IF(AND(P54&gt;=(P51),P54&lt;=(P41)),"PASS","FAIL"))</f>
        <v/>
      </c>
      <c r="Q94" s="137">
        <f>IF(OR(NOT(ISNUMBER(Q54)),NOT(ISNUMBER(Q41)),NOT(ISNUMBER(Q51))),"n/a",IF(AND(Q54&gt;=(Q51),Q54&lt;=(Q41)),"PASS","FAIL"))</f>
        <v/>
      </c>
      <c r="R94" s="137">
        <f>IF(OR(NOT(ISNUMBER(R54)),NOT(ISNUMBER(R41)),NOT(ISNUMBER(R51))),"n/a",IF(AND(R54&gt;=(R51),R54&lt;=(R41)),"PASS","FAIL"))</f>
        <v/>
      </c>
      <c r="S94" s="137">
        <f>IF(OR(NOT(ISNUMBER(S54)),NOT(ISNUMBER(S41)),NOT(ISNUMBER(S51))),"n/a",IF(AND(S54&gt;=(S51),S54&lt;=(S41)),"PASS","FAIL"))</f>
        <v/>
      </c>
    </row>
    <row r="95" ht="15" customHeight="1" s="78">
      <c r="A95" s="77" t="inlineStr">
        <is>
          <t>DE</t>
        </is>
      </c>
      <c r="B95" s="77" t="inlineStr">
        <is>
          <t>GATE DE medium: Eurostat ID ∈ [E2, E1]</t>
        </is>
      </c>
      <c r="C95" s="77" t="inlineStr">
        <is>
          <t>gate</t>
        </is>
      </c>
      <c r="D95" s="137">
        <f>IF(OR(NOT(ISNUMBER(D65)),NOT(ISNUMBER(D61)),NOT(ISNUMBER(D64))),"n/a",IF(AND(D65&gt;=(D64),D65&lt;=(D61)),"PASS","FAIL"))</f>
        <v/>
      </c>
      <c r="E95" s="137">
        <f>IF(OR(NOT(ISNUMBER(E65)),NOT(ISNUMBER(E61)),NOT(ISNUMBER(E64))),"n/a",IF(AND(E65&gt;=(E64),E65&lt;=(E61)),"PASS","FAIL"))</f>
        <v/>
      </c>
      <c r="F95" s="137">
        <f>IF(OR(NOT(ISNUMBER(F65)),NOT(ISNUMBER(F61)),NOT(ISNUMBER(F64))),"n/a",IF(AND(F65&gt;=(F64),F65&lt;=(F61)),"PASS","FAIL"))</f>
        <v/>
      </c>
      <c r="G95" s="137">
        <f>IF(OR(NOT(ISNUMBER(G65)),NOT(ISNUMBER(G61)),NOT(ISNUMBER(G64))),"n/a",IF(AND(G65&gt;=(G64),G65&lt;=(G61)),"PASS","FAIL"))</f>
        <v/>
      </c>
      <c r="H95" s="137">
        <f>IF(OR(NOT(ISNUMBER(H65)),NOT(ISNUMBER(H61)),NOT(ISNUMBER(H64))),"n/a",IF(AND(H65&gt;=(H64),H65&lt;=(H61)),"PASS","FAIL"))</f>
        <v/>
      </c>
      <c r="I95" s="137">
        <f>IF(OR(NOT(ISNUMBER(I65)),NOT(ISNUMBER(I61)),NOT(ISNUMBER(I64))),"n/a",IF(AND(I65&gt;=(I64),I65&lt;=(I61)),"PASS","FAIL"))</f>
        <v/>
      </c>
      <c r="J95" s="137">
        <f>IF(OR(NOT(ISNUMBER(J65)),NOT(ISNUMBER(J61)),NOT(ISNUMBER(J64))),"n/a",IF(AND(J65&gt;=(J64),J65&lt;=(J61)),"PASS","FAIL"))</f>
        <v/>
      </c>
      <c r="K95" s="137">
        <f>IF(OR(NOT(ISNUMBER(K65)),NOT(ISNUMBER(K61)),NOT(ISNUMBER(K64))),"n/a",IF(AND(K65&gt;=(K64),K65&lt;=(K61)),"PASS","FAIL"))</f>
        <v/>
      </c>
      <c r="L95" s="137">
        <f>IF(OR(NOT(ISNUMBER(L65)),NOT(ISNUMBER(L61)),NOT(ISNUMBER(L64))),"n/a",IF(AND(L65&gt;=(L64),L65&lt;=(L61)),"PASS","FAIL"))</f>
        <v/>
      </c>
      <c r="M95" s="137">
        <f>IF(OR(NOT(ISNUMBER(M65)),NOT(ISNUMBER(M61)),NOT(ISNUMBER(M64))),"n/a",IF(AND(M65&gt;=(M64),M65&lt;=(M61)),"PASS","FAIL"))</f>
        <v/>
      </c>
      <c r="N95" s="137">
        <f>IF(OR(NOT(ISNUMBER(N65)),NOT(ISNUMBER(N61)),NOT(ISNUMBER(N64))),"n/a",IF(AND(N65&gt;=(N64),N65&lt;=(N61)),"PASS","FAIL"))</f>
        <v/>
      </c>
      <c r="O95" s="137">
        <f>IF(OR(NOT(ISNUMBER(O65)),NOT(ISNUMBER(O61)),NOT(ISNUMBER(O64))),"n/a",IF(AND(O65&gt;=(O64),O65&lt;=(O61)),"PASS","FAIL"))</f>
        <v/>
      </c>
      <c r="P95" s="137">
        <f>IF(OR(NOT(ISNUMBER(P65)),NOT(ISNUMBER(P61)),NOT(ISNUMBER(P64))),"n/a",IF(AND(P65&gt;=(P64),P65&lt;=(P61)),"PASS","FAIL"))</f>
        <v/>
      </c>
      <c r="Q95" s="137">
        <f>IF(OR(NOT(ISNUMBER(Q65)),NOT(ISNUMBER(Q61)),NOT(ISNUMBER(Q64))),"n/a",IF(AND(Q65&gt;=(Q64),Q65&lt;=(Q61)),"PASS","FAIL"))</f>
        <v/>
      </c>
      <c r="R95" s="137">
        <f>IF(OR(NOT(ISNUMBER(R65)),NOT(ISNUMBER(R61)),NOT(ISNUMBER(R64))),"n/a",IF(AND(R65&gt;=(R64),R65&lt;=(R61)),"PASS","FAIL"))</f>
        <v/>
      </c>
      <c r="S95" s="137">
        <f>IF(OR(NOT(ISNUMBER(S65)),NOT(ISNUMBER(S61)),NOT(ISNUMBER(S64))),"n/a",IF(AND(S65&gt;=(S64),S65&lt;=(S61)),"PASS","FAIL"))</f>
        <v/>
      </c>
    </row>
    <row r="96" ht="15" customHeight="1" s="78">
      <c r="A96" s="131" t="inlineStr">
        <is>
          <t>SENSITIVITIES (mandatory) — large archetype. (1) Load factor at assumptions!B56 = 6,500h: below the German 7,000h §19 threshold → DE E2 network = FULL tariff (the threshold is the exhibit). (2) Hedging: day-ahead-indexed vs rolling year-ahead. CN market annual averages have no hedging analogue (noted).</t>
        </is>
      </c>
      <c r="B96" s="134" t="n"/>
      <c r="C96" s="134" t="n"/>
      <c r="D96" s="134" t="n"/>
      <c r="E96" s="134" t="n"/>
      <c r="F96" s="134" t="n"/>
      <c r="G96" s="134" t="n"/>
      <c r="H96" s="134" t="n"/>
      <c r="I96" s="134" t="n"/>
      <c r="J96" s="134" t="n"/>
      <c r="K96" s="134" t="n"/>
      <c r="L96" s="134" t="n"/>
      <c r="M96" s="134" t="n"/>
      <c r="N96" s="134" t="n"/>
      <c r="O96" s="134" t="n"/>
      <c r="P96" s="134" t="n"/>
      <c r="Q96" s="134" t="n"/>
      <c r="R96" s="134" t="n"/>
      <c r="S96" s="134" t="n"/>
      <c r="T96" s="134" t="n"/>
      <c r="U96" s="134" t="n"/>
    </row>
    <row r="97" ht="15" customHeight="1" s="78">
      <c r="A97" s="77" t="inlineStr">
        <is>
          <t>UK</t>
        </is>
      </c>
      <c r="B97" s="77" t="inlineStr">
        <is>
          <t>UK LARGE E1 @6,500h (triad-era TNUoS re-scaled; TCR residual per-site unchanged)</t>
        </is>
      </c>
      <c r="C97" s="77" t="inlineStr">
        <is>
          <t>sens</t>
        </is>
      </c>
      <c r="D97" s="136">
        <f>D15+stage4_uk!D25*1000*(1/assumptions!$B$56-1/assumptions!$B$7)</f>
        <v/>
      </c>
      <c r="E97" s="136">
        <f>E15+stage4_uk!E25*1000*(1/assumptions!$B$56-1/assumptions!$B$7)</f>
        <v/>
      </c>
      <c r="F97" s="136">
        <f>F15+stage4_uk!F25*1000*(1/assumptions!$B$56-1/assumptions!$B$7)</f>
        <v/>
      </c>
      <c r="G97" s="136">
        <f>G15+stage4_uk!G25*1000*(1/assumptions!$B$56-1/assumptions!$B$7)</f>
        <v/>
      </c>
      <c r="H97" s="136">
        <f>H15+stage4_uk!H25*1000*(1/assumptions!$B$56-1/assumptions!$B$7)</f>
        <v/>
      </c>
      <c r="I97" s="136">
        <f>I15+stage4_uk!I25*1000*(1/assumptions!$B$56-1/assumptions!$B$7)</f>
        <v/>
      </c>
      <c r="J97" s="136">
        <f>J15+stage4_uk!J25*1000*(1/assumptions!$B$56-1/assumptions!$B$7)</f>
        <v/>
      </c>
      <c r="K97" s="136">
        <f>K15+stage4_uk!K25*1000*(1/assumptions!$B$56-1/assumptions!$B$7)</f>
        <v/>
      </c>
      <c r="L97" s="136">
        <f>L15+stage4_uk!L25*1000*(1/assumptions!$B$56-1/assumptions!$B$7)</f>
        <v/>
      </c>
      <c r="M97" s="136">
        <f>M15+stage4_uk!M25*1000*(1/assumptions!$B$56-1/assumptions!$B$7)</f>
        <v/>
      </c>
      <c r="N97" s="136">
        <f>N15+stage4_uk!N25*1000*(1/assumptions!$B$56-1/assumptions!$B$7)</f>
        <v/>
      </c>
      <c r="O97" s="136">
        <f>O15+stage4_uk!O25*1000*(1/assumptions!$B$56-1/assumptions!$B$7)</f>
        <v/>
      </c>
      <c r="P97" s="136">
        <f>P15+stage4_uk!P25*1000*(1/assumptions!$B$56-1/assumptions!$B$7)</f>
        <v/>
      </c>
      <c r="Q97" s="136">
        <f>Q15</f>
        <v/>
      </c>
      <c r="R97" s="136">
        <f>R15</f>
        <v/>
      </c>
      <c r="S97" s="136">
        <f>S15</f>
        <v/>
      </c>
      <c r="T97" s="136">
        <f>T15</f>
        <v/>
      </c>
      <c r="U97" s="77" t="inlineStr">
        <is>
          <t>TCR-era: fixed per-site residual → per-MWh unchanged at constant consumption (say so in ch.3).</t>
        </is>
      </c>
    </row>
    <row r="98" ht="15" customHeight="1" s="78">
      <c r="A98" s="77" t="inlineStr">
        <is>
          <t>DE</t>
        </is>
      </c>
      <c r="B98" s="77" t="inlineStr">
        <is>
          <t>DE LARGE E1 @6,500h</t>
        </is>
      </c>
      <c r="C98" s="77" t="inlineStr">
        <is>
          <t>sens</t>
        </is>
      </c>
      <c r="D98" s="136">
        <f>IF(ISNUMBER(D41),D41+stage4_de!D11*1000*(1/assumptions!$B$56-1/assumptions!$B$7),"")</f>
        <v/>
      </c>
      <c r="E98" s="136">
        <f>IF(ISNUMBER(E41),E41+stage4_de!E11*1000*(1/assumptions!$B$56-1/assumptions!$B$7),"")</f>
        <v/>
      </c>
      <c r="F98" s="136">
        <f>IF(ISNUMBER(F41),F41+stage4_de!F11*1000*(1/assumptions!$B$56-1/assumptions!$B$7),"")</f>
        <v/>
      </c>
      <c r="G98" s="136">
        <f>IF(ISNUMBER(G41),G41+stage4_de!G11*1000*(1/assumptions!$B$56-1/assumptions!$B$7),"")</f>
        <v/>
      </c>
      <c r="H98" s="136">
        <f>IF(ISNUMBER(H41),H41+stage4_de!H11*1000*(1/assumptions!$B$56-1/assumptions!$B$7),"")</f>
        <v/>
      </c>
      <c r="I98" s="136">
        <f>IF(ISNUMBER(I41),I41+stage4_de!I11*1000*(1/assumptions!$B$56-1/assumptions!$B$7),"")</f>
        <v/>
      </c>
      <c r="J98" s="136">
        <f>IF(ISNUMBER(J41),J41+stage4_de!J11*1000*(1/assumptions!$B$56-1/assumptions!$B$7),"")</f>
        <v/>
      </c>
      <c r="K98" s="136">
        <f>IF(ISNUMBER(K41),K41+stage4_de!K11*1000*(1/assumptions!$B$56-1/assumptions!$B$7),"")</f>
        <v/>
      </c>
      <c r="L98" s="136">
        <f>IF(ISNUMBER(L41),L41+stage4_de!L11*1000*(1/assumptions!$B$56-1/assumptions!$B$7),"")</f>
        <v/>
      </c>
      <c r="M98" s="136">
        <f>IF(ISNUMBER(M41),M41+stage4_de!M11*1000*(1/assumptions!$B$56-1/assumptions!$B$7),"")</f>
        <v/>
      </c>
      <c r="N98" s="136">
        <f>IF(ISNUMBER(N41),N41+stage4_de!N11*1000*(1/assumptions!$B$56-1/assumptions!$B$7),"")</f>
        <v/>
      </c>
      <c r="O98" s="136">
        <f>IF(ISNUMBER(O41),O41+stage4_de!O11*1000*(1/assumptions!$B$56-1/assumptions!$B$7),"")</f>
        <v/>
      </c>
      <c r="P98" s="136">
        <f>IF(ISNUMBER(P41),P41+stage4_de!P11*1000*(1/assumptions!$B$56-1/assumptions!$B$7),"")</f>
        <v/>
      </c>
      <c r="Q98" s="136">
        <f>IF(ISNUMBER(Q41),Q41+stage4_de!Q11*1000*(1/assumptions!$B$56-1/assumptions!$B$7),"")</f>
        <v/>
      </c>
      <c r="R98" s="136">
        <f>IF(ISNUMBER(R41),R41+stage4_de!R11*1000*(1/assumptions!$B$56-1/assumptions!$B$7),"")</f>
        <v/>
      </c>
      <c r="S98" s="136">
        <f>IF(ISNUMBER(S41),S41+stage4_de!S11*1000*(1/assumptions!$B$56-1/assumptions!$B$7),"")</f>
        <v/>
      </c>
      <c r="T98" s="136">
        <f>IF(ISNUMBER(T41),T41+stage4_de!T11*1000*(1/assumptions!$B$56-1/assumptions!$B$7),"")</f>
        <v/>
      </c>
    </row>
    <row r="99" ht="15" customHeight="1" s="78">
      <c r="A99" s="77" t="inlineStr">
        <is>
          <t>DE</t>
        </is>
      </c>
      <c r="B99" s="77" t="inlineStr">
        <is>
          <t>DE LARGE E2 @6,500h — LOSES §19 (below 7,000h): network at full tariff</t>
        </is>
      </c>
      <c r="C99" s="77" t="inlineStr">
        <is>
          <t>sens</t>
        </is>
      </c>
      <c r="D99" s="136">
        <f>IF(ISNUMBER(D51),D51-D42+(stage4_de!D11*1000/assumptions!$B$56+stage4_de!D12*10),"")</f>
        <v/>
      </c>
      <c r="E99" s="136">
        <f>IF(ISNUMBER(E51),E51-E42+(stage4_de!E11*1000/assumptions!$B$56+stage4_de!E12*10),"")</f>
        <v/>
      </c>
      <c r="F99" s="136">
        <f>IF(ISNUMBER(F51),F51-F42+(stage4_de!F11*1000/assumptions!$B$56+stage4_de!F12*10),"")</f>
        <v/>
      </c>
      <c r="G99" s="136">
        <f>IF(ISNUMBER(G51),G51-G42+(stage4_de!G11*1000/assumptions!$B$56+stage4_de!G12*10),"")</f>
        <v/>
      </c>
      <c r="H99" s="136">
        <f>IF(ISNUMBER(H51),H51-H42+(stage4_de!H11*1000/assumptions!$B$56+stage4_de!H12*10),"")</f>
        <v/>
      </c>
      <c r="I99" s="136">
        <f>IF(ISNUMBER(I51),I51-I42+(stage4_de!I11*1000/assumptions!$B$56+stage4_de!I12*10),"")</f>
        <v/>
      </c>
      <c r="J99" s="136">
        <f>IF(ISNUMBER(J51),J51-J42+(stage4_de!J11*1000/assumptions!$B$56+stage4_de!J12*10),"")</f>
        <v/>
      </c>
      <c r="K99" s="136">
        <f>IF(ISNUMBER(K51),K51-K42+(stage4_de!K11*1000/assumptions!$B$56+stage4_de!K12*10),"")</f>
        <v/>
      </c>
      <c r="L99" s="136">
        <f>IF(ISNUMBER(L51),L51-L42+(stage4_de!L11*1000/assumptions!$B$56+stage4_de!L12*10),"")</f>
        <v/>
      </c>
      <c r="M99" s="136">
        <f>IF(ISNUMBER(M51),M51-M42+(stage4_de!M11*1000/assumptions!$B$56+stage4_de!M12*10),"")</f>
        <v/>
      </c>
      <c r="N99" s="136">
        <f>IF(ISNUMBER(N51),N51-N42+(stage4_de!N11*1000/assumptions!$B$56+stage4_de!N12*10),"")</f>
        <v/>
      </c>
      <c r="O99" s="136">
        <f>IF(ISNUMBER(O51),O51-O42+(stage4_de!O11*1000/assumptions!$B$56+stage4_de!O12*10),"")</f>
        <v/>
      </c>
      <c r="P99" s="136">
        <f>IF(ISNUMBER(P51),P51-P42+(stage4_de!P11*1000/assumptions!$B$56+stage4_de!P12*10),"")</f>
        <v/>
      </c>
      <c r="Q99" s="136">
        <f>IF(ISNUMBER(Q51),Q51-Q42+(stage4_de!Q11*1000/assumptions!$B$56+stage4_de!Q12*10),"")</f>
        <v/>
      </c>
      <c r="R99" s="136">
        <f>IF(ISNUMBER(R51),R51-R42+(stage4_de!R11*1000/assumptions!$B$56+stage4_de!R12*10),"")</f>
        <v/>
      </c>
      <c r="S99" s="136">
        <f>IF(ISNUMBER(S51),S51-S42+(stage4_de!S11*1000/assumptions!$B$56+stage4_de!S12*10),"")</f>
        <v/>
      </c>
      <c r="T99" s="136">
        <f>IF(ISNUMBER(T51),T51-T42+(stage4_de!T11*1000/assumptions!$B$56+stage4_de!T12*10),"")</f>
        <v/>
      </c>
      <c r="U99" s="77" t="inlineStr">
        <is>
          <t>The 7,000h eligibility cliff, charted explicitly (project instructions).</t>
        </is>
      </c>
    </row>
    <row r="100" ht="15" customHeight="1" s="78">
      <c r="A100" s="77" t="inlineStr">
        <is>
          <t>CN</t>
        </is>
      </c>
      <c r="B100" s="77" t="inlineStr">
        <is>
          <t>CN LARGE @6,500h (demand-charge terms re-scaled; renormalisation identical)</t>
        </is>
      </c>
      <c r="C100" s="77" t="inlineStr">
        <is>
          <t>sens</t>
        </is>
      </c>
      <c r="F100" s="136">
        <f>stage4_cn!F100</f>
        <v/>
      </c>
      <c r="G100" s="136">
        <f>stage4_cn!G100</f>
        <v/>
      </c>
      <c r="H100" s="136">
        <f>stage4_cn!H100</f>
        <v/>
      </c>
      <c r="I100" s="136">
        <f>stage4_cn!I100</f>
        <v/>
      </c>
      <c r="J100" s="136">
        <f>stage4_cn!J100</f>
        <v/>
      </c>
      <c r="K100" s="136">
        <f>stage4_cn!K100</f>
        <v/>
      </c>
      <c r="L100" s="136">
        <f>stage4_cn!L100</f>
        <v/>
      </c>
      <c r="M100" s="136">
        <f>stage4_cn!M100</f>
        <v/>
      </c>
      <c r="N100" s="136">
        <f>stage4_cn!N100</f>
        <v/>
      </c>
      <c r="O100" s="136">
        <f>stage4_cn!O100</f>
        <v/>
      </c>
      <c r="P100" s="136">
        <f>stage4_cn!P101</f>
        <v/>
      </c>
      <c r="Q100" s="136">
        <f>stage4_cn!Q101</f>
        <v/>
      </c>
      <c r="R100" s="136">
        <f>stage4_cn!R101</f>
        <v/>
      </c>
      <c r="S100" s="136">
        <f>stage4_cn!S101</f>
        <v/>
      </c>
      <c r="T100" s="136">
        <f>stage4_cn!T101</f>
        <v/>
      </c>
      <c r="U100" s="77" t="inlineStr">
        <is>
          <t>2020 COVID rebate not re-scaled (2nd-order).</t>
        </is>
      </c>
    </row>
    <row r="101" ht="15" customHeight="1" s="78">
      <c r="A101" s="77" t="inlineStr">
        <is>
          <t>UK</t>
        </is>
      </c>
      <c r="B101" s="77" t="inlineStr">
        <is>
          <t>UK LARGE E1, day-ahead-indexed (hedging sensitivity; identical to headline pre-2022 by construction of D22 proxy)</t>
        </is>
      </c>
      <c r="C101" s="77" t="inlineStr">
        <is>
          <t>sens</t>
        </is>
      </c>
      <c r="D101" s="136">
        <f>D15-D6+stage4_uk!D7+(stage4_uk!D7-D6)*(assumptions!$B$79*(1+assumptions!$B$78)-1)</f>
        <v/>
      </c>
      <c r="E101" s="136">
        <f>E15-E6+stage4_uk!E7+(stage4_uk!E7-E6)*(assumptions!$B$79*(1+assumptions!$B$78)-1)</f>
        <v/>
      </c>
      <c r="F101" s="136">
        <f>F15-F6+stage4_uk!F7+(stage4_uk!F7-F6)*(assumptions!$B$79*(1+assumptions!$B$78)-1)</f>
        <v/>
      </c>
      <c r="G101" s="136">
        <f>G15-G6+stage4_uk!G7+(stage4_uk!G7-G6)*(assumptions!$B$79*(1+assumptions!$B$78)-1)</f>
        <v/>
      </c>
      <c r="H101" s="136">
        <f>H15-H6+stage4_uk!H7+(stage4_uk!H7-H6)*(assumptions!$B$79*(1+assumptions!$B$78)-1)</f>
        <v/>
      </c>
      <c r="I101" s="136">
        <f>I15-I6+stage4_uk!I7+(stage4_uk!I7-I6)*(assumptions!$B$79*(1+assumptions!$B$78)-1)</f>
        <v/>
      </c>
      <c r="J101" s="136">
        <f>J15-J6+stage4_uk!J7+(stage4_uk!J7-J6)*(assumptions!$B$79*(1+assumptions!$B$78)-1)</f>
        <v/>
      </c>
      <c r="K101" s="136">
        <f>K15-K6+stage4_uk!K7+(stage4_uk!K7-K6)*(assumptions!$B$79*(1+assumptions!$B$78)-1)</f>
        <v/>
      </c>
      <c r="L101" s="136">
        <f>L15-L6+stage4_uk!L7+(stage4_uk!L7-L6)*(assumptions!$B$79*(1+assumptions!$B$78)-1)</f>
        <v/>
      </c>
      <c r="M101" s="136">
        <f>M15-M6+stage4_uk!M7+(stage4_uk!M7-M6)*(assumptions!$B$79*(1+assumptions!$B$78)-1)</f>
        <v/>
      </c>
      <c r="N101" s="136">
        <f>N15-N6+stage4_uk!N7+(stage4_uk!N7-N6)*(assumptions!$B$79*(1+assumptions!$B$78)-1)</f>
        <v/>
      </c>
      <c r="O101" s="136">
        <f>O15-O6+stage4_uk!O7+(stage4_uk!O7-O6)*(assumptions!$B$79*(1+assumptions!$B$78)-1)</f>
        <v/>
      </c>
      <c r="P101" s="136">
        <f>P15-P6+stage4_uk!P7+(stage4_uk!P7-P6)*(assumptions!$B$79*(1+assumptions!$B$78)-1)</f>
        <v/>
      </c>
      <c r="Q101" s="136">
        <f>Q15-Q6+stage4_uk!Q7+(stage4_uk!Q7-Q6)*(assumptions!$B$79*(1+assumptions!$B$78)-1)</f>
        <v/>
      </c>
      <c r="R101" s="136">
        <f>R15-R6+stage4_uk!R7+(stage4_uk!R7-R6)*(assumptions!$B$79*(1+assumptions!$B$78)-1)</f>
        <v/>
      </c>
      <c r="S101" s="136">
        <f>S15-S6+stage4_uk!S7+(stage4_uk!S7-S6)*(assumptions!$B$79*(1+assumptions!$B$78)-1)</f>
        <v/>
      </c>
      <c r="T101" s="136">
        <f>T15-T6+stage4_uk!T7+(stage4_uk!T7-T6)*(assumptions!$B$79*(1+assumptions!$B$78)-1)</f>
        <v/>
      </c>
    </row>
    <row r="102" ht="15" customHeight="1" s="78">
      <c r="A102" s="77" t="inlineStr">
        <is>
          <t>DE</t>
        </is>
      </c>
      <c r="B102" s="77" t="inlineStr">
        <is>
          <t>DE LARGE E1, day-ahead-indexed (hedging sensitivity)</t>
        </is>
      </c>
      <c r="C102" s="77" t="inlineStr">
        <is>
          <t>sens</t>
        </is>
      </c>
      <c r="D102" s="136">
        <f>IF(ISNUMBER(D41),D41-D32+stage4_de!D8,"")</f>
        <v/>
      </c>
      <c r="E102" s="136">
        <f>IF(ISNUMBER(E41),E41-E32+stage4_de!E8,"")</f>
        <v/>
      </c>
      <c r="F102" s="136">
        <f>IF(ISNUMBER(F41),F41-F32+stage4_de!F8,"")</f>
        <v/>
      </c>
      <c r="G102" s="136">
        <f>IF(ISNUMBER(G41),G41-G32+stage4_de!G8,"")</f>
        <v/>
      </c>
      <c r="H102" s="136">
        <f>IF(ISNUMBER(H41),H41-H32+stage4_de!H8,"")</f>
        <v/>
      </c>
      <c r="I102" s="136">
        <f>IF(ISNUMBER(I41),I41-I32+stage4_de!I8,"")</f>
        <v/>
      </c>
      <c r="J102" s="136">
        <f>IF(ISNUMBER(J41),J41-J32+stage4_de!J8,"")</f>
        <v/>
      </c>
      <c r="K102" s="136">
        <f>IF(ISNUMBER(K41),K41-K32+stage4_de!K8,"")</f>
        <v/>
      </c>
      <c r="L102" s="136">
        <f>IF(ISNUMBER(L41),L41-L32+stage4_de!L8,"")</f>
        <v/>
      </c>
      <c r="M102" s="136">
        <f>IF(ISNUMBER(M41),M41-M32+stage4_de!M8,"")</f>
        <v/>
      </c>
      <c r="N102" s="136">
        <f>IF(ISNUMBER(N41),N41-N32+stage4_de!N8,"")</f>
        <v/>
      </c>
      <c r="O102" s="136">
        <f>IF(ISNUMBER(O41),O41-O32+stage4_de!O8,"")</f>
        <v/>
      </c>
      <c r="P102" s="136">
        <f>IF(ISNUMBER(P41),P41-P32+stage4_de!P8,"")</f>
        <v/>
      </c>
      <c r="Q102" s="136">
        <f>IF(ISNUMBER(Q41),Q41-Q32+stage4_de!Q8,"")</f>
        <v/>
      </c>
      <c r="R102" s="136">
        <f>IF(ISNUMBER(R41),R41-R32+stage4_de!R8,"")</f>
        <v/>
      </c>
      <c r="S102" s="136">
        <f>IF(ISNUMBER(S41),S41-S32+stage4_de!S8,"")</f>
        <v/>
      </c>
      <c r="T102" s="136">
        <f>IF(ISNUMBER(T41),T41-T32+stage4_de!T8,"")</f>
        <v/>
      </c>
      <c r="U102" s="77" t="inlineStr">
        <is>
          <t>2025 DA = time-weighted (15-min basis).</t>
        </is>
      </c>
    </row>
    <row r="103" ht="15" customHeight="1" s="78">
      <c r="A103" s="77" t="inlineStr">
        <is>
          <t>UK</t>
        </is>
      </c>
      <c r="B103" s="77" t="inlineStr">
        <is>
          <t>YA−DA wedge (obs Y→delivery Y+1 vs DA of delivery year), £/MWh — what the hedging convention is worth</t>
        </is>
      </c>
      <c r="C103" s="77" t="inlineStr">
        <is>
          <t>sens</t>
        </is>
      </c>
      <c r="P103" s="136">
        <f>stage4_uk!O8-stage4_uk!P7</f>
        <v/>
      </c>
      <c r="Q103" s="136">
        <f>stage4_uk!P8-stage4_uk!Q7</f>
        <v/>
      </c>
      <c r="R103" s="136">
        <f>stage4_uk!Q8-stage4_uk!R7</f>
        <v/>
      </c>
      <c r="S103" s="136">
        <f>stage4_uk!R8-stage4_uk!S7</f>
        <v/>
      </c>
      <c r="T103" s="136">
        <f>stage4_uk!S8-stage4_uk!T7</f>
        <v/>
      </c>
      <c r="U103" s="77" t="inlineStr">
        <is>
          <t>Crisis years: ±100+; calm years ±5–10. Chart from 2022 deliveries.</t>
        </is>
      </c>
    </row>
    <row r="105" ht="15" customHeight="1" s="78">
      <c r="B105" s="77" t="inlineStr">
        <is>
          <t>data_lineitems population (house rule 4 full tagging) COMPLETED at stage 6 (2026-07-16) — see data_lineitems + stage6_decomp + carbon tabs.</t>
        </is>
      </c>
    </row>
    <row r="107">
      <c r="A107" s="77" t="inlineStr">
        <is>
          <t>UK</t>
        </is>
      </c>
      <c r="B107" s="77" t="inlineStr">
        <is>
          <t>Line-loss uplift, LARGE E1 — applied to wholesale + BSUoS + CfD + CM (all carry TLM); RO, FiT, DUoS and TNUoS are charged on metered volume and are correctly excluded (Ofgem OFG1164 A.4.4/A.4.9; LC14 §4.1; NESO: TNUoS metered volumes are not scaled by TLM)</t>
        </is>
      </c>
      <c r="C107" s="77" t="inlineStr">
        <is>
          <t>E1</t>
        </is>
      </c>
      <c r="D107" s="77">
        <f>IF(ISNUMBER(D6),(D6+SUM(D8)+SUM(D11)+SUM(D13))*(assumptions!$B$79*(1+assumptions!$B$78)-1),"")</f>
        <v/>
      </c>
      <c r="E107" s="77">
        <f>IF(ISNUMBER(E6),(E6+SUM(E8)+SUM(E11)+SUM(E13))*(assumptions!$B$79*(1+assumptions!$B$78)-1),"")</f>
        <v/>
      </c>
      <c r="F107" s="77">
        <f>IF(ISNUMBER(F6),(F6+SUM(F8)+SUM(F11)+SUM(F13))*(assumptions!$B$79*(1+assumptions!$B$78)-1),"")</f>
        <v/>
      </c>
      <c r="G107" s="77">
        <f>IF(ISNUMBER(G6),(G6+SUM(G8)+SUM(G11)+SUM(G13))*(assumptions!$B$79*(1+assumptions!$B$78)-1),"")</f>
        <v/>
      </c>
      <c r="H107" s="77">
        <f>IF(ISNUMBER(H6),(H6+SUM(H8)+SUM(H11)+SUM(H13))*(assumptions!$B$79*(1+assumptions!$B$78)-1),"")</f>
        <v/>
      </c>
      <c r="I107" s="77">
        <f>IF(ISNUMBER(I6),(I6+SUM(I8)+SUM(I11)+SUM(I13))*(assumptions!$B$79*(1+assumptions!$B$78)-1),"")</f>
        <v/>
      </c>
      <c r="J107" s="77">
        <f>IF(ISNUMBER(J6),(J6+SUM(J8)+SUM(J11)+SUM(J13))*(assumptions!$B$79*(1+assumptions!$B$78)-1),"")</f>
        <v/>
      </c>
      <c r="K107" s="77">
        <f>IF(ISNUMBER(K6),(K6+SUM(K8)+SUM(K11)+SUM(K13))*(assumptions!$B$79*(1+assumptions!$B$78)-1),"")</f>
        <v/>
      </c>
      <c r="L107" s="77">
        <f>IF(ISNUMBER(L6),(L6+SUM(L8)+SUM(L11)+SUM(L13))*(assumptions!$B$79*(1+assumptions!$B$78)-1),"")</f>
        <v/>
      </c>
      <c r="M107" s="77">
        <f>IF(ISNUMBER(M6),(M6+SUM(M8)+SUM(M11)+SUM(M13))*(assumptions!$B$79*(1+assumptions!$B$78)-1),"")</f>
        <v/>
      </c>
      <c r="N107" s="77">
        <f>IF(ISNUMBER(N6),(N6+SUM(N8)+SUM(N11)+SUM(N13))*(assumptions!$B$79*(1+assumptions!$B$78)-1),"")</f>
        <v/>
      </c>
      <c r="O107" s="77">
        <f>IF(ISNUMBER(O6),(O6+SUM(O8)+SUM(O11)+SUM(O13))*(assumptions!$B$79*(1+assumptions!$B$78)-1),"")</f>
        <v/>
      </c>
      <c r="P107" s="77">
        <f>IF(ISNUMBER(P6),(P6+SUM(P8)+SUM(P11)+SUM(P13))*(assumptions!$B$79*(1+assumptions!$B$78)-1),"")</f>
        <v/>
      </c>
      <c r="Q107" s="77">
        <f>IF(ISNUMBER(Q6),(Q6+SUM(Q8)+SUM(Q11)+SUM(Q13))*(assumptions!$B$79*(1+assumptions!$B$78)-1),"")</f>
        <v/>
      </c>
      <c r="R107" s="77">
        <f>IF(ISNUMBER(R6),(R6+SUM(R8)+SUM(R11)+SUM(R13))*(assumptions!$B$79*(1+assumptions!$B$78)-1),"")</f>
        <v/>
      </c>
      <c r="S107" s="77">
        <f>IF(ISNUMBER(S6),(S6+SUM(S8)+SUM(S11)+SUM(S13))*(assumptions!$B$79*(1+assumptions!$B$78)-1),"")</f>
        <v/>
      </c>
      <c r="T107" s="77">
        <f>IF(ISNUMBER(T6),(T6+SUM(T8)+SUM(T11)+SUM(T13))*(assumptions!$B$79*(1+assumptions!$B$78)-1),"")</f>
        <v/>
      </c>
    </row>
    <row r="108">
      <c r="A108" s="77" t="inlineStr">
        <is>
          <t>UK</t>
        </is>
      </c>
      <c r="B108" s="77" t="inlineStr">
        <is>
          <t>Line-loss uplift, LARGE E2 — wholesale only (CfD/CM exempt for a qualifying EII); the BSUoS TLM term is immaterial at this factor (&lt;£0.11/MWh) and is omitted</t>
        </is>
      </c>
      <c r="C108" s="77" t="inlineStr">
        <is>
          <t>E2</t>
        </is>
      </c>
      <c r="D108" s="77">
        <f>IF(ISNUMBER(D6),D6*(assumptions!$B$79*(1+assumptions!$B$78)-1),"")</f>
        <v/>
      </c>
      <c r="E108" s="77">
        <f>IF(ISNUMBER(E6),E6*(assumptions!$B$79*(1+assumptions!$B$78)-1),"")</f>
        <v/>
      </c>
      <c r="F108" s="77">
        <f>IF(ISNUMBER(F6),F6*(assumptions!$B$79*(1+assumptions!$B$78)-1),"")</f>
        <v/>
      </c>
      <c r="G108" s="77">
        <f>IF(ISNUMBER(G6),G6*(assumptions!$B$79*(1+assumptions!$B$78)-1),"")</f>
        <v/>
      </c>
      <c r="H108" s="77">
        <f>IF(ISNUMBER(H6),H6*(assumptions!$B$79*(1+assumptions!$B$78)-1),"")</f>
        <v/>
      </c>
      <c r="I108" s="77">
        <f>IF(ISNUMBER(I6),I6*(assumptions!$B$79*(1+assumptions!$B$78)-1),"")</f>
        <v/>
      </c>
      <c r="J108" s="77">
        <f>IF(ISNUMBER(J6),J6*(assumptions!$B$79*(1+assumptions!$B$78)-1),"")</f>
        <v/>
      </c>
      <c r="K108" s="77">
        <f>IF(ISNUMBER(K6),K6*(assumptions!$B$79*(1+assumptions!$B$78)-1),"")</f>
        <v/>
      </c>
      <c r="L108" s="77">
        <f>IF(ISNUMBER(L6),L6*(assumptions!$B$79*(1+assumptions!$B$78)-1),"")</f>
        <v/>
      </c>
      <c r="M108" s="77">
        <f>IF(ISNUMBER(M6),M6*(assumptions!$B$79*(1+assumptions!$B$78)-1),"")</f>
        <v/>
      </c>
      <c r="N108" s="77">
        <f>IF(ISNUMBER(N6),N6*(assumptions!$B$79*(1+assumptions!$B$78)-1),"")</f>
        <v/>
      </c>
      <c r="O108" s="77">
        <f>IF(ISNUMBER(O6),O6*(assumptions!$B$79*(1+assumptions!$B$78)-1),"")</f>
        <v/>
      </c>
      <c r="P108" s="77">
        <f>IF(ISNUMBER(P6),P6*(assumptions!$B$79*(1+assumptions!$B$78)-1),"")</f>
        <v/>
      </c>
      <c r="Q108" s="77">
        <f>IF(ISNUMBER(Q6),Q6*(assumptions!$B$79*(1+assumptions!$B$78)-1),"")</f>
        <v/>
      </c>
      <c r="R108" s="77">
        <f>IF(ISNUMBER(R6),R6*(assumptions!$B$79*(1+assumptions!$B$78)-1),"")</f>
        <v/>
      </c>
      <c r="S108" s="77">
        <f>IF(ISNUMBER(S6),S6*(assumptions!$B$79*(1+assumptions!$B$78)-1),"")</f>
        <v/>
      </c>
      <c r="T108" s="77">
        <f>IF(ISNUMBER(T6),T6*(assumptions!$B$79*(1+assumptions!$B$78)-1),"")</f>
        <v/>
      </c>
    </row>
    <row r="109">
      <c r="A109" s="77" t="inlineStr">
        <is>
          <t>UK</t>
        </is>
      </c>
      <c r="B109" s="77" t="inlineStr">
        <is>
          <t>Line-loss uplift, MEDIUM E1 — LLF×TLM on wholesale + CfD + CM; TNUoS carries LLF but not TLM (£0.14/MWh, omitted as immaterial)</t>
        </is>
      </c>
      <c r="C109" s="77" t="inlineStr">
        <is>
          <t>E1</t>
        </is>
      </c>
      <c r="D109" s="77">
        <f>IF(ISNUMBER(D22),(D22+SUM(D11)+SUM(D13))*(assumptions!$B$80*(1+assumptions!$B$78)-1),"")</f>
        <v/>
      </c>
      <c r="E109" s="77">
        <f>IF(ISNUMBER(E22),(E22+SUM(E11)+SUM(E13))*(assumptions!$B$80*(1+assumptions!$B$78)-1),"")</f>
        <v/>
      </c>
      <c r="F109" s="77">
        <f>IF(ISNUMBER(F22),(F22+SUM(F11)+SUM(F13))*(assumptions!$B$80*(1+assumptions!$B$78)-1),"")</f>
        <v/>
      </c>
      <c r="G109" s="77">
        <f>IF(ISNUMBER(G22),(G22+SUM(G11)+SUM(G13))*(assumptions!$B$80*(1+assumptions!$B$78)-1),"")</f>
        <v/>
      </c>
      <c r="H109" s="77">
        <f>IF(ISNUMBER(H22),(H22+SUM(H11)+SUM(H13))*(assumptions!$B$80*(1+assumptions!$B$78)-1),"")</f>
        <v/>
      </c>
      <c r="I109" s="77">
        <f>IF(ISNUMBER(I22),(I22+SUM(I11)+SUM(I13))*(assumptions!$B$80*(1+assumptions!$B$78)-1),"")</f>
        <v/>
      </c>
      <c r="J109" s="77">
        <f>IF(ISNUMBER(J22),(J22+SUM(J11)+SUM(J13))*(assumptions!$B$80*(1+assumptions!$B$78)-1),"")</f>
        <v/>
      </c>
      <c r="K109" s="77">
        <f>IF(ISNUMBER(K22),(K22+SUM(K11)+SUM(K13))*(assumptions!$B$80*(1+assumptions!$B$78)-1),"")</f>
        <v/>
      </c>
      <c r="L109" s="77">
        <f>IF(ISNUMBER(L22),(L22+SUM(L11)+SUM(L13))*(assumptions!$B$80*(1+assumptions!$B$78)-1),"")</f>
        <v/>
      </c>
      <c r="M109" s="77">
        <f>IF(ISNUMBER(M22),(M22+SUM(M11)+SUM(M13))*(assumptions!$B$80*(1+assumptions!$B$78)-1),"")</f>
        <v/>
      </c>
      <c r="N109" s="77">
        <f>IF(ISNUMBER(N22),(N22+SUM(N11)+SUM(N13))*(assumptions!$B$80*(1+assumptions!$B$78)-1),"")</f>
        <v/>
      </c>
      <c r="O109" s="77">
        <f>IF(ISNUMBER(O22),(O22+SUM(O11)+SUM(O13))*(assumptions!$B$80*(1+assumptions!$B$78)-1),"")</f>
        <v/>
      </c>
      <c r="P109" s="77">
        <f>IF(ISNUMBER(P22),(P22+SUM(P11)+SUM(P13))*(assumptions!$B$80*(1+assumptions!$B$78)-1),"")</f>
        <v/>
      </c>
      <c r="Q109" s="77">
        <f>IF(ISNUMBER(Q22),(Q22+SUM(Q11)+SUM(Q13))*(assumptions!$B$80*(1+assumptions!$B$78)-1),"")</f>
        <v/>
      </c>
      <c r="R109" s="77">
        <f>IF(ISNUMBER(R22),(R22+SUM(R11)+SUM(R13))*(assumptions!$B$80*(1+assumptions!$B$78)-1),"")</f>
        <v/>
      </c>
      <c r="S109" s="77">
        <f>IF(ISNUMBER(S22),(S22+SUM(S11)+SUM(S13))*(assumptions!$B$80*(1+assumptions!$B$78)-1),"")</f>
        <v/>
      </c>
      <c r="T109" s="77">
        <f>IF(ISNUMBER(T22),(T22+SUM(T11)+SUM(T13))*(assumptions!$B$80*(1+assumptions!$B$78)-1),"")</f>
        <v/>
      </c>
    </row>
    <row r="110">
      <c r="A110" s="77" t="inlineStr">
        <is>
          <t>UK</t>
        </is>
      </c>
      <c r="B110" s="77" t="inlineStr">
        <is>
          <t>Line-loss uplift, MEDIUM E2 — wholesale only</t>
        </is>
      </c>
      <c r="C110" s="77" t="inlineStr">
        <is>
          <t>E2</t>
        </is>
      </c>
      <c r="D110" s="77">
        <f>IF(ISNUMBER(D22),D22*(assumptions!$B$80*(1+assumptions!$B$78)-1),"")</f>
        <v/>
      </c>
      <c r="E110" s="77">
        <f>IF(ISNUMBER(E22),E22*(assumptions!$B$80*(1+assumptions!$B$78)-1),"")</f>
        <v/>
      </c>
      <c r="F110" s="77">
        <f>IF(ISNUMBER(F22),F22*(assumptions!$B$80*(1+assumptions!$B$78)-1),"")</f>
        <v/>
      </c>
      <c r="G110" s="77">
        <f>IF(ISNUMBER(G22),G22*(assumptions!$B$80*(1+assumptions!$B$78)-1),"")</f>
        <v/>
      </c>
      <c r="H110" s="77">
        <f>IF(ISNUMBER(H22),H22*(assumptions!$B$80*(1+assumptions!$B$78)-1),"")</f>
        <v/>
      </c>
      <c r="I110" s="77">
        <f>IF(ISNUMBER(I22),I22*(assumptions!$B$80*(1+assumptions!$B$78)-1),"")</f>
        <v/>
      </c>
      <c r="J110" s="77">
        <f>IF(ISNUMBER(J22),J22*(assumptions!$B$80*(1+assumptions!$B$78)-1),"")</f>
        <v/>
      </c>
      <c r="K110" s="77">
        <f>IF(ISNUMBER(K22),K22*(assumptions!$B$80*(1+assumptions!$B$78)-1),"")</f>
        <v/>
      </c>
      <c r="L110" s="77">
        <f>IF(ISNUMBER(L22),L22*(assumptions!$B$80*(1+assumptions!$B$78)-1),"")</f>
        <v/>
      </c>
      <c r="M110" s="77">
        <f>IF(ISNUMBER(M22),M22*(assumptions!$B$80*(1+assumptions!$B$78)-1),"")</f>
        <v/>
      </c>
      <c r="N110" s="77">
        <f>IF(ISNUMBER(N22),N22*(assumptions!$B$80*(1+assumptions!$B$78)-1),"")</f>
        <v/>
      </c>
      <c r="O110" s="77">
        <f>IF(ISNUMBER(O22),O22*(assumptions!$B$80*(1+assumptions!$B$78)-1),"")</f>
        <v/>
      </c>
      <c r="P110" s="77">
        <f>IF(ISNUMBER(P22),P22*(assumptions!$B$80*(1+assumptions!$B$78)-1),"")</f>
        <v/>
      </c>
      <c r="Q110" s="77">
        <f>IF(ISNUMBER(Q22),Q22*(assumptions!$B$80*(1+assumptions!$B$78)-1),"")</f>
        <v/>
      </c>
      <c r="R110" s="77">
        <f>IF(ISNUMBER(R22),R22*(assumptions!$B$80*(1+assumptions!$B$78)-1),"")</f>
        <v/>
      </c>
      <c r="S110" s="77">
        <f>IF(ISNUMBER(S22),S22*(assumptions!$B$80*(1+assumptions!$B$78)-1),"")</f>
        <v/>
      </c>
      <c r="T110" s="77">
        <f>IF(ISNUMBER(T22),T22*(assumptions!$B$80*(1+assumptions!$B$78)-1),"")</f>
        <v/>
      </c>
    </row>
    <row r="111">
      <c r="A111" s="77" t="inlineStr">
        <is>
          <t>UK</t>
        </is>
      </c>
      <c r="B111" s="77" t="inlineStr">
        <is>
          <t>UK MEDIUM E1, day-ahead-indexed (hedging sensitivity; mirror of r101 at the medium archetype. Added 2026-07-24 with D70: the medium loss factor is 3.2% vs 0.8% large, so the day-ahead displacement is no longer identical in absolute terms at the two sizes.)</t>
        </is>
      </c>
      <c r="C111" s="77" t="n"/>
      <c r="D111" s="136">
        <f>IF(ISNUMBER(D28),D28-D22+stage4_uk!D7+(stage4_uk!D7-D22)*(assumptions!$B$80*(1+assumptions!$B$78)-1),"")</f>
        <v/>
      </c>
      <c r="E111" s="136">
        <f>IF(ISNUMBER(E28),E28-E22+stage4_uk!E7+(stage4_uk!E7-E22)*(assumptions!$B$80*(1+assumptions!$B$78)-1),"")</f>
        <v/>
      </c>
      <c r="F111" s="136">
        <f>IF(ISNUMBER(F28),F28-F22+stage4_uk!F7+(stage4_uk!F7-F22)*(assumptions!$B$80*(1+assumptions!$B$78)-1),"")</f>
        <v/>
      </c>
      <c r="G111" s="136">
        <f>IF(ISNUMBER(G28),G28-G22+stage4_uk!G7+(stage4_uk!G7-G22)*(assumptions!$B$80*(1+assumptions!$B$78)-1),"")</f>
        <v/>
      </c>
      <c r="H111" s="136">
        <f>IF(ISNUMBER(H28),H28-H22+stage4_uk!H7+(stage4_uk!H7-H22)*(assumptions!$B$80*(1+assumptions!$B$78)-1),"")</f>
        <v/>
      </c>
      <c r="I111" s="136">
        <f>IF(ISNUMBER(I28),I28-I22+stage4_uk!I7+(stage4_uk!I7-I22)*(assumptions!$B$80*(1+assumptions!$B$78)-1),"")</f>
        <v/>
      </c>
      <c r="J111" s="136">
        <f>IF(ISNUMBER(J28),J28-J22+stage4_uk!J7+(stage4_uk!J7-J22)*(assumptions!$B$80*(1+assumptions!$B$78)-1),"")</f>
        <v/>
      </c>
      <c r="K111" s="136">
        <f>IF(ISNUMBER(K28),K28-K22+stage4_uk!K7+(stage4_uk!K7-K22)*(assumptions!$B$80*(1+assumptions!$B$78)-1),"")</f>
        <v/>
      </c>
      <c r="L111" s="136">
        <f>IF(ISNUMBER(L28),L28-L22+stage4_uk!L7+(stage4_uk!L7-L22)*(assumptions!$B$80*(1+assumptions!$B$78)-1),"")</f>
        <v/>
      </c>
      <c r="M111" s="136">
        <f>IF(ISNUMBER(M28),M28-M22+stage4_uk!M7+(stage4_uk!M7-M22)*(assumptions!$B$80*(1+assumptions!$B$78)-1),"")</f>
        <v/>
      </c>
      <c r="N111" s="136">
        <f>IF(ISNUMBER(N28),N28-N22+stage4_uk!N7+(stage4_uk!N7-N22)*(assumptions!$B$80*(1+assumptions!$B$78)-1),"")</f>
        <v/>
      </c>
      <c r="O111" s="136">
        <f>IF(ISNUMBER(O28),O28-O22+stage4_uk!O7+(stage4_uk!O7-O22)*(assumptions!$B$80*(1+assumptions!$B$78)-1),"")</f>
        <v/>
      </c>
      <c r="P111" s="136">
        <f>IF(ISNUMBER(P28),P28-P22+stage4_uk!P7+(stage4_uk!P7-P22)*(assumptions!$B$80*(1+assumptions!$B$78)-1),"")</f>
        <v/>
      </c>
      <c r="Q111" s="136">
        <f>IF(ISNUMBER(Q28),Q28-Q22+stage4_uk!Q7+(stage4_uk!Q7-Q22)*(assumptions!$B$80*(1+assumptions!$B$78)-1),"")</f>
        <v/>
      </c>
      <c r="R111" s="136">
        <f>IF(ISNUMBER(R28),R28-R22+stage4_uk!R7+(stage4_uk!R7-R22)*(assumptions!$B$80*(1+assumptions!$B$78)-1),"")</f>
        <v/>
      </c>
      <c r="S111" s="136">
        <f>IF(ISNUMBER(S28),S28-S22+stage4_uk!S7+(stage4_uk!S7-S22)*(assumptions!$B$80*(1+assumptions!$B$78)-1),"")</f>
        <v/>
      </c>
      <c r="T111" s="136">
        <f>IF(ISNUMBER(T28),T28-T22+stage4_uk!T7+(stage4_uk!T7-T22)*(assumptions!$B$80*(1+assumptions!$B$78)-1),"")</f>
        <v/>
      </c>
    </row>
    <row r="112">
      <c r="A112" s="77" t="inlineStr">
        <is>
          <t>DIAGNOSTIC — Q93 procurement-vintage test. Implied wholesale = observed bill less every NON-wholesale modelled component less the supply block. NOT part of any stack; nothing downstream reads these rows.</t>
        </is>
      </c>
      <c r="B112" s="77" t="n"/>
      <c r="C112" s="77" t="n"/>
      <c r="D112" s="136" t="n"/>
      <c r="E112" s="136" t="n"/>
      <c r="F112" s="136" t="n"/>
      <c r="G112" s="136" t="n"/>
      <c r="H112" s="136" t="n"/>
      <c r="I112" s="136" t="n"/>
      <c r="J112" s="136" t="n"/>
      <c r="K112" s="136" t="n"/>
      <c r="L112" s="136" t="n"/>
      <c r="M112" s="136" t="n"/>
      <c r="N112" s="136" t="n"/>
      <c r="O112" s="136" t="n"/>
      <c r="P112" s="136" t="n"/>
      <c r="Q112" s="136" t="n"/>
      <c r="R112" s="136" t="n"/>
      <c r="S112" s="136" t="n"/>
      <c r="T112" s="136" t="n"/>
    </row>
    <row r="113">
      <c r="A113" s="77" t="inlineStr">
        <is>
          <t>UK</t>
        </is>
      </c>
      <c r="B113" s="77" t="inlineStr">
        <is>
          <t>UK supply block, nominal GBP/MWh (Ofgem CSS retail opex + EBIT, stage4_uk r56+r58; 2010-11 and 2025-26 imputed at the 2012-24 mean)</t>
        </is>
      </c>
      <c r="C113" s="77" t="n"/>
      <c r="D113" s="136">
        <f>IF(ISNUMBER(stage4_uk!D56),stage4_uk!D56+stage4_uk!D58,AVERAGE(stage4_uk!$H$56:$R$56)+AVERAGE(stage4_uk!$H$58:$R$58))</f>
        <v/>
      </c>
      <c r="E113" s="136">
        <f>IF(ISNUMBER(stage4_uk!E56),stage4_uk!E56+stage4_uk!E58,AVERAGE(stage4_uk!$H$56:$R$56)+AVERAGE(stage4_uk!$H$58:$R$58))</f>
        <v/>
      </c>
      <c r="F113" s="136">
        <f>IF(ISNUMBER(stage4_uk!F56),stage4_uk!F56+stage4_uk!F58,AVERAGE(stage4_uk!$H$56:$R$56)+AVERAGE(stage4_uk!$H$58:$R$58))</f>
        <v/>
      </c>
      <c r="G113" s="136">
        <f>IF(ISNUMBER(stage4_uk!G56),stage4_uk!G56+stage4_uk!G58,AVERAGE(stage4_uk!$H$56:$R$56)+AVERAGE(stage4_uk!$H$58:$R$58))</f>
        <v/>
      </c>
      <c r="H113" s="136">
        <f>IF(ISNUMBER(stage4_uk!H56),stage4_uk!H56+stage4_uk!H58,AVERAGE(stage4_uk!$H$56:$R$56)+AVERAGE(stage4_uk!$H$58:$R$58))</f>
        <v/>
      </c>
      <c r="I113" s="136">
        <f>IF(ISNUMBER(stage4_uk!I56),stage4_uk!I56+stage4_uk!I58,AVERAGE(stage4_uk!$H$56:$R$56)+AVERAGE(stage4_uk!$H$58:$R$58))</f>
        <v/>
      </c>
      <c r="J113" s="136">
        <f>IF(ISNUMBER(stage4_uk!J56),stage4_uk!J56+stage4_uk!J58,AVERAGE(stage4_uk!$H$56:$R$56)+AVERAGE(stage4_uk!$H$58:$R$58))</f>
        <v/>
      </c>
      <c r="K113" s="136">
        <f>IF(ISNUMBER(stage4_uk!K56),stage4_uk!K56+stage4_uk!K58,AVERAGE(stage4_uk!$H$56:$R$56)+AVERAGE(stage4_uk!$H$58:$R$58))</f>
        <v/>
      </c>
      <c r="L113" s="136">
        <f>IF(ISNUMBER(stage4_uk!L56),stage4_uk!L56+stage4_uk!L58,AVERAGE(stage4_uk!$H$56:$R$56)+AVERAGE(stage4_uk!$H$58:$R$58))</f>
        <v/>
      </c>
      <c r="M113" s="136">
        <f>IF(ISNUMBER(stage4_uk!M56),stage4_uk!M56+stage4_uk!M58,AVERAGE(stage4_uk!$H$56:$R$56)+AVERAGE(stage4_uk!$H$58:$R$58))</f>
        <v/>
      </c>
      <c r="N113" s="136">
        <f>IF(ISNUMBER(stage4_uk!N56),stage4_uk!N56+stage4_uk!N58,AVERAGE(stage4_uk!$H$56:$R$56)+AVERAGE(stage4_uk!$H$58:$R$58))</f>
        <v/>
      </c>
      <c r="O113" s="136">
        <f>IF(ISNUMBER(stage4_uk!O56),stage4_uk!O56+stage4_uk!O58,AVERAGE(stage4_uk!$H$56:$R$56)+AVERAGE(stage4_uk!$H$58:$R$58))</f>
        <v/>
      </c>
      <c r="P113" s="136">
        <f>IF(ISNUMBER(stage4_uk!P56),stage4_uk!P56+stage4_uk!P58,AVERAGE(stage4_uk!$H$56:$R$56)+AVERAGE(stage4_uk!$H$58:$R$58))</f>
        <v/>
      </c>
      <c r="Q113" s="136">
        <f>IF(ISNUMBER(stage4_uk!Q56),stage4_uk!Q56+stage4_uk!Q58,AVERAGE(stage4_uk!$H$56:$R$56)+AVERAGE(stage4_uk!$H$58:$R$58))</f>
        <v/>
      </c>
      <c r="R113" s="136">
        <f>IF(ISNUMBER(stage4_uk!R56),stage4_uk!R56+stage4_uk!R58,AVERAGE(stage4_uk!$H$56:$R$56)+AVERAGE(stage4_uk!$H$58:$R$58))</f>
        <v/>
      </c>
      <c r="S113" s="136">
        <f>IF(ISNUMBER(stage4_uk!S56),stage4_uk!S56+stage4_uk!S58,AVERAGE(stage4_uk!$H$56:$R$56)+AVERAGE(stage4_uk!$H$58:$R$58))</f>
        <v/>
      </c>
      <c r="T113" s="136">
        <f>IF(ISNUMBER(stage4_uk!T56),stage4_uk!T56+stage4_uk!T58,AVERAGE(stage4_uk!$H$56:$R$56)+AVERAGE(stage4_uk!$H$58:$R$58))</f>
        <v/>
      </c>
    </row>
    <row r="114">
      <c r="A114" s="77" t="inlineStr">
        <is>
          <t>UK</t>
        </is>
      </c>
      <c r="B114" s="77" t="inlineStr">
        <is>
          <t>UK LARGE — IMPLIED wholesale actually paid = QEP XL (incl CCL, D71) less the CCL the band ACTUALLY paid (r133, measured) less the remaining non-wholesale E1 components less the supply block. Deducting measured rather than main-rate CCL keeps the series identical to the pre-D71 construction — the implied price is basis-invariant.</t>
        </is>
      </c>
      <c r="C114" s="77" t="n"/>
      <c r="D114" s="136">
        <f>IF(AND(ISNUMBER(D20),ISNUMBER(D15)),D20-IF(ISNUMBER(D133),D133*10,D14)-((D15-D14)-D6)-D113,"")</f>
        <v/>
      </c>
      <c r="E114" s="136">
        <f>IF(AND(ISNUMBER(E20),ISNUMBER(E15)),E20-IF(ISNUMBER(E133),E133*10,E14)-((E15-E14)-E6)-E113,"")</f>
        <v/>
      </c>
      <c r="F114" s="136">
        <f>IF(AND(ISNUMBER(F20),ISNUMBER(F15)),F20-IF(ISNUMBER(F133),F133*10,F14)-((F15-F14)-F6)-F113,"")</f>
        <v/>
      </c>
      <c r="G114" s="136">
        <f>IF(AND(ISNUMBER(G20),ISNUMBER(G15)),G20-IF(ISNUMBER(G133),G133*10,G14)-((G15-G14)-G6)-G113,"")</f>
        <v/>
      </c>
      <c r="H114" s="136">
        <f>IF(AND(ISNUMBER(H20),ISNUMBER(H15)),H20-IF(ISNUMBER(H133),H133*10,H14)-((H15-H14)-H6)-H113,"")</f>
        <v/>
      </c>
      <c r="I114" s="136">
        <f>IF(AND(ISNUMBER(I20),ISNUMBER(I15)),I20-IF(ISNUMBER(I133),I133*10,I14)-((I15-I14)-I6)-I113,"")</f>
        <v/>
      </c>
      <c r="J114" s="136">
        <f>IF(AND(ISNUMBER(J20),ISNUMBER(J15)),J20-IF(ISNUMBER(J133),J133*10,J14)-((J15-J14)-J6)-J113,"")</f>
        <v/>
      </c>
      <c r="K114" s="136">
        <f>IF(AND(ISNUMBER(K20),ISNUMBER(K15)),K20-IF(ISNUMBER(K133),K133*10,K14)-((K15-K14)-K6)-K113,"")</f>
        <v/>
      </c>
      <c r="L114" s="136">
        <f>IF(AND(ISNUMBER(L20),ISNUMBER(L15)),L20-IF(ISNUMBER(L133),L133*10,L14)-((L15-L14)-L6)-L113,"")</f>
        <v/>
      </c>
      <c r="M114" s="136">
        <f>IF(AND(ISNUMBER(M20),ISNUMBER(M15)),M20-IF(ISNUMBER(M133),M133*10,M14)-((M15-M14)-M6)-M113,"")</f>
        <v/>
      </c>
      <c r="N114" s="136">
        <f>IF(AND(ISNUMBER(N20),ISNUMBER(N15)),N20-IF(ISNUMBER(N133),N133*10,N14)-((N15-N14)-N6)-N113,"")</f>
        <v/>
      </c>
      <c r="O114" s="136">
        <f>IF(AND(ISNUMBER(O20),ISNUMBER(O15)),O20-IF(ISNUMBER(O133),O133*10,O14)-((O15-O14)-O6)-O113,"")</f>
        <v/>
      </c>
      <c r="P114" s="136">
        <f>IF(AND(ISNUMBER(P20),ISNUMBER(P15)),P20-IF(ISNUMBER(P133),P133*10,P14)-((P15-P14)-P6)-P113,"")</f>
        <v/>
      </c>
      <c r="Q114" s="136">
        <f>IF(AND(ISNUMBER(Q20),ISNUMBER(Q15)),Q20-IF(ISNUMBER(Q133),Q133*10,Q14)-((Q15-Q14)-Q6)-Q113,"")</f>
        <v/>
      </c>
      <c r="R114" s="136">
        <f>IF(AND(ISNUMBER(R20),ISNUMBER(R15)),R20-IF(ISNUMBER(R133),R133*10,R14)-((R15-R14)-R6)-R113,"")</f>
        <v/>
      </c>
      <c r="S114" s="136">
        <f>IF(AND(ISNUMBER(S20),ISNUMBER(S15)),S20-IF(ISNUMBER(S133),S133*10,S14)-((S15-S14)-S6)-S113,"")</f>
        <v/>
      </c>
      <c r="T114" s="136">
        <f>IF(AND(ISNUMBER(T20),ISNUMBER(T15)),T20-IF(ISNUMBER(T133),T133*10,T14)-((T15-T14)-T6)-T113,"")</f>
        <v/>
      </c>
    </row>
    <row r="115">
      <c r="A115" s="77" t="inlineStr">
        <is>
          <t>UK</t>
        </is>
      </c>
      <c r="B115" s="77" t="inlineStr">
        <is>
          <t>UK MEDIUM — IMPLIED wholesale actually paid (QEP Large band, incl CCL less measured CCL per D71)</t>
        </is>
      </c>
      <c r="C115" s="77" t="n"/>
      <c r="D115" s="136">
        <f>IF(AND(ISNUMBER(D30),ISNUMBER(D28)),D30-IF(ISNUMBER(D135),D135*10,D14)-((D28-D14)-D22)-D113,"")</f>
        <v/>
      </c>
      <c r="E115" s="136">
        <f>IF(AND(ISNUMBER(E30),ISNUMBER(E28)),E30-IF(ISNUMBER(E135),E135*10,E14)-((E28-E14)-E22)-E113,"")</f>
        <v/>
      </c>
      <c r="F115" s="136">
        <f>IF(AND(ISNUMBER(F30),ISNUMBER(F28)),F30-IF(ISNUMBER(F135),F135*10,F14)-((F28-F14)-F22)-F113,"")</f>
        <v/>
      </c>
      <c r="G115" s="136">
        <f>IF(AND(ISNUMBER(G30),ISNUMBER(G28)),G30-IF(ISNUMBER(G135),G135*10,G14)-((G28-G14)-G22)-G113,"")</f>
        <v/>
      </c>
      <c r="H115" s="136">
        <f>IF(AND(ISNUMBER(H30),ISNUMBER(H28)),H30-IF(ISNUMBER(H135),H135*10,H14)-((H28-H14)-H22)-H113,"")</f>
        <v/>
      </c>
      <c r="I115" s="136">
        <f>IF(AND(ISNUMBER(I30),ISNUMBER(I28)),I30-IF(ISNUMBER(I135),I135*10,I14)-((I28-I14)-I22)-I113,"")</f>
        <v/>
      </c>
      <c r="J115" s="136">
        <f>IF(AND(ISNUMBER(J30),ISNUMBER(J28)),J30-IF(ISNUMBER(J135),J135*10,J14)-((J28-J14)-J22)-J113,"")</f>
        <v/>
      </c>
      <c r="K115" s="136">
        <f>IF(AND(ISNUMBER(K30),ISNUMBER(K28)),K30-IF(ISNUMBER(K135),K135*10,K14)-((K28-K14)-K22)-K113,"")</f>
        <v/>
      </c>
      <c r="L115" s="136">
        <f>IF(AND(ISNUMBER(L30),ISNUMBER(L28)),L30-IF(ISNUMBER(L135),L135*10,L14)-((L28-L14)-L22)-L113,"")</f>
        <v/>
      </c>
      <c r="M115" s="136">
        <f>IF(AND(ISNUMBER(M30),ISNUMBER(M28)),M30-IF(ISNUMBER(M135),M135*10,M14)-((M28-M14)-M22)-M113,"")</f>
        <v/>
      </c>
      <c r="N115" s="136">
        <f>IF(AND(ISNUMBER(N30),ISNUMBER(N28)),N30-IF(ISNUMBER(N135),N135*10,N14)-((N28-N14)-N22)-N113,"")</f>
        <v/>
      </c>
      <c r="O115" s="136">
        <f>IF(AND(ISNUMBER(O30),ISNUMBER(O28)),O30-IF(ISNUMBER(O135),O135*10,O14)-((O28-O14)-O22)-O113,"")</f>
        <v/>
      </c>
      <c r="P115" s="136">
        <f>IF(AND(ISNUMBER(P30),ISNUMBER(P28)),P30-IF(ISNUMBER(P135),P135*10,P14)-((P28-P14)-P22)-P113,"")</f>
        <v/>
      </c>
      <c r="Q115" s="136">
        <f>IF(AND(ISNUMBER(Q30),ISNUMBER(Q28)),Q30-IF(ISNUMBER(Q135),Q135*10,Q14)-((Q28-Q14)-Q22)-Q113,"")</f>
        <v/>
      </c>
      <c r="R115" s="136">
        <f>IF(AND(ISNUMBER(R30),ISNUMBER(R28)),R30-IF(ISNUMBER(R135),R135*10,R14)-((R28-R14)-R22)-R113,"")</f>
        <v/>
      </c>
      <c r="S115" s="136">
        <f>IF(AND(ISNUMBER(S30),ISNUMBER(S28)),S30-IF(ISNUMBER(S135),S135*10,S14)-((S28-S14)-S22)-S113,"")</f>
        <v/>
      </c>
      <c r="T115" s="136">
        <f>IF(AND(ISNUMBER(T30),ISNUMBER(T28)),T30-IF(ISNUMBER(T135),T135*10,T14)-((T28-T14)-T22)-T113,"")</f>
        <v/>
      </c>
    </row>
    <row r="116">
      <c r="A116" s="77" t="inlineStr">
        <is>
          <t>DE</t>
        </is>
      </c>
      <c r="B116" s="77" t="inlineStr">
        <is>
          <t>DE LARGE — IMPLIED wholesale actually paid = Eurostat IF less non-wholesale E1 components less BNetzA supply block (17.7 EUR/MWh)</t>
        </is>
      </c>
      <c r="C116" s="77" t="n"/>
      <c r="D116" s="136">
        <f>IF(AND(ISNUMBER(D54),ISNUMBER(D41)),D54-(D41-D32)-17.7,"")</f>
        <v/>
      </c>
      <c r="E116" s="136">
        <f>IF(AND(ISNUMBER(E54),ISNUMBER(E41)),E54-(E41-E32)-17.7,"")</f>
        <v/>
      </c>
      <c r="F116" s="136">
        <f>IF(AND(ISNUMBER(F54),ISNUMBER(F41)),F54-(F41-F32)-17.7,"")</f>
        <v/>
      </c>
      <c r="G116" s="136">
        <f>IF(AND(ISNUMBER(G54),ISNUMBER(G41)),G54-(G41-G32)-17.7,"")</f>
        <v/>
      </c>
      <c r="H116" s="136">
        <f>IF(AND(ISNUMBER(H54),ISNUMBER(H41)),H54-(H41-H32)-17.7,"")</f>
        <v/>
      </c>
      <c r="I116" s="136">
        <f>IF(AND(ISNUMBER(I54),ISNUMBER(I41)),I54-(I41-I32)-17.7,"")</f>
        <v/>
      </c>
      <c r="J116" s="136">
        <f>IF(AND(ISNUMBER(J54),ISNUMBER(J41)),J54-(J41-J32)-17.7,"")</f>
        <v/>
      </c>
      <c r="K116" s="136">
        <f>IF(AND(ISNUMBER(K54),ISNUMBER(K41)),K54-(K41-K32)-17.7,"")</f>
        <v/>
      </c>
      <c r="L116" s="136">
        <f>IF(AND(ISNUMBER(L54),ISNUMBER(L41)),L54-(L41-L32)-17.7,"")</f>
        <v/>
      </c>
      <c r="M116" s="136">
        <f>IF(AND(ISNUMBER(M54),ISNUMBER(M41)),M54-(M41-M32)-17.7,"")</f>
        <v/>
      </c>
      <c r="N116" s="136">
        <f>IF(AND(ISNUMBER(N54),ISNUMBER(N41)),N54-(N41-N32)-17.7,"")</f>
        <v/>
      </c>
      <c r="O116" s="136">
        <f>IF(AND(ISNUMBER(O54),ISNUMBER(O41)),O54-(O41-O32)-17.7,"")</f>
        <v/>
      </c>
      <c r="P116" s="136">
        <f>IF(AND(ISNUMBER(P54),ISNUMBER(P41)),P54-(P41-P32)-17.7,"")</f>
        <v/>
      </c>
      <c r="Q116" s="136">
        <f>IF(AND(ISNUMBER(Q54),ISNUMBER(Q41)),Q54-(Q41-Q32)-17.7,"")</f>
        <v/>
      </c>
      <c r="R116" s="136">
        <f>IF(AND(ISNUMBER(R54),ISNUMBER(R41)),R54-(R41-R32)-17.7,"")</f>
        <v/>
      </c>
      <c r="S116" s="136">
        <f>IF(AND(ISNUMBER(S54),ISNUMBER(S41)),S54-(S41-S32)-17.7,"")</f>
        <v/>
      </c>
      <c r="T116" s="136">
        <f>IF(AND(ISNUMBER(T54),ISNUMBER(T41)),T54-(T41-T32)-17.7,"")</f>
        <v/>
      </c>
    </row>
    <row r="117">
      <c r="A117" s="77" t="inlineStr">
        <is>
          <t>UK</t>
        </is>
      </c>
      <c r="B117" s="77" t="inlineStr">
        <is>
          <t>UK LARGE — implied MINUS the modelled wholesale (r6). Calm-year 2010-20 mean = the profile/shape/imbalance baseline; excess over it = procurement-vintage effect</t>
        </is>
      </c>
      <c r="C117" s="77" t="n"/>
      <c r="D117" s="136">
        <f>IF(ISNUMBER(D114),D114-D6,"")</f>
        <v/>
      </c>
      <c r="E117" s="136">
        <f>IF(ISNUMBER(E114),E114-E6,"")</f>
        <v/>
      </c>
      <c r="F117" s="136">
        <f>IF(ISNUMBER(F114),F114-F6,"")</f>
        <v/>
      </c>
      <c r="G117" s="136">
        <f>IF(ISNUMBER(G114),G114-G6,"")</f>
        <v/>
      </c>
      <c r="H117" s="136">
        <f>IF(ISNUMBER(H114),H114-H6,"")</f>
        <v/>
      </c>
      <c r="I117" s="136">
        <f>IF(ISNUMBER(I114),I114-I6,"")</f>
        <v/>
      </c>
      <c r="J117" s="136">
        <f>IF(ISNUMBER(J114),J114-J6,"")</f>
        <v/>
      </c>
      <c r="K117" s="136">
        <f>IF(ISNUMBER(K114),K114-K6,"")</f>
        <v/>
      </c>
      <c r="L117" s="136">
        <f>IF(ISNUMBER(L114),L114-L6,"")</f>
        <v/>
      </c>
      <c r="M117" s="136">
        <f>IF(ISNUMBER(M114),M114-M6,"")</f>
        <v/>
      </c>
      <c r="N117" s="136">
        <f>IF(ISNUMBER(N114),N114-N6,"")</f>
        <v/>
      </c>
      <c r="O117" s="136">
        <f>IF(ISNUMBER(O114),O114-O6,"")</f>
        <v/>
      </c>
      <c r="P117" s="136">
        <f>IF(ISNUMBER(P114),P114-P6,"")</f>
        <v/>
      </c>
      <c r="Q117" s="136">
        <f>IF(ISNUMBER(Q114),Q114-Q6,"")</f>
        <v/>
      </c>
      <c r="R117" s="136">
        <f>IF(ISNUMBER(R114),R114-R6,"")</f>
        <v/>
      </c>
      <c r="S117" s="136">
        <f>IF(ISNUMBER(S114),S114-S6,"")</f>
        <v/>
      </c>
      <c r="T117" s="136">
        <f>IF(ISNUMBER(T114),T114-T6,"")</f>
        <v/>
      </c>
    </row>
    <row r="118">
      <c r="A118" s="77" t="inlineStr">
        <is>
          <t>DE</t>
        </is>
      </c>
      <c r="B118" s="77" t="inlineStr">
        <is>
          <t>DE LARGE — implied minus modelled wholesale (r32). CONTROL: this unwinds after 2023 while the UK one does not</t>
        </is>
      </c>
      <c r="C118" s="77" t="n"/>
      <c r="D118" s="136">
        <f>IF(ISNUMBER(D116),D116-D32,"")</f>
        <v/>
      </c>
      <c r="E118" s="136">
        <f>IF(ISNUMBER(E116),E116-E32,"")</f>
        <v/>
      </c>
      <c r="F118" s="136">
        <f>IF(ISNUMBER(F116),F116-F32,"")</f>
        <v/>
      </c>
      <c r="G118" s="136">
        <f>IF(ISNUMBER(G116),G116-G32,"")</f>
        <v/>
      </c>
      <c r="H118" s="136">
        <f>IF(ISNUMBER(H116),H116-H32,"")</f>
        <v/>
      </c>
      <c r="I118" s="136">
        <f>IF(ISNUMBER(I116),I116-I32,"")</f>
        <v/>
      </c>
      <c r="J118" s="136">
        <f>IF(ISNUMBER(J116),J116-J32,"")</f>
        <v/>
      </c>
      <c r="K118" s="136">
        <f>IF(ISNUMBER(K116),K116-K32,"")</f>
        <v/>
      </c>
      <c r="L118" s="136">
        <f>IF(ISNUMBER(L116),L116-L32,"")</f>
        <v/>
      </c>
      <c r="M118" s="136">
        <f>IF(ISNUMBER(M116),M116-M32,"")</f>
        <v/>
      </c>
      <c r="N118" s="136">
        <f>IF(ISNUMBER(N116),N116-N32,"")</f>
        <v/>
      </c>
      <c r="O118" s="136">
        <f>IF(ISNUMBER(O116),O116-O32,"")</f>
        <v/>
      </c>
      <c r="P118" s="136">
        <f>IF(ISNUMBER(P116),P116-P32,"")</f>
        <v/>
      </c>
      <c r="Q118" s="136">
        <f>IF(ISNUMBER(Q116),Q116-Q32,"")</f>
        <v/>
      </c>
      <c r="R118" s="136">
        <f>IF(ISNUMBER(R116),R116-R32,"")</f>
        <v/>
      </c>
      <c r="S118" s="136">
        <f>IF(ISNUMBER(S116),S116-S32,"")</f>
        <v/>
      </c>
      <c r="T118" s="136">
        <f>IF(ISNUMBER(T116),T116-T32,"")</f>
        <v/>
      </c>
    </row>
    <row r="119">
      <c r="A119" s="77" t="inlineStr">
        <is>
          <t>DIAGNOSTIC — Q94 gas-SRMC identity test. SRMC = (gas HHV + carbon x 0.18296 tCO2/MWh_th) / 0.50 efficiency (corridor 46-55% lives in the exhibit). Inputs S198/S199; carbon prices from carbon!r13 (UK applicable) and carbon!r5 (EUA VWA). Diagnostic only — nothing downstream reads r119-125.</t>
        </is>
      </c>
      <c r="B119" s="77" t="n"/>
      <c r="C119" s="77" t="n"/>
      <c r="D119" s="136" t="n"/>
      <c r="E119" s="136" t="n"/>
      <c r="F119" s="136" t="n"/>
      <c r="G119" s="136" t="n"/>
      <c r="H119" s="136" t="n"/>
      <c r="I119" s="136" t="n"/>
      <c r="J119" s="136" t="n"/>
      <c r="K119" s="136" t="n"/>
      <c r="L119" s="136" t="n"/>
      <c r="M119" s="136" t="n"/>
      <c r="N119" s="136" t="n"/>
      <c r="O119" s="136" t="n"/>
      <c r="P119" s="136" t="n"/>
      <c r="Q119" s="136" t="n"/>
      <c r="R119" s="136" t="n"/>
      <c r="S119" s="136" t="n"/>
      <c r="T119" s="136" t="n"/>
    </row>
    <row r="120">
      <c r="A120" s="77" t="inlineStr">
        <is>
          <t>UK</t>
        </is>
      </c>
      <c r="B120" s="77" t="inlineStr">
        <is>
          <t>UK hub gas price, p/therm, calendar avg (S198: Ofgem NBP DA 2014-16; ONS SAP 2018-25; EI SR 2025 derived 2010-13 &amp; 2017, estimated=Y)</t>
        </is>
      </c>
      <c r="C120" s="77" t="n"/>
      <c r="D120" s="136" t="n">
        <v>42.2</v>
      </c>
      <c r="E120" s="136" t="n">
        <v>56.1</v>
      </c>
      <c r="F120" s="136" t="n">
        <v>59.5</v>
      </c>
      <c r="G120" s="136" t="n">
        <v>67.8</v>
      </c>
      <c r="H120" s="136" t="n">
        <v>50</v>
      </c>
      <c r="I120" s="136" t="n">
        <v>42.5</v>
      </c>
      <c r="J120" s="136" t="n">
        <v>35</v>
      </c>
      <c r="K120" s="136" t="n">
        <v>44.9</v>
      </c>
      <c r="L120" s="136" t="n">
        <v>60.9</v>
      </c>
      <c r="M120" s="136" t="n">
        <v>35.1</v>
      </c>
      <c r="N120" s="136" t="n">
        <v>25.1</v>
      </c>
      <c r="O120" s="136" t="n">
        <v>114.2</v>
      </c>
      <c r="P120" s="136" t="n">
        <v>208.5</v>
      </c>
      <c r="Q120" s="136" t="n">
        <v>100.8</v>
      </c>
      <c r="R120" s="136" t="n">
        <v>84</v>
      </c>
      <c r="S120" s="136" t="n">
        <v>89.09999999999999</v>
      </c>
      <c r="T120" s="136" t="n"/>
    </row>
    <row r="121">
      <c r="A121" s="77" t="inlineStr">
        <is>
          <t>UK</t>
        </is>
      </c>
      <c r="B121" s="77" t="inlineStr">
        <is>
          <t>UK hub gas, GBP/MWh thermal HHV = r120 x 0.341214</t>
        </is>
      </c>
      <c r="C121" s="77" t="n"/>
      <c r="D121" s="136">
        <f>D120*0.341214</f>
        <v/>
      </c>
      <c r="E121" s="136">
        <f>E120*0.341214</f>
        <v/>
      </c>
      <c r="F121" s="136">
        <f>F120*0.341214</f>
        <v/>
      </c>
      <c r="G121" s="136">
        <f>G120*0.341214</f>
        <v/>
      </c>
      <c r="H121" s="136">
        <f>H120*0.341214</f>
        <v/>
      </c>
      <c r="I121" s="136">
        <f>I120*0.341214</f>
        <v/>
      </c>
      <c r="J121" s="136">
        <f>J120*0.341214</f>
        <v/>
      </c>
      <c r="K121" s="136">
        <f>K120*0.341214</f>
        <v/>
      </c>
      <c r="L121" s="136">
        <f>L120*0.341214</f>
        <v/>
      </c>
      <c r="M121" s="136">
        <f>M120*0.341214</f>
        <v/>
      </c>
      <c r="N121" s="136">
        <f>N120*0.341214</f>
        <v/>
      </c>
      <c r="O121" s="136">
        <f>O120*0.341214</f>
        <v/>
      </c>
      <c r="P121" s="136">
        <f>P120*0.341214</f>
        <v/>
      </c>
      <c r="Q121" s="136">
        <f>Q120*0.341214</f>
        <v/>
      </c>
      <c r="R121" s="136">
        <f>R120*0.341214</f>
        <v/>
      </c>
      <c r="S121" s="136">
        <f>S120*0.341214</f>
        <v/>
      </c>
      <c r="T121" s="136" t="n"/>
    </row>
    <row r="122">
      <c r="A122" s="77" t="inlineStr">
        <is>
          <t>DE</t>
        </is>
      </c>
      <c r="B122" s="77" t="inlineStr">
        <is>
          <t>DE hub gas price, EUR/MWh (S198: BNetzA THE EGSI 2022/2024; EC QREGM TTF DA 2023/2025; ACER 2021; EI SR derived 2010-20, estimated=Y)</t>
        </is>
      </c>
      <c r="C122" s="77" t="n"/>
      <c r="D122" s="136" t="n">
        <v>17.2</v>
      </c>
      <c r="E122" s="136" t="n">
        <v>22.5</v>
      </c>
      <c r="F122" s="136" t="n">
        <v>24.9</v>
      </c>
      <c r="G122" s="136" t="n">
        <v>27</v>
      </c>
      <c r="H122" s="136" t="n">
        <v>20.8</v>
      </c>
      <c r="I122" s="136" t="n">
        <v>19.8</v>
      </c>
      <c r="J122" s="136" t="n">
        <v>14</v>
      </c>
      <c r="K122" s="136" t="n">
        <v>17.2</v>
      </c>
      <c r="L122" s="136" t="n">
        <v>22.8</v>
      </c>
      <c r="M122" s="136" t="n">
        <v>13.6</v>
      </c>
      <c r="N122" s="136" t="n">
        <v>9.4</v>
      </c>
      <c r="O122" s="136" t="n">
        <v>47.2</v>
      </c>
      <c r="P122" s="136" t="n">
        <v>125</v>
      </c>
      <c r="Q122" s="136" t="n">
        <v>41</v>
      </c>
      <c r="R122" s="136" t="n">
        <v>34.6</v>
      </c>
      <c r="S122" s="136" t="n">
        <v>36</v>
      </c>
      <c r="T122" s="136" t="n"/>
    </row>
    <row r="123">
      <c r="A123" s="77" t="inlineStr">
        <is>
          <t>UK</t>
        </is>
      </c>
      <c r="B123" s="77" t="inlineStr">
        <is>
          <t>UK gas-SRMC @50% HHV, GBP/MWh = (r121 + carbon!r13 x 0.18296)/0.5. Starts 2013 with the UK applicable-carbon series. Compare stage4_uk r7 (day-ahead power)</t>
        </is>
      </c>
      <c r="C123" s="77" t="n"/>
      <c r="D123" s="136">
        <f>IF(ISNUMBER(carbon!D13),(D121+carbon!D13*0.18296)/0.5,"")</f>
        <v/>
      </c>
      <c r="E123" s="136">
        <f>IF(ISNUMBER(carbon!E13),(E121+carbon!E13*0.18296)/0.5,"")</f>
        <v/>
      </c>
      <c r="F123" s="136">
        <f>IF(ISNUMBER(carbon!F13),(F121+carbon!F13*0.18296)/0.5,"")</f>
        <v/>
      </c>
      <c r="G123" s="136">
        <f>IF(ISNUMBER(carbon!G13),(G121+carbon!G13*0.18296)/0.5,"")</f>
        <v/>
      </c>
      <c r="H123" s="136">
        <f>IF(ISNUMBER(carbon!H13),(H121+carbon!H13*0.18296)/0.5,"")</f>
        <v/>
      </c>
      <c r="I123" s="136">
        <f>IF(ISNUMBER(carbon!I13),(I121+carbon!I13*0.18296)/0.5,"")</f>
        <v/>
      </c>
      <c r="J123" s="136">
        <f>IF(ISNUMBER(carbon!J13),(J121+carbon!J13*0.18296)/0.5,"")</f>
        <v/>
      </c>
      <c r="K123" s="136">
        <f>IF(ISNUMBER(carbon!K13),(K121+carbon!K13*0.18296)/0.5,"")</f>
        <v/>
      </c>
      <c r="L123" s="136">
        <f>IF(ISNUMBER(carbon!L13),(L121+carbon!L13*0.18296)/0.5,"")</f>
        <v/>
      </c>
      <c r="M123" s="136">
        <f>IF(ISNUMBER(carbon!M13),(M121+carbon!M13*0.18296)/0.5,"")</f>
        <v/>
      </c>
      <c r="N123" s="136">
        <f>IF(ISNUMBER(carbon!N13),(N121+carbon!N13*0.18296)/0.5,"")</f>
        <v/>
      </c>
      <c r="O123" s="136">
        <f>IF(ISNUMBER(carbon!O13),(O121+carbon!O13*0.18296)/0.5,"")</f>
        <v/>
      </c>
      <c r="P123" s="136">
        <f>IF(ISNUMBER(carbon!P13),(P121+carbon!P13*0.18296)/0.5,"")</f>
        <v/>
      </c>
      <c r="Q123" s="136">
        <f>IF(ISNUMBER(carbon!Q13),(Q121+carbon!Q13*0.18296)/0.5,"")</f>
        <v/>
      </c>
      <c r="R123" s="136">
        <f>IF(ISNUMBER(carbon!R13),(R121+carbon!R13*0.18296)/0.5,"")</f>
        <v/>
      </c>
      <c r="S123" s="136">
        <f>IF(ISNUMBER(carbon!S13),(S121+carbon!S13*0.18296)/0.5,"")</f>
        <v/>
      </c>
      <c r="T123" s="136" t="n"/>
    </row>
    <row r="124">
      <c r="A124" s="77" t="inlineStr">
        <is>
          <t>DE</t>
        </is>
      </c>
      <c r="B124" s="77" t="inlineStr">
        <is>
          <t>DE gas-SRMC @50% HHV, EUR/MWh = (r122 + carbon!r5 x 0.18296)/0.5. Starts 2012 with the EUA VWA series. Compare stage4_de r8 (day-ahead power)</t>
        </is>
      </c>
      <c r="C124" s="77" t="n"/>
      <c r="D124" s="136">
        <f>IF(ISNUMBER(carbon!D5),(D122+carbon!D5*0.18296)/0.5,"")</f>
        <v/>
      </c>
      <c r="E124" s="136">
        <f>IF(ISNUMBER(carbon!E5),(E122+carbon!E5*0.18296)/0.5,"")</f>
        <v/>
      </c>
      <c r="F124" s="136">
        <f>IF(ISNUMBER(carbon!F5),(F122+carbon!F5*0.18296)/0.5,"")</f>
        <v/>
      </c>
      <c r="G124" s="136">
        <f>IF(ISNUMBER(carbon!G5),(G122+carbon!G5*0.18296)/0.5,"")</f>
        <v/>
      </c>
      <c r="H124" s="136">
        <f>IF(ISNUMBER(carbon!H5),(H122+carbon!H5*0.18296)/0.5,"")</f>
        <v/>
      </c>
      <c r="I124" s="136">
        <f>IF(ISNUMBER(carbon!I5),(I122+carbon!I5*0.18296)/0.5,"")</f>
        <v/>
      </c>
      <c r="J124" s="136">
        <f>IF(ISNUMBER(carbon!J5),(J122+carbon!J5*0.18296)/0.5,"")</f>
        <v/>
      </c>
      <c r="K124" s="136">
        <f>IF(ISNUMBER(carbon!K5),(K122+carbon!K5*0.18296)/0.5,"")</f>
        <v/>
      </c>
      <c r="L124" s="136">
        <f>IF(ISNUMBER(carbon!L5),(L122+carbon!L5*0.18296)/0.5,"")</f>
        <v/>
      </c>
      <c r="M124" s="136">
        <f>IF(ISNUMBER(carbon!M5),(M122+carbon!M5*0.18296)/0.5,"")</f>
        <v/>
      </c>
      <c r="N124" s="136">
        <f>IF(ISNUMBER(carbon!N5),(N122+carbon!N5*0.18296)/0.5,"")</f>
        <v/>
      </c>
      <c r="O124" s="136">
        <f>IF(ISNUMBER(carbon!O5),(O122+carbon!O5*0.18296)/0.5,"")</f>
        <v/>
      </c>
      <c r="P124" s="136">
        <f>IF(ISNUMBER(carbon!P5),(P122+carbon!P5*0.18296)/0.5,"")</f>
        <v/>
      </c>
      <c r="Q124" s="136">
        <f>IF(ISNUMBER(carbon!Q5),(Q122+carbon!Q5*0.18296)/0.5,"")</f>
        <v/>
      </c>
      <c r="R124" s="136">
        <f>IF(ISNUMBER(carbon!R5),(R122+carbon!R5*0.18296)/0.5,"")</f>
        <v/>
      </c>
      <c r="S124" s="136">
        <f>IF(ISNUMBER(carbon!S5),(S122+carbon!S5*0.18296)/0.5,"")</f>
        <v/>
      </c>
      <c r="T124" s="136" t="n"/>
    </row>
    <row r="125">
      <c r="A125" s="77" t="n"/>
      <c r="B125" s="77" t="n"/>
      <c r="C125" s="77" t="n"/>
      <c r="D125" s="136" t="n"/>
      <c r="E125" s="136" t="n"/>
      <c r="F125" s="136" t="n"/>
      <c r="G125" s="136" t="n"/>
      <c r="H125" s="136" t="n"/>
      <c r="I125" s="136" t="n"/>
      <c r="J125" s="136" t="n"/>
      <c r="K125" s="136" t="n"/>
      <c r="L125" s="136" t="n"/>
      <c r="M125" s="136" t="n"/>
      <c r="N125" s="136" t="n"/>
      <c r="O125" s="136" t="n"/>
      <c r="P125" s="136" t="n"/>
      <c r="Q125" s="136" t="n"/>
      <c r="R125" s="136" t="n"/>
      <c r="S125" s="136" t="n"/>
      <c r="T125" s="136" t="n"/>
    </row>
    <row r="126">
      <c r="A126" s="77" t="inlineStr">
        <is>
          <t>DIAGNOSTIC — Q97 measured EII exempt share. Ofgem RO annual reports (GB, scheme year Apr–Mar mapped to first calendar year col); LCCC CfD settlement corroboration; DUKES 5.1.2 denominator. Shares 2024-25: excluded/GB supply 4.74% (Ofgem-printed); certificated/DUKES-industrial 15.0%; excluded/DUKES-industrial 14.5%. NOT part of any stack; nothing downstream reads r126-131. S205</t>
        </is>
      </c>
      <c r="B126" s="77" t="n"/>
      <c r="C126" s="77" t="n"/>
      <c r="D126" s="136" t="n"/>
      <c r="E126" s="136" t="n"/>
      <c r="F126" s="136" t="n"/>
      <c r="G126" s="136" t="n"/>
      <c r="H126" s="136" t="n"/>
      <c r="I126" s="136" t="n"/>
      <c r="J126" s="136" t="n"/>
      <c r="K126" s="136" t="n"/>
      <c r="L126" s="136" t="n"/>
      <c r="M126" s="136" t="n"/>
      <c r="N126" s="136" t="n"/>
      <c r="O126" s="136" t="n"/>
      <c r="P126" s="136" t="n"/>
      <c r="Q126" s="136" t="n"/>
      <c r="R126" s="136" t="n"/>
      <c r="S126" s="136" t="n"/>
      <c r="T126" s="136" t="n"/>
    </row>
    <row r="127">
      <c r="A127" s="77" t="inlineStr">
        <is>
          <t>UK</t>
        </is>
      </c>
      <c r="B127" s="77" t="inlineStr">
        <is>
          <t>RO: supply to EII certificate holders, GB (Figure 5.5/4.1 by edition)</t>
        </is>
      </c>
      <c r="C127" s="77" t="n"/>
      <c r="D127" s="136" t="n"/>
      <c r="E127" s="136" t="n"/>
      <c r="F127" s="136" t="n"/>
      <c r="G127" s="136" t="n"/>
      <c r="H127" s="136" t="n"/>
      <c r="I127" s="136" t="n"/>
      <c r="J127" s="136" t="n"/>
      <c r="K127" s="136" t="n"/>
      <c r="L127" s="136" t="n">
        <v>11.550449</v>
      </c>
      <c r="M127" s="136" t="n">
        <v>11.2384365</v>
      </c>
      <c r="N127" s="136" t="n">
        <v>11.297466</v>
      </c>
      <c r="O127" s="136" t="n">
        <v>12.659704</v>
      </c>
      <c r="P127" s="136" t="n">
        <v>11.695259</v>
      </c>
      <c r="Q127" s="136" t="n">
        <v>11.787859</v>
      </c>
      <c r="R127" s="136" t="n">
        <v>12.328678</v>
      </c>
      <c r="S127" s="136" t="n"/>
      <c r="T127" s="136" t="inlineStr">
        <is>
          <t>TWh</t>
        </is>
      </c>
      <c r="U127" s="77" t="inlineStr">
        <is>
          <t>OBS</t>
        </is>
      </c>
    </row>
    <row r="128">
      <c r="A128" s="77" t="inlineStr">
        <is>
          <t>UK</t>
        </is>
      </c>
      <c r="B128" s="77" t="inlineStr">
        <is>
          <t>RO: EII excluded electricity (the exemption actually applied; 85% era to Mar-2024, 100% from Apr-2024)</t>
        </is>
      </c>
      <c r="C128" s="77" t="n"/>
      <c r="D128" s="136" t="n"/>
      <c r="E128" s="136" t="n"/>
      <c r="F128" s="136" t="n"/>
      <c r="G128" s="136" t="n"/>
      <c r="H128" s="136" t="n"/>
      <c r="I128" s="136" t="n"/>
      <c r="J128" s="136" t="n"/>
      <c r="K128" s="136" t="n"/>
      <c r="L128" s="136" t="n">
        <v>9.248106999999999</v>
      </c>
      <c r="M128" s="136" t="n">
        <v>8.966043900000001</v>
      </c>
      <c r="N128" s="136" t="n">
        <v>8.811688</v>
      </c>
      <c r="O128" s="136" t="n">
        <v>10.434863</v>
      </c>
      <c r="P128" s="136" t="n">
        <v>9.674892</v>
      </c>
      <c r="Q128" s="136" t="n">
        <v>9.721225</v>
      </c>
      <c r="R128" s="136" t="n">
        <v>11.983131</v>
      </c>
      <c r="S128" s="136" t="n"/>
      <c r="T128" s="136" t="inlineStr">
        <is>
          <t>TWh</t>
        </is>
      </c>
      <c r="U128" s="77" t="inlineStr">
        <is>
          <t>OBS</t>
        </is>
      </c>
    </row>
    <row r="129">
      <c r="A129" s="77" t="inlineStr">
        <is>
          <t>UK</t>
        </is>
      </c>
      <c r="B129" s="77" t="inlineStr">
        <is>
          <t>RO: total GB licensed supply incl EII supply (the base that funds the exemption)</t>
        </is>
      </c>
      <c r="C129" s="77" t="n"/>
      <c r="D129" s="136" t="n"/>
      <c r="E129" s="136" t="n"/>
      <c r="F129" s="136" t="n"/>
      <c r="G129" s="136" t="n"/>
      <c r="H129" s="136" t="n"/>
      <c r="I129" s="136" t="n"/>
      <c r="J129" s="136" t="n"/>
      <c r="K129" s="136" t="n"/>
      <c r="L129" s="136" t="n">
        <v>278.886293</v>
      </c>
      <c r="M129" s="136" t="n">
        <v>274.922262</v>
      </c>
      <c r="N129" s="136" t="n">
        <v>258.773991</v>
      </c>
      <c r="O129" s="136" t="n">
        <v>267.243112</v>
      </c>
      <c r="P129" s="136" t="n">
        <v>254.95103</v>
      </c>
      <c r="Q129" s="136" t="n">
        <v>251.040593</v>
      </c>
      <c r="R129" s="136" t="n">
        <v>252.580657</v>
      </c>
      <c r="S129" s="136" t="n"/>
      <c r="T129" s="136" t="inlineStr">
        <is>
          <t>TWh</t>
        </is>
      </c>
      <c r="U129" s="77" t="inlineStr">
        <is>
          <t>OBS (2018-19/2019-20 derived: obligated + excluded)</t>
        </is>
      </c>
    </row>
    <row r="130">
      <c r="A130" s="77" t="inlineStr">
        <is>
          <t>UK</t>
        </is>
      </c>
      <c r="B130" s="77" t="inlineStr">
        <is>
          <t>LCCC CfD: actual EII excluded electricity, FY Apr-Mar (settlement basis — runs below RO declaration basis)</t>
        </is>
      </c>
      <c r="C130" s="77" t="n"/>
      <c r="D130" s="136" t="n"/>
      <c r="E130" s="136" t="n"/>
      <c r="F130" s="136" t="n"/>
      <c r="G130" s="136" t="n"/>
      <c r="H130" s="136" t="n"/>
      <c r="I130" s="136" t="n"/>
      <c r="J130" s="136" t="n"/>
      <c r="K130" s="136" t="n">
        <v>2.773</v>
      </c>
      <c r="L130" s="136" t="n">
        <v>8.957000000000001</v>
      </c>
      <c r="M130" s="136" t="n">
        <v>9.031000000000001</v>
      </c>
      <c r="N130" s="136" t="n">
        <v>9.028</v>
      </c>
      <c r="O130" s="136" t="n">
        <v>10.307</v>
      </c>
      <c r="P130" s="136" t="n">
        <v>8.632</v>
      </c>
      <c r="Q130" s="136" t="n">
        <v>8.456</v>
      </c>
      <c r="R130" s="136" t="n">
        <v>10.611</v>
      </c>
      <c r="S130" s="136" t="n">
        <v>12.457</v>
      </c>
      <c r="T130" s="136" t="inlineStr">
        <is>
          <t>TWh</t>
        </is>
      </c>
      <c r="U130" s="77" t="inlineStr">
        <is>
          <t>OBS (own aggregation of daily CSV)</t>
        </is>
      </c>
    </row>
    <row r="131">
      <c r="A131" s="77" t="inlineStr">
        <is>
          <t>UK</t>
        </is>
      </c>
      <c r="B131" s="77" t="inlineStr">
        <is>
          <t>DUKES 5.1.2: UK industrial electricity consumption, calendar year (incl on-site autogeneration)</t>
        </is>
      </c>
      <c r="C131" s="77" t="n"/>
      <c r="D131" s="136" t="n"/>
      <c r="E131" s="136" t="n"/>
      <c r="F131" s="136" t="n"/>
      <c r="G131" s="136" t="n"/>
      <c r="H131" s="136" t="n"/>
      <c r="I131" s="136" t="n"/>
      <c r="J131" s="136" t="n"/>
      <c r="K131" s="136" t="n"/>
      <c r="L131" s="136" t="n">
        <v>92.1229</v>
      </c>
      <c r="M131" s="136" t="n">
        <v>92.5737</v>
      </c>
      <c r="N131" s="136" t="n">
        <v>85.9436</v>
      </c>
      <c r="O131" s="136" t="n">
        <v>88.3322</v>
      </c>
      <c r="P131" s="136" t="n">
        <v>85.8853</v>
      </c>
      <c r="Q131" s="136" t="n">
        <v>84.7332</v>
      </c>
      <c r="R131" s="136" t="n">
        <v>82.36579999999999</v>
      </c>
      <c r="S131" s="136" t="n"/>
      <c r="T131" s="136" t="inlineStr">
        <is>
          <t>TWh</t>
        </is>
      </c>
      <c r="U131" s="77" t="inlineStr">
        <is>
          <t>OBS</t>
        </is>
      </c>
    </row>
    <row r="132">
      <c r="A132" s="77" t="inlineStr">
        <is>
          <t>DIAGNOSTIC — D71/Q98 measured CCL relief. QEP 3.4.2 minus 3.4.1 = the CCL the band ACTUALLY paid (p/kWh), against the statutory main rate. Direct published evidence of CCA + min/met relief coverage in the observed population — the quantity D29 assumed unmeasurable. Diagnostic only; nothing downstream reads r132-133. S209</t>
        </is>
      </c>
      <c r="B132" s="77" t="n"/>
      <c r="C132" s="77" t="n"/>
      <c r="D132" s="136" t="n"/>
      <c r="E132" s="136" t="n"/>
      <c r="F132" s="136" t="n"/>
      <c r="G132" s="136" t="n"/>
      <c r="H132" s="136" t="n"/>
      <c r="I132" s="136" t="n"/>
      <c r="J132" s="136" t="n"/>
      <c r="K132" s="136" t="n"/>
      <c r="L132" s="136" t="n"/>
      <c r="M132" s="136" t="n"/>
      <c r="N132" s="136" t="n"/>
      <c r="O132" s="136" t="n"/>
      <c r="P132" s="136" t="n"/>
      <c r="Q132" s="136" t="n"/>
      <c r="R132" s="136" t="n"/>
      <c r="S132" s="136" t="n"/>
      <c r="T132" s="136" t="n"/>
    </row>
    <row r="133">
      <c r="A133" s="77" t="inlineStr">
        <is>
          <t>UK</t>
        </is>
      </c>
      <c r="B133" s="77" t="inlineStr">
        <is>
          <t>CCL actually paid by the QEP Extra Large band (3.4.2 − 3.4.1), p/kWh</t>
        </is>
      </c>
      <c r="C133" s="77" t="n"/>
      <c r="D133" s="136" t="n">
        <v>0.091086</v>
      </c>
      <c r="E133" s="136" t="n">
        <v>0.109804</v>
      </c>
      <c r="F133" s="136" t="n">
        <v>0.140842</v>
      </c>
      <c r="G133" s="136" t="n">
        <v>0.120268</v>
      </c>
      <c r="H133" s="136" t="n">
        <v>0.134903</v>
      </c>
      <c r="I133" s="136" t="n">
        <v>0.187393</v>
      </c>
      <c r="J133" s="136" t="n">
        <v>0.285885</v>
      </c>
      <c r="K133" s="136" t="n">
        <v>0.254543</v>
      </c>
      <c r="L133" s="136" t="n">
        <v>0.30161</v>
      </c>
      <c r="M133" s="136" t="n">
        <v>0.624738</v>
      </c>
      <c r="N133" s="136" t="n">
        <v>0.653402</v>
      </c>
      <c r="O133" s="136" t="n">
        <v>0.704941</v>
      </c>
      <c r="P133" s="136" t="n">
        <v>0.677804</v>
      </c>
      <c r="Q133" s="136" t="n">
        <v>0.399626</v>
      </c>
      <c r="R133" s="136" t="n">
        <v>0.448482</v>
      </c>
      <c r="S133" s="136" t="n">
        <v>0.452313</v>
      </c>
      <c r="T133" s="136" t="inlineStr">
        <is>
          <t>p/kWh</t>
        </is>
      </c>
      <c r="U133" s="77" t="inlineStr">
        <is>
          <t>OBS (derived, both series published)</t>
        </is>
      </c>
    </row>
    <row r="134">
      <c r="A134" s="77" t="inlineStr">
        <is>
          <t>UK</t>
        </is>
      </c>
      <c r="B134" s="77" t="inlineStr">
        <is>
          <t>… as % of the statutory main rate (100% = no relief anywhere in the band)</t>
        </is>
      </c>
      <c r="C134" s="77" t="n"/>
      <c r="D134" s="136" t="n">
        <v>19.4</v>
      </c>
      <c r="E134" s="136" t="n">
        <v>22.6</v>
      </c>
      <c r="F134" s="136" t="n">
        <v>27.7</v>
      </c>
      <c r="G134" s="136" t="n">
        <v>23</v>
      </c>
      <c r="H134" s="136" t="n">
        <v>24.9</v>
      </c>
      <c r="I134" s="136" t="n">
        <v>33.8</v>
      </c>
      <c r="J134" s="136" t="n">
        <v>51.1</v>
      </c>
      <c r="K134" s="136" t="n">
        <v>44.8</v>
      </c>
      <c r="L134" s="136" t="n">
        <v>51.7</v>
      </c>
      <c r="M134" s="136" t="n">
        <v>73.8</v>
      </c>
      <c r="N134" s="136" t="n">
        <v>80.59999999999999</v>
      </c>
      <c r="O134" s="136" t="n">
        <v>91</v>
      </c>
      <c r="P134" s="136" t="n">
        <v>87.5</v>
      </c>
      <c r="Q134" s="136" t="n">
        <v>51.6</v>
      </c>
      <c r="R134" s="136" t="n">
        <v>57.9</v>
      </c>
      <c r="S134" s="136" t="n">
        <v>58.4</v>
      </c>
      <c r="T134" s="136" t="inlineStr">
        <is>
          <t>%</t>
        </is>
      </c>
      <c r="U134" s="77" t="inlineStr">
        <is>
          <t>OBS (derived)</t>
        </is>
      </c>
    </row>
    <row r="135">
      <c r="A135" s="77" t="inlineStr">
        <is>
          <t>UK</t>
        </is>
      </c>
      <c r="B135" s="77" t="inlineStr">
        <is>
          <t>CCL actually paid by the QEP Large band (3.4.2 − 3.4.1), p/kWh — the medium archetype’s overlay band</t>
        </is>
      </c>
      <c r="C135" s="77" t="n"/>
      <c r="D135" s="136" t="n">
        <v>0.201553</v>
      </c>
      <c r="E135" s="136" t="n">
        <v>0.237634</v>
      </c>
      <c r="F135" s="136" t="n">
        <v>0.264628</v>
      </c>
      <c r="G135" s="136" t="n">
        <v>0.20293</v>
      </c>
      <c r="H135" s="136" t="n">
        <v>0.191628</v>
      </c>
      <c r="I135" s="136" t="n">
        <v>0.209289</v>
      </c>
      <c r="J135" s="136" t="n">
        <v>0.386074</v>
      </c>
      <c r="K135" s="136" t="n">
        <v>0.375763</v>
      </c>
      <c r="L135" s="136" t="n">
        <v>0.38105</v>
      </c>
      <c r="M135" s="136" t="n">
        <v>0.589843</v>
      </c>
      <c r="N135" s="136" t="n">
        <v>0.670515</v>
      </c>
      <c r="O135" s="136" t="n">
        <v>0.699241</v>
      </c>
      <c r="P135" s="136" t="n">
        <v>0.910087</v>
      </c>
      <c r="Q135" s="136" t="n">
        <v>0.5455719999999999</v>
      </c>
      <c r="R135" s="136" t="n">
        <v>0.5475640000000001</v>
      </c>
      <c r="S135" s="136" t="n">
        <v>0.552749</v>
      </c>
      <c r="T135" s="136" t="inlineStr">
        <is>
          <t>p/kWh</t>
        </is>
      </c>
      <c r="U135" s="77" t="inlineStr">
        <is>
          <t>OBS (derived, both series published)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P156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77" min="1" max="1"/>
    <col width="8" customWidth="1" style="77" min="2" max="2"/>
    <col width="12" customWidth="1" style="77" min="3" max="3"/>
    <col width="14" customWidth="1" style="77" min="4" max="4"/>
    <col width="30" customWidth="1" style="77" min="5" max="5"/>
    <col width="40" customWidth="1" style="77" min="6" max="6"/>
    <col width="24" customWidth="1" style="77" min="7" max="8"/>
    <col width="16" customWidth="1" style="77" min="9" max="9"/>
    <col width="30" customWidth="1" style="77" min="10" max="10"/>
    <col width="14" customWidth="1" style="77" min="11" max="12"/>
    <col width="12" customWidth="1" style="77" min="13" max="13"/>
  </cols>
  <sheetData>
    <row r="1" ht="51.75" customHeight="1" s="78">
      <c r="A1" s="97" t="inlineStr">
        <is>
          <t>country</t>
        </is>
      </c>
      <c r="B1" s="97" t="inlineStr">
        <is>
          <t>year</t>
        </is>
      </c>
      <c r="C1" s="97" t="inlineStr">
        <is>
          <t>archetype</t>
        </is>
      </c>
      <c r="D1" s="97" t="inlineStr">
        <is>
          <t>exemption_case (E1/E2/observed)</t>
        </is>
      </c>
      <c r="E1" s="97" t="inlineStr">
        <is>
          <t>source_line_item</t>
        </is>
      </c>
      <c r="F1" s="97" t="inlineStr">
        <is>
          <t>economic_function (1 Commodity / 2 Gen capital via subsidy-capacity / 3 Network / 4 System services / 5 Taxes-levies / 6 Supply margin)</t>
        </is>
      </c>
      <c r="G1" s="97" t="inlineStr">
        <is>
          <t>institutional_bucket (wholesale/network/levies&amp;taxes/supply)</t>
        </is>
      </c>
      <c r="H1" s="97" t="inlineStr">
        <is>
          <t>cost_incidence (i own bill / ii other users / iii taxpayer / iv unfunded)</t>
        </is>
      </c>
      <c r="I1" s="97" t="inlineStr">
        <is>
          <t>USD_per_MWh_real2025</t>
        </is>
      </c>
      <c r="J1" s="97" t="inlineStr">
        <is>
          <t>source_ref</t>
        </is>
      </c>
      <c r="K1" s="97" t="inlineStr">
        <is>
          <t>table_page</t>
        </is>
      </c>
      <c r="L1" s="97" t="inlineStr">
        <is>
          <t>retrieval_date</t>
        </is>
      </c>
      <c r="M1" s="97" t="inlineStr">
        <is>
          <t>estimated_YN</t>
        </is>
      </c>
      <c r="N1" s="77" t="inlineStr">
        <is>
          <t>nominal_local_per_MWh</t>
        </is>
      </c>
      <c r="O1" s="77" t="inlineStr">
        <is>
          <t>local_unit</t>
        </is>
      </c>
      <c r="P1" s="77" t="inlineStr">
        <is>
          <t>notes</t>
        </is>
      </c>
    </row>
    <row r="2" ht="15" customHeight="1" s="78">
      <c r="A2" s="94" t="inlineStr">
        <is>
          <t>Populated at stage 6 (2026-07-16). Rows 3-1567. Panel 2010-2025 (2026 excluded, D39/D6). MEMO/HATCH rows are excluded from bucket sums (function string prefix).</t>
        </is>
      </c>
    </row>
    <row r="3" ht="15" customHeight="1" s="78">
      <c r="A3" s="77" t="inlineStr">
        <is>
          <t>UK</t>
        </is>
      </c>
      <c r="B3" s="77" t="n">
        <v>2010</v>
      </c>
      <c r="C3" s="77" t="inlineStr">
        <is>
          <t>large</t>
        </is>
      </c>
      <c r="D3" s="77" t="inlineStr">
        <is>
          <t>E1</t>
        </is>
      </c>
      <c r="E3" s="77" t="inlineStr">
        <is>
          <t>Wholesale (rolling year-ahead baseload; DA proxy &lt;=2021)</t>
        </is>
      </c>
      <c r="F3" s="77" t="inlineStr">
        <is>
          <t>1 Commodity</t>
        </is>
      </c>
      <c r="G3" s="77" t="inlineStr">
        <is>
          <t>wholesale market</t>
        </is>
      </c>
      <c r="H3" s="77" t="inlineStr">
        <is>
          <t>i</t>
        </is>
      </c>
      <c r="I3" s="77">
        <f>IF(ISNUMBER(N3),N3*fx_deflator!$I$5*fx_deflator!$M$5,"")</f>
        <v/>
      </c>
      <c r="J3" s="77" t="inlineStr">
        <is>
          <t>Ofgem data portal — DA baseload monthly avg (proxy &lt;=2021, D22); Forward Delivery Contracts (D21)</t>
        </is>
      </c>
      <c r="K3" s="77" t="inlineStr">
        <is>
          <t>stage4_uk r7-9</t>
        </is>
      </c>
      <c r="L3" s="77" t="inlineStr">
        <is>
          <t>2026-07-15</t>
        </is>
      </c>
      <c r="M3" s="77" t="inlineStr">
        <is>
          <t>Y</t>
        </is>
      </c>
      <c r="N3" s="136">
        <f>IF(ISNUMBER(timeseries!D6),timeseries!D6,"")</f>
        <v/>
      </c>
      <c r="O3" s="77" t="inlineStr">
        <is>
          <t>GBP/MWh nominal</t>
        </is>
      </c>
      <c r="P3" s="77" t="inlineStr">
        <is>
          <t>identical E1/E2; embedded carbon memo inside this item</t>
        </is>
      </c>
    </row>
    <row r="4" ht="15" customHeight="1" s="78">
      <c r="A4" s="77" t="inlineStr">
        <is>
          <t>UK</t>
        </is>
      </c>
      <c r="B4" s="77" t="n">
        <v>2010</v>
      </c>
      <c r="C4" s="77" t="inlineStr">
        <is>
          <t>large</t>
        </is>
      </c>
      <c r="D4" s="77" t="inlineStr">
        <is>
          <t>E1</t>
        </is>
      </c>
      <c r="E4" s="77" t="inlineStr">
        <is>
          <t>TNUoS demand (zone 5; TCR banded residual from 2023)</t>
        </is>
      </c>
      <c r="F4" s="77" t="inlineStr">
        <is>
          <t>3 Network</t>
        </is>
      </c>
      <c r="G4" s="77" t="inlineStr">
        <is>
          <t>transmission network charge</t>
        </is>
      </c>
      <c r="H4" s="77" t="inlineStr">
        <is>
          <t>i</t>
        </is>
      </c>
      <c r="I4" s="77">
        <f>IF(ISNUMBER(N4),N4*fx_deflator!$I$5*fx_deflator!$M$5,"")</f>
        <v/>
      </c>
      <c r="J4" s="77" t="inlineStr">
        <is>
          <t>NESO TNUoS tariff documents (compendium doc 50736; Final TNUoS 2023/24-2026/27 Table 10)</t>
        </is>
      </c>
      <c r="K4" s="77" t="inlineStr">
        <is>
          <t>stage4_uk r25-27</t>
        </is>
      </c>
      <c r="L4" s="77" t="inlineStr">
        <is>
          <t>2026-07-15</t>
        </is>
      </c>
      <c r="M4" s="77" t="inlineStr">
        <is>
          <t>Y</t>
        </is>
      </c>
      <c r="N4" s="136">
        <f>IF(ISNUMBER(timeseries!D7),timeseries!D7,"")</f>
        <v/>
      </c>
      <c r="O4" s="77" t="inlineStr">
        <is>
          <t>GBP/MWh nominal</t>
        </is>
      </c>
    </row>
    <row r="5" ht="15" customHeight="1" s="78">
      <c r="A5" s="77" t="inlineStr">
        <is>
          <t>UK</t>
        </is>
      </c>
      <c r="B5" s="77" t="n">
        <v>2010</v>
      </c>
      <c r="C5" s="77" t="inlineStr">
        <is>
          <t>large</t>
        </is>
      </c>
      <c r="D5" s="77" t="inlineStr">
        <is>
          <t>E1</t>
        </is>
      </c>
      <c r="E5" s="77" t="inlineStr">
        <is>
          <t>BSUoS (demand-only from 04/2023)</t>
        </is>
      </c>
      <c r="F5" s="77" t="inlineStr">
        <is>
          <t>4 System services &amp; balancing</t>
        </is>
      </c>
      <c r="G5" s="77" t="inlineStr">
        <is>
          <t>balancing charge</t>
        </is>
      </c>
      <c r="H5" s="77" t="inlineStr">
        <is>
          <t>i</t>
        </is>
      </c>
      <c r="I5" s="77">
        <f>IF(ISNUMBER(N5),N5*fx_deflator!$I$5*fx_deflator!$M$5,"")</f>
        <v/>
      </c>
      <c r="J5" s="77" t="inlineStr">
        <is>
          <t>NESO bsuos-fixed-tariffs + HH RF settlement files (own annual avg 2010-22)</t>
        </is>
      </c>
      <c r="K5" s="77" t="inlineStr">
        <is>
          <t>stage4_uk r28-30</t>
        </is>
      </c>
      <c r="L5" s="77" t="inlineStr">
        <is>
          <t>2026-07-15</t>
        </is>
      </c>
      <c r="M5" s="77" t="inlineStr">
        <is>
          <t>Y</t>
        </is>
      </c>
      <c r="N5" s="77">
        <f>IF(ISNUMBER(timeseries!D8),timeseries!D8,"")</f>
        <v/>
      </c>
      <c r="O5" s="77" t="inlineStr">
        <is>
          <t>GBP/MWh nominal</t>
        </is>
      </c>
    </row>
    <row r="6" ht="15" customHeight="1" s="78">
      <c r="A6" s="77" t="inlineStr">
        <is>
          <t>UK</t>
        </is>
      </c>
      <c r="B6" s="77" t="n">
        <v>2010</v>
      </c>
      <c r="C6" s="77" t="inlineStr">
        <is>
          <t>large</t>
        </is>
      </c>
      <c r="D6" s="77" t="inlineStr">
        <is>
          <t>E1</t>
        </is>
      </c>
      <c r="E6" s="77" t="inlineStr">
        <is>
          <t>AAHEDC</t>
        </is>
      </c>
      <c r="F6" s="77" t="inlineStr">
        <is>
          <t>3 Network</t>
        </is>
      </c>
      <c r="G6" s="77" t="inlineStr">
        <is>
          <t>network levy (hydro benefit)</t>
        </is>
      </c>
      <c r="H6" s="77" t="inlineStr">
        <is>
          <t>ii (pays cross-subsidy to N Scotland consumers)</t>
        </is>
      </c>
      <c r="I6" s="77">
        <f>IF(ISNUMBER(N6),N6*fx_deflator!$I$5*fx_deflator!$M$5,"")</f>
        <v/>
      </c>
      <c r="J6" s="77" t="inlineStr">
        <is>
          <t>NG/ESO AAHEDC charging statements &amp; final tariff letters</t>
        </is>
      </c>
      <c r="K6" s="77" t="inlineStr">
        <is>
          <t>stage4_uk r31</t>
        </is>
      </c>
      <c r="L6" s="77" t="inlineStr">
        <is>
          <t>2026-07-15</t>
        </is>
      </c>
      <c r="M6" s="77" t="inlineStr">
        <is>
          <t>N</t>
        </is>
      </c>
      <c r="N6" s="77">
        <f>IF(ISNUMBER(timeseries!D9),timeseries!D9,"")</f>
        <v/>
      </c>
      <c r="O6" s="77" t="inlineStr">
        <is>
          <t>GBP/MWh nominal</t>
        </is>
      </c>
      <c r="P6" s="77" t="inlineStr">
        <is>
          <t>not in NCC base (conservative, unverified)</t>
        </is>
      </c>
    </row>
    <row r="7" ht="15" customHeight="1" s="78">
      <c r="A7" s="77" t="inlineStr">
        <is>
          <t>UK</t>
        </is>
      </c>
      <c r="B7" s="77" t="n">
        <v>2010</v>
      </c>
      <c r="C7" s="77" t="inlineStr">
        <is>
          <t>large</t>
        </is>
      </c>
      <c r="D7" s="77" t="inlineStr">
        <is>
          <t>E1</t>
        </is>
      </c>
      <c r="E7" s="77" t="inlineStr">
        <is>
          <t>RO (buy-out x obligation)</t>
        </is>
      </c>
      <c r="F7" s="77" t="inlineStr">
        <is>
          <t>2 Gen capital recovery</t>
        </is>
      </c>
      <c r="G7" s="77" t="inlineStr">
        <is>
          <t>renewables levy</t>
        </is>
      </c>
      <c r="H7" s="77" t="inlineStr">
        <is>
          <t>i</t>
        </is>
      </c>
      <c r="I7" s="77">
        <f>IF(ISNUMBER(N7),N7*fx_deflator!$I$5*fx_deflator!$M$5,"")</f>
        <v/>
      </c>
      <c r="J7" s="77" t="inlineStr">
        <is>
          <t>Ofgem RO guidance OFG1164 Table 1.1 (buy-out x obligation)</t>
        </is>
      </c>
      <c r="K7" s="77" t="inlineStr">
        <is>
          <t>stage4_uk r12-14</t>
        </is>
      </c>
      <c r="L7" s="77" t="inlineStr">
        <is>
          <t>2026-07-15</t>
        </is>
      </c>
      <c r="M7" s="77" t="inlineStr">
        <is>
          <t>Y</t>
        </is>
      </c>
      <c r="N7" s="136">
        <f>IF(ISNUMBER(timeseries!D10),timeseries!D10,"")</f>
        <v/>
      </c>
      <c r="O7" s="77" t="inlineStr">
        <is>
          <t>GBP/MWh nominal</t>
        </is>
      </c>
    </row>
    <row r="8" ht="15" customHeight="1" s="78">
      <c r="A8" s="77" t="inlineStr">
        <is>
          <t>UK</t>
        </is>
      </c>
      <c r="B8" s="77" t="n">
        <v>2010</v>
      </c>
      <c r="C8" s="77" t="inlineStr">
        <is>
          <t>large</t>
        </is>
      </c>
      <c r="D8" s="77" t="inlineStr">
        <is>
          <t>E1</t>
        </is>
      </c>
      <c r="E8" s="77" t="inlineStr">
        <is>
          <t>FiT levelisation</t>
        </is>
      </c>
      <c r="F8" s="77" t="inlineStr">
        <is>
          <t>2 Gen capital recovery</t>
        </is>
      </c>
      <c r="G8" s="77" t="inlineStr">
        <is>
          <t>renewables levy</t>
        </is>
      </c>
      <c r="H8" s="77" t="inlineStr">
        <is>
          <t>i</t>
        </is>
      </c>
      <c r="I8" s="77">
        <f>IF(ISNUMBER(N8),N8*fx_deflator!$I$5*fx_deflator!$M$5,"")</f>
        <v/>
      </c>
      <c r="J8" s="77" t="inlineStr">
        <is>
          <t>Ofgem FIT Annual Reports SY1-SY15; D27 for 2010-14</t>
        </is>
      </c>
      <c r="K8" s="77" t="inlineStr">
        <is>
          <t>stage4_uk r20</t>
        </is>
      </c>
      <c r="L8" s="77" t="inlineStr">
        <is>
          <t>2026-07-15</t>
        </is>
      </c>
      <c r="M8" s="77" t="inlineStr">
        <is>
          <t>Y</t>
        </is>
      </c>
      <c r="N8" s="77">
        <f>IF(ISNUMBER(timeseries!D12),timeseries!D12,"")</f>
        <v/>
      </c>
      <c r="O8" s="77" t="inlineStr">
        <is>
          <t>GBP/MWh nominal</t>
        </is>
      </c>
      <c r="P8" s="77" t="inlineStr">
        <is>
          <t>2025 unpublished (Q32) — row absent, gap stated</t>
        </is>
      </c>
    </row>
    <row r="9" ht="15" customHeight="1" s="78">
      <c r="A9" s="77" t="inlineStr">
        <is>
          <t>UK</t>
        </is>
      </c>
      <c r="B9" s="77" t="n">
        <v>2010</v>
      </c>
      <c r="C9" s="77" t="inlineStr">
        <is>
          <t>large</t>
        </is>
      </c>
      <c r="D9" s="77" t="inlineStr">
        <is>
          <t>E1</t>
        </is>
      </c>
      <c r="E9" s="77" t="inlineStr">
        <is>
          <t>CCL (main rate; CCA discount not modelled)</t>
        </is>
      </c>
      <c r="F9" s="77" t="inlineStr">
        <is>
          <t>5 General taxation &amp; levies</t>
        </is>
      </c>
      <c r="G9" s="77" t="inlineStr">
        <is>
          <t>climate levy (tax)</t>
        </is>
      </c>
      <c r="H9" s="77" t="inlineStr">
        <is>
          <t>i</t>
        </is>
      </c>
      <c r="I9" s="77">
        <f>IF(ISNUMBER(N9),N9*fx_deflator!$I$5*fx_deflator!$M$5,"")</f>
        <v/>
      </c>
      <c r="J9" s="77" t="inlineStr">
        <is>
          <t>HMRC Environmental Taxes Bulletin, historical rates Table 1</t>
        </is>
      </c>
      <c r="K9" s="77" t="inlineStr">
        <is>
          <t>stage4_uk r22</t>
        </is>
      </c>
      <c r="L9" s="77" t="inlineStr">
        <is>
          <t>2026-07-15</t>
        </is>
      </c>
      <c r="M9" s="77" t="inlineStr">
        <is>
          <t>N</t>
        </is>
      </c>
      <c r="N9" s="136">
        <f>IF(ISNUMBER(timeseries!D14),timeseries!D14,"")</f>
        <v/>
      </c>
      <c r="O9" s="77" t="inlineStr">
        <is>
          <t>GBP/MWh nominal</t>
        </is>
      </c>
    </row>
    <row r="10" ht="15" customHeight="1" s="78">
      <c r="A10" s="77" t="inlineStr">
        <is>
          <t>UK</t>
        </is>
      </c>
      <c r="B10" s="77" t="n">
        <v>2011</v>
      </c>
      <c r="C10" s="77" t="inlineStr">
        <is>
          <t>large</t>
        </is>
      </c>
      <c r="D10" s="77" t="inlineStr">
        <is>
          <t>E1</t>
        </is>
      </c>
      <c r="E10" s="77" t="inlineStr">
        <is>
          <t>Wholesale (rolling year-ahead baseload; DA proxy &lt;=2021)</t>
        </is>
      </c>
      <c r="F10" s="77" t="inlineStr">
        <is>
          <t>1 Commodity</t>
        </is>
      </c>
      <c r="G10" s="77" t="inlineStr">
        <is>
          <t>wholesale market</t>
        </is>
      </c>
      <c r="H10" s="77" t="inlineStr">
        <is>
          <t>i</t>
        </is>
      </c>
      <c r="I10" s="77">
        <f>IF(ISNUMBER(N10),N10*fx_deflator!$I$6*fx_deflator!$M$6,"")</f>
        <v/>
      </c>
      <c r="J10" s="77" t="inlineStr">
        <is>
          <t>Ofgem data portal — DA baseload monthly avg (proxy &lt;=2021, D22); Forward Delivery Contracts (D21)</t>
        </is>
      </c>
      <c r="K10" s="77" t="inlineStr">
        <is>
          <t>stage4_uk r7-9</t>
        </is>
      </c>
      <c r="L10" s="77" t="inlineStr">
        <is>
          <t>2026-07-15</t>
        </is>
      </c>
      <c r="M10" s="77" t="inlineStr">
        <is>
          <t>Y</t>
        </is>
      </c>
      <c r="N10" s="136">
        <f>IF(ISNUMBER(timeseries!E6),timeseries!E6,"")</f>
        <v/>
      </c>
      <c r="O10" s="77" t="inlineStr">
        <is>
          <t>GBP/MWh nominal</t>
        </is>
      </c>
      <c r="P10" s="77" t="inlineStr">
        <is>
          <t>identical E1/E2; embedded carbon memo inside this item</t>
        </is>
      </c>
    </row>
    <row r="11" ht="15" customHeight="1" s="78">
      <c r="A11" s="77" t="inlineStr">
        <is>
          <t>UK</t>
        </is>
      </c>
      <c r="B11" s="77" t="n">
        <v>2011</v>
      </c>
      <c r="C11" s="77" t="inlineStr">
        <is>
          <t>large</t>
        </is>
      </c>
      <c r="D11" s="77" t="inlineStr">
        <is>
          <t>E1</t>
        </is>
      </c>
      <c r="E11" s="77" t="inlineStr">
        <is>
          <t>TNUoS demand (zone 5; TCR banded residual from 2023)</t>
        </is>
      </c>
      <c r="F11" s="77" t="inlineStr">
        <is>
          <t>3 Network</t>
        </is>
      </c>
      <c r="G11" s="77" t="inlineStr">
        <is>
          <t>transmission network charge</t>
        </is>
      </c>
      <c r="H11" s="77" t="inlineStr">
        <is>
          <t>i</t>
        </is>
      </c>
      <c r="I11" s="77">
        <f>IF(ISNUMBER(N11),N11*fx_deflator!$I$6*fx_deflator!$M$6,"")</f>
        <v/>
      </c>
      <c r="J11" s="77" t="inlineStr">
        <is>
          <t>NESO TNUoS tariff documents (compendium doc 50736; Final TNUoS 2023/24-2026/27 Table 10)</t>
        </is>
      </c>
      <c r="K11" s="77" t="inlineStr">
        <is>
          <t>stage4_uk r25-27</t>
        </is>
      </c>
      <c r="L11" s="77" t="inlineStr">
        <is>
          <t>2026-07-15</t>
        </is>
      </c>
      <c r="M11" s="77" t="inlineStr">
        <is>
          <t>Y</t>
        </is>
      </c>
      <c r="N11" s="136">
        <f>IF(ISNUMBER(timeseries!E7),timeseries!E7,"")</f>
        <v/>
      </c>
      <c r="O11" s="77" t="inlineStr">
        <is>
          <t>GBP/MWh nominal</t>
        </is>
      </c>
    </row>
    <row r="12" ht="15" customHeight="1" s="78">
      <c r="A12" s="77" t="inlineStr">
        <is>
          <t>UK</t>
        </is>
      </c>
      <c r="B12" s="77" t="n">
        <v>2011</v>
      </c>
      <c r="C12" s="77" t="inlineStr">
        <is>
          <t>large</t>
        </is>
      </c>
      <c r="D12" s="77" t="inlineStr">
        <is>
          <t>E1</t>
        </is>
      </c>
      <c r="E12" s="77" t="inlineStr">
        <is>
          <t>BSUoS (demand-only from 04/2023)</t>
        </is>
      </c>
      <c r="F12" s="77" t="inlineStr">
        <is>
          <t>4 System services &amp; balancing</t>
        </is>
      </c>
      <c r="G12" s="77" t="inlineStr">
        <is>
          <t>balancing charge</t>
        </is>
      </c>
      <c r="H12" s="77" t="inlineStr">
        <is>
          <t>i</t>
        </is>
      </c>
      <c r="I12" s="77">
        <f>IF(ISNUMBER(N12),N12*fx_deflator!$I$6*fx_deflator!$M$6,"")</f>
        <v/>
      </c>
      <c r="J12" s="77" t="inlineStr">
        <is>
          <t>NESO bsuos-fixed-tariffs + HH RF settlement files (own annual avg 2010-22)</t>
        </is>
      </c>
      <c r="K12" s="77" t="inlineStr">
        <is>
          <t>stage4_uk r28-30</t>
        </is>
      </c>
      <c r="L12" s="77" t="inlineStr">
        <is>
          <t>2026-07-15</t>
        </is>
      </c>
      <c r="M12" s="77" t="inlineStr">
        <is>
          <t>Y</t>
        </is>
      </c>
      <c r="N12" s="77">
        <f>IF(ISNUMBER(timeseries!E8),timeseries!E8,"")</f>
        <v/>
      </c>
      <c r="O12" s="77" t="inlineStr">
        <is>
          <t>GBP/MWh nominal</t>
        </is>
      </c>
    </row>
    <row r="13" ht="15" customHeight="1" s="78">
      <c r="A13" s="77" t="inlineStr">
        <is>
          <t>UK</t>
        </is>
      </c>
      <c r="B13" s="77" t="n">
        <v>2011</v>
      </c>
      <c r="C13" s="77" t="inlineStr">
        <is>
          <t>large</t>
        </is>
      </c>
      <c r="D13" s="77" t="inlineStr">
        <is>
          <t>E1</t>
        </is>
      </c>
      <c r="E13" s="77" t="inlineStr">
        <is>
          <t>AAHEDC</t>
        </is>
      </c>
      <c r="F13" s="77" t="inlineStr">
        <is>
          <t>3 Network</t>
        </is>
      </c>
      <c r="G13" s="77" t="inlineStr">
        <is>
          <t>network levy (hydro benefit)</t>
        </is>
      </c>
      <c r="H13" s="77" t="inlineStr">
        <is>
          <t>ii (pays cross-subsidy to N Scotland consumers)</t>
        </is>
      </c>
      <c r="I13" s="77">
        <f>IF(ISNUMBER(N13),N13*fx_deflator!$I$6*fx_deflator!$M$6,"")</f>
        <v/>
      </c>
      <c r="J13" s="77" t="inlineStr">
        <is>
          <t>NG/ESO AAHEDC charging statements &amp; final tariff letters</t>
        </is>
      </c>
      <c r="K13" s="77" t="inlineStr">
        <is>
          <t>stage4_uk r31</t>
        </is>
      </c>
      <c r="L13" s="77" t="inlineStr">
        <is>
          <t>2026-07-15</t>
        </is>
      </c>
      <c r="M13" s="77" t="inlineStr">
        <is>
          <t>N</t>
        </is>
      </c>
      <c r="N13" s="77">
        <f>IF(ISNUMBER(timeseries!E9),timeseries!E9,"")</f>
        <v/>
      </c>
      <c r="O13" s="77" t="inlineStr">
        <is>
          <t>GBP/MWh nominal</t>
        </is>
      </c>
      <c r="P13" s="77" t="inlineStr">
        <is>
          <t>not in NCC base (conservative, unverified)</t>
        </is>
      </c>
    </row>
    <row r="14" ht="15" customHeight="1" s="78">
      <c r="A14" s="77" t="inlineStr">
        <is>
          <t>UK</t>
        </is>
      </c>
      <c r="B14" s="77" t="n">
        <v>2011</v>
      </c>
      <c r="C14" s="77" t="inlineStr">
        <is>
          <t>large</t>
        </is>
      </c>
      <c r="D14" s="77" t="inlineStr">
        <is>
          <t>E1</t>
        </is>
      </c>
      <c r="E14" s="77" t="inlineStr">
        <is>
          <t>RO (buy-out x obligation)</t>
        </is>
      </c>
      <c r="F14" s="77" t="inlineStr">
        <is>
          <t>2 Gen capital recovery</t>
        </is>
      </c>
      <c r="G14" s="77" t="inlineStr">
        <is>
          <t>renewables levy</t>
        </is>
      </c>
      <c r="H14" s="77" t="inlineStr">
        <is>
          <t>i</t>
        </is>
      </c>
      <c r="I14" s="77">
        <f>IF(ISNUMBER(N14),N14*fx_deflator!$I$6*fx_deflator!$M$6,"")</f>
        <v/>
      </c>
      <c r="J14" s="77" t="inlineStr">
        <is>
          <t>Ofgem RO guidance OFG1164 Table 1.1 (buy-out x obligation)</t>
        </is>
      </c>
      <c r="K14" s="77" t="inlineStr">
        <is>
          <t>stage4_uk r12-14</t>
        </is>
      </c>
      <c r="L14" s="77" t="inlineStr">
        <is>
          <t>2026-07-15</t>
        </is>
      </c>
      <c r="M14" s="77" t="inlineStr">
        <is>
          <t>Y</t>
        </is>
      </c>
      <c r="N14" s="136">
        <f>IF(ISNUMBER(timeseries!E10),timeseries!E10,"")</f>
        <v/>
      </c>
      <c r="O14" s="77" t="inlineStr">
        <is>
          <t>GBP/MWh nominal</t>
        </is>
      </c>
    </row>
    <row r="15" ht="15" customHeight="1" s="78">
      <c r="A15" s="77" t="inlineStr">
        <is>
          <t>UK</t>
        </is>
      </c>
      <c r="B15" s="77" t="n">
        <v>2011</v>
      </c>
      <c r="C15" s="77" t="inlineStr">
        <is>
          <t>large</t>
        </is>
      </c>
      <c r="D15" s="77" t="inlineStr">
        <is>
          <t>E1</t>
        </is>
      </c>
      <c r="E15" s="77" t="inlineStr">
        <is>
          <t>FiT levelisation</t>
        </is>
      </c>
      <c r="F15" s="77" t="inlineStr">
        <is>
          <t>2 Gen capital recovery</t>
        </is>
      </c>
      <c r="G15" s="77" t="inlineStr">
        <is>
          <t>renewables levy</t>
        </is>
      </c>
      <c r="H15" s="77" t="inlineStr">
        <is>
          <t>i</t>
        </is>
      </c>
      <c r="I15" s="77">
        <f>IF(ISNUMBER(N15),N15*fx_deflator!$I$6*fx_deflator!$M$6,"")</f>
        <v/>
      </c>
      <c r="J15" s="77" t="inlineStr">
        <is>
          <t>Ofgem FIT Annual Reports SY1-SY15; D27 for 2010-14</t>
        </is>
      </c>
      <c r="K15" s="77" t="inlineStr">
        <is>
          <t>stage4_uk r20</t>
        </is>
      </c>
      <c r="L15" s="77" t="inlineStr">
        <is>
          <t>2026-07-15</t>
        </is>
      </c>
      <c r="M15" s="77" t="inlineStr">
        <is>
          <t>Y</t>
        </is>
      </c>
      <c r="N15" s="77">
        <f>IF(ISNUMBER(timeseries!E12),timeseries!E12,"")</f>
        <v/>
      </c>
      <c r="O15" s="77" t="inlineStr">
        <is>
          <t>GBP/MWh nominal</t>
        </is>
      </c>
      <c r="P15" s="77" t="inlineStr">
        <is>
          <t>2025 unpublished (Q32) — row absent, gap stated</t>
        </is>
      </c>
    </row>
    <row r="16" ht="15" customHeight="1" s="78">
      <c r="A16" s="77" t="inlineStr">
        <is>
          <t>UK</t>
        </is>
      </c>
      <c r="B16" s="77" t="n">
        <v>2011</v>
      </c>
      <c r="C16" s="77" t="inlineStr">
        <is>
          <t>large</t>
        </is>
      </c>
      <c r="D16" s="77" t="inlineStr">
        <is>
          <t>E1</t>
        </is>
      </c>
      <c r="E16" s="77" t="inlineStr">
        <is>
          <t>CCL (main rate; CCA discount not modelled)</t>
        </is>
      </c>
      <c r="F16" s="77" t="inlineStr">
        <is>
          <t>5 General taxation &amp; levies</t>
        </is>
      </c>
      <c r="G16" s="77" t="inlineStr">
        <is>
          <t>climate levy (tax)</t>
        </is>
      </c>
      <c r="H16" s="77" t="inlineStr">
        <is>
          <t>i</t>
        </is>
      </c>
      <c r="I16" s="77">
        <f>IF(ISNUMBER(N16),N16*fx_deflator!$I$6*fx_deflator!$M$6,"")</f>
        <v/>
      </c>
      <c r="J16" s="77" t="inlineStr">
        <is>
          <t>HMRC Environmental Taxes Bulletin, historical rates Table 1</t>
        </is>
      </c>
      <c r="K16" s="77" t="inlineStr">
        <is>
          <t>stage4_uk r22</t>
        </is>
      </c>
      <c r="L16" s="77" t="inlineStr">
        <is>
          <t>2026-07-15</t>
        </is>
      </c>
      <c r="M16" s="77" t="inlineStr">
        <is>
          <t>N</t>
        </is>
      </c>
      <c r="N16" s="136">
        <f>IF(ISNUMBER(timeseries!E14),timeseries!E14,"")</f>
        <v/>
      </c>
      <c r="O16" s="77" t="inlineStr">
        <is>
          <t>GBP/MWh nominal</t>
        </is>
      </c>
    </row>
    <row r="17" ht="15" customHeight="1" s="78">
      <c r="A17" s="77" t="inlineStr">
        <is>
          <t>UK</t>
        </is>
      </c>
      <c r="B17" s="77" t="n">
        <v>2012</v>
      </c>
      <c r="C17" s="77" t="inlineStr">
        <is>
          <t>large</t>
        </is>
      </c>
      <c r="D17" s="77" t="inlineStr">
        <is>
          <t>E1</t>
        </is>
      </c>
      <c r="E17" s="77" t="inlineStr">
        <is>
          <t>Wholesale (rolling year-ahead baseload; DA proxy &lt;=2021)</t>
        </is>
      </c>
      <c r="F17" s="77" t="inlineStr">
        <is>
          <t>1 Commodity</t>
        </is>
      </c>
      <c r="G17" s="77" t="inlineStr">
        <is>
          <t>wholesale market</t>
        </is>
      </c>
      <c r="H17" s="77" t="inlineStr">
        <is>
          <t>i</t>
        </is>
      </c>
      <c r="I17" s="77">
        <f>IF(ISNUMBER(N17),N17*fx_deflator!$I$7*fx_deflator!$M$7,"")</f>
        <v/>
      </c>
      <c r="J17" s="77" t="inlineStr">
        <is>
          <t>Ofgem data portal — DA baseload monthly avg (proxy &lt;=2021, D22); Forward Delivery Contracts (D21)</t>
        </is>
      </c>
      <c r="K17" s="77" t="inlineStr">
        <is>
          <t>stage4_uk r7-9</t>
        </is>
      </c>
      <c r="L17" s="77" t="inlineStr">
        <is>
          <t>2026-07-15</t>
        </is>
      </c>
      <c r="M17" s="77" t="inlineStr">
        <is>
          <t>Y</t>
        </is>
      </c>
      <c r="N17" s="136">
        <f>IF(ISNUMBER(timeseries!F6),timeseries!F6,"")</f>
        <v/>
      </c>
      <c r="O17" s="77" t="inlineStr">
        <is>
          <t>GBP/MWh nominal</t>
        </is>
      </c>
      <c r="P17" s="77" t="inlineStr">
        <is>
          <t>identical E1/E2; embedded carbon memo inside this item</t>
        </is>
      </c>
    </row>
    <row r="18" ht="15" customHeight="1" s="78">
      <c r="A18" s="77" t="inlineStr">
        <is>
          <t>UK</t>
        </is>
      </c>
      <c r="B18" s="77" t="n">
        <v>2012</v>
      </c>
      <c r="C18" s="77" t="inlineStr">
        <is>
          <t>large</t>
        </is>
      </c>
      <c r="D18" s="77" t="inlineStr">
        <is>
          <t>E1</t>
        </is>
      </c>
      <c r="E18" s="77" t="inlineStr">
        <is>
          <t>TNUoS demand (zone 5; TCR banded residual from 2023)</t>
        </is>
      </c>
      <c r="F18" s="77" t="inlineStr">
        <is>
          <t>3 Network</t>
        </is>
      </c>
      <c r="G18" s="77" t="inlineStr">
        <is>
          <t>transmission network charge</t>
        </is>
      </c>
      <c r="H18" s="77" t="inlineStr">
        <is>
          <t>i</t>
        </is>
      </c>
      <c r="I18" s="77">
        <f>IF(ISNUMBER(N18),N18*fx_deflator!$I$7*fx_deflator!$M$7,"")</f>
        <v/>
      </c>
      <c r="J18" s="77" t="inlineStr">
        <is>
          <t>NESO TNUoS tariff documents (compendium doc 50736; Final TNUoS 2023/24-2026/27 Table 10)</t>
        </is>
      </c>
      <c r="K18" s="77" t="inlineStr">
        <is>
          <t>stage4_uk r25-27</t>
        </is>
      </c>
      <c r="L18" s="77" t="inlineStr">
        <is>
          <t>2026-07-15</t>
        </is>
      </c>
      <c r="M18" s="77" t="inlineStr">
        <is>
          <t>Y</t>
        </is>
      </c>
      <c r="N18" s="136">
        <f>IF(ISNUMBER(timeseries!F7),timeseries!F7,"")</f>
        <v/>
      </c>
      <c r="O18" s="77" t="inlineStr">
        <is>
          <t>GBP/MWh nominal</t>
        </is>
      </c>
    </row>
    <row r="19" ht="15" customHeight="1" s="78">
      <c r="A19" s="77" t="inlineStr">
        <is>
          <t>UK</t>
        </is>
      </c>
      <c r="B19" s="77" t="n">
        <v>2012</v>
      </c>
      <c r="C19" s="77" t="inlineStr">
        <is>
          <t>large</t>
        </is>
      </c>
      <c r="D19" s="77" t="inlineStr">
        <is>
          <t>E1</t>
        </is>
      </c>
      <c r="E19" s="77" t="inlineStr">
        <is>
          <t>BSUoS (demand-only from 04/2023)</t>
        </is>
      </c>
      <c r="F19" s="77" t="inlineStr">
        <is>
          <t>4 System services &amp; balancing</t>
        </is>
      </c>
      <c r="G19" s="77" t="inlineStr">
        <is>
          <t>balancing charge</t>
        </is>
      </c>
      <c r="H19" s="77" t="inlineStr">
        <is>
          <t>i</t>
        </is>
      </c>
      <c r="I19" s="77">
        <f>IF(ISNUMBER(N19),N19*fx_deflator!$I$7*fx_deflator!$M$7,"")</f>
        <v/>
      </c>
      <c r="J19" s="77" t="inlineStr">
        <is>
          <t>NESO bsuos-fixed-tariffs + HH RF settlement files (own annual avg 2010-22)</t>
        </is>
      </c>
      <c r="K19" s="77" t="inlineStr">
        <is>
          <t>stage4_uk r28-30</t>
        </is>
      </c>
      <c r="L19" s="77" t="inlineStr">
        <is>
          <t>2026-07-15</t>
        </is>
      </c>
      <c r="M19" s="77" t="inlineStr">
        <is>
          <t>Y</t>
        </is>
      </c>
      <c r="N19" s="77">
        <f>IF(ISNUMBER(timeseries!F8),timeseries!F8,"")</f>
        <v/>
      </c>
      <c r="O19" s="77" t="inlineStr">
        <is>
          <t>GBP/MWh nominal</t>
        </is>
      </c>
    </row>
    <row r="20" ht="15" customHeight="1" s="78">
      <c r="A20" s="77" t="inlineStr">
        <is>
          <t>UK</t>
        </is>
      </c>
      <c r="B20" s="77" t="n">
        <v>2012</v>
      </c>
      <c r="C20" s="77" t="inlineStr">
        <is>
          <t>large</t>
        </is>
      </c>
      <c r="D20" s="77" t="inlineStr">
        <is>
          <t>E1</t>
        </is>
      </c>
      <c r="E20" s="77" t="inlineStr">
        <is>
          <t>AAHEDC</t>
        </is>
      </c>
      <c r="F20" s="77" t="inlineStr">
        <is>
          <t>3 Network</t>
        </is>
      </c>
      <c r="G20" s="77" t="inlineStr">
        <is>
          <t>network levy (hydro benefit)</t>
        </is>
      </c>
      <c r="H20" s="77" t="inlineStr">
        <is>
          <t>ii (pays cross-subsidy to N Scotland consumers)</t>
        </is>
      </c>
      <c r="I20" s="77">
        <f>IF(ISNUMBER(N20),N20*fx_deflator!$I$7*fx_deflator!$M$7,"")</f>
        <v/>
      </c>
      <c r="J20" s="77" t="inlineStr">
        <is>
          <t>NG/ESO AAHEDC charging statements &amp; final tariff letters</t>
        </is>
      </c>
      <c r="K20" s="77" t="inlineStr">
        <is>
          <t>stage4_uk r31</t>
        </is>
      </c>
      <c r="L20" s="77" t="inlineStr">
        <is>
          <t>2026-07-15</t>
        </is>
      </c>
      <c r="M20" s="77" t="inlineStr">
        <is>
          <t>N</t>
        </is>
      </c>
      <c r="N20" s="77">
        <f>IF(ISNUMBER(timeseries!F9),timeseries!F9,"")</f>
        <v/>
      </c>
      <c r="O20" s="77" t="inlineStr">
        <is>
          <t>GBP/MWh nominal</t>
        </is>
      </c>
      <c r="P20" s="77" t="inlineStr">
        <is>
          <t>not in NCC base (conservative, unverified)</t>
        </is>
      </c>
    </row>
    <row r="21" ht="15" customHeight="1" s="78">
      <c r="A21" s="77" t="inlineStr">
        <is>
          <t>UK</t>
        </is>
      </c>
      <c r="B21" s="77" t="n">
        <v>2012</v>
      </c>
      <c r="C21" s="77" t="inlineStr">
        <is>
          <t>large</t>
        </is>
      </c>
      <c r="D21" s="77" t="inlineStr">
        <is>
          <t>E1</t>
        </is>
      </c>
      <c r="E21" s="77" t="inlineStr">
        <is>
          <t>RO (buy-out x obligation)</t>
        </is>
      </c>
      <c r="F21" s="77" t="inlineStr">
        <is>
          <t>2 Gen capital recovery</t>
        </is>
      </c>
      <c r="G21" s="77" t="inlineStr">
        <is>
          <t>renewables levy</t>
        </is>
      </c>
      <c r="H21" s="77" t="inlineStr">
        <is>
          <t>i</t>
        </is>
      </c>
      <c r="I21" s="77">
        <f>IF(ISNUMBER(N21),N21*fx_deflator!$I$7*fx_deflator!$M$7,"")</f>
        <v/>
      </c>
      <c r="J21" s="77" t="inlineStr">
        <is>
          <t>Ofgem RO guidance OFG1164 Table 1.1 (buy-out x obligation)</t>
        </is>
      </c>
      <c r="K21" s="77" t="inlineStr">
        <is>
          <t>stage4_uk r12-14</t>
        </is>
      </c>
      <c r="L21" s="77" t="inlineStr">
        <is>
          <t>2026-07-15</t>
        </is>
      </c>
      <c r="M21" s="77" t="inlineStr">
        <is>
          <t>Y</t>
        </is>
      </c>
      <c r="N21" s="136">
        <f>IF(ISNUMBER(timeseries!F10),timeseries!F10,"")</f>
        <v/>
      </c>
      <c r="O21" s="77" t="inlineStr">
        <is>
          <t>GBP/MWh nominal</t>
        </is>
      </c>
    </row>
    <row r="22" ht="15" customHeight="1" s="78">
      <c r="A22" s="77" t="inlineStr">
        <is>
          <t>UK</t>
        </is>
      </c>
      <c r="B22" s="77" t="n">
        <v>2012</v>
      </c>
      <c r="C22" s="77" t="inlineStr">
        <is>
          <t>large</t>
        </is>
      </c>
      <c r="D22" s="77" t="inlineStr">
        <is>
          <t>E1</t>
        </is>
      </c>
      <c r="E22" s="77" t="inlineStr">
        <is>
          <t>FiT levelisation</t>
        </is>
      </c>
      <c r="F22" s="77" t="inlineStr">
        <is>
          <t>2 Gen capital recovery</t>
        </is>
      </c>
      <c r="G22" s="77" t="inlineStr">
        <is>
          <t>renewables levy</t>
        </is>
      </c>
      <c r="H22" s="77" t="inlineStr">
        <is>
          <t>i</t>
        </is>
      </c>
      <c r="I22" s="77">
        <f>IF(ISNUMBER(N22),N22*fx_deflator!$I$7*fx_deflator!$M$7,"")</f>
        <v/>
      </c>
      <c r="J22" s="77" t="inlineStr">
        <is>
          <t>Ofgem FIT Annual Reports SY1-SY15; D27 for 2010-14</t>
        </is>
      </c>
      <c r="K22" s="77" t="inlineStr">
        <is>
          <t>stage4_uk r20</t>
        </is>
      </c>
      <c r="L22" s="77" t="inlineStr">
        <is>
          <t>2026-07-15</t>
        </is>
      </c>
      <c r="M22" s="77" t="inlineStr">
        <is>
          <t>Y</t>
        </is>
      </c>
      <c r="N22" s="77">
        <f>IF(ISNUMBER(timeseries!F12),timeseries!F12,"")</f>
        <v/>
      </c>
      <c r="O22" s="77" t="inlineStr">
        <is>
          <t>GBP/MWh nominal</t>
        </is>
      </c>
      <c r="P22" s="77" t="inlineStr">
        <is>
          <t>2025 unpublished (Q32) — row absent, gap stated</t>
        </is>
      </c>
    </row>
    <row r="23" ht="15" customHeight="1" s="78">
      <c r="A23" s="77" t="inlineStr">
        <is>
          <t>UK</t>
        </is>
      </c>
      <c r="B23" s="77" t="n">
        <v>2012</v>
      </c>
      <c r="C23" s="77" t="inlineStr">
        <is>
          <t>large</t>
        </is>
      </c>
      <c r="D23" s="77" t="inlineStr">
        <is>
          <t>E1</t>
        </is>
      </c>
      <c r="E23" s="77" t="inlineStr">
        <is>
          <t>CCL (main rate; CCA discount not modelled)</t>
        </is>
      </c>
      <c r="F23" s="77" t="inlineStr">
        <is>
          <t>5 General taxation &amp; levies</t>
        </is>
      </c>
      <c r="G23" s="77" t="inlineStr">
        <is>
          <t>climate levy (tax)</t>
        </is>
      </c>
      <c r="H23" s="77" t="inlineStr">
        <is>
          <t>i</t>
        </is>
      </c>
      <c r="I23" s="77">
        <f>IF(ISNUMBER(N23),N23*fx_deflator!$I$7*fx_deflator!$M$7,"")</f>
        <v/>
      </c>
      <c r="J23" s="77" t="inlineStr">
        <is>
          <t>HMRC Environmental Taxes Bulletin, historical rates Table 1</t>
        </is>
      </c>
      <c r="K23" s="77" t="inlineStr">
        <is>
          <t>stage4_uk r22</t>
        </is>
      </c>
      <c r="L23" s="77" t="inlineStr">
        <is>
          <t>2026-07-15</t>
        </is>
      </c>
      <c r="M23" s="77" t="inlineStr">
        <is>
          <t>N</t>
        </is>
      </c>
      <c r="N23" s="136">
        <f>IF(ISNUMBER(timeseries!F14),timeseries!F14,"")</f>
        <v/>
      </c>
      <c r="O23" s="77" t="inlineStr">
        <is>
          <t>GBP/MWh nominal</t>
        </is>
      </c>
    </row>
    <row r="24" ht="15" customHeight="1" s="78">
      <c r="A24" s="77" t="inlineStr">
        <is>
          <t>UK</t>
        </is>
      </c>
      <c r="B24" s="77" t="n">
        <v>2013</v>
      </c>
      <c r="C24" s="77" t="inlineStr">
        <is>
          <t>large</t>
        </is>
      </c>
      <c r="D24" s="77" t="inlineStr">
        <is>
          <t>E1</t>
        </is>
      </c>
      <c r="E24" s="77" t="inlineStr">
        <is>
          <t>Wholesale (rolling year-ahead baseload; DA proxy &lt;=2021)</t>
        </is>
      </c>
      <c r="F24" s="77" t="inlineStr">
        <is>
          <t>1 Commodity</t>
        </is>
      </c>
      <c r="G24" s="77" t="inlineStr">
        <is>
          <t>wholesale market</t>
        </is>
      </c>
      <c r="H24" s="77" t="inlineStr">
        <is>
          <t>i</t>
        </is>
      </c>
      <c r="I24" s="77">
        <f>IF(ISNUMBER(N24),N24*fx_deflator!$I$8*fx_deflator!$M$8,"")</f>
        <v/>
      </c>
      <c r="J24" s="77" t="inlineStr">
        <is>
          <t>Ofgem data portal — DA baseload monthly avg (proxy &lt;=2021, D22); Forward Delivery Contracts (D21)</t>
        </is>
      </c>
      <c r="K24" s="77" t="inlineStr">
        <is>
          <t>stage4_uk r7-9</t>
        </is>
      </c>
      <c r="L24" s="77" t="inlineStr">
        <is>
          <t>2026-07-15</t>
        </is>
      </c>
      <c r="M24" s="77" t="inlineStr">
        <is>
          <t>Y</t>
        </is>
      </c>
      <c r="N24" s="136">
        <f>IF(ISNUMBER(timeseries!G6),timeseries!G6,"")</f>
        <v/>
      </c>
      <c r="O24" s="77" t="inlineStr">
        <is>
          <t>GBP/MWh nominal</t>
        </is>
      </c>
      <c r="P24" s="77" t="inlineStr">
        <is>
          <t>identical E1/E2; embedded carbon memo inside this item</t>
        </is>
      </c>
    </row>
    <row r="25" ht="15" customHeight="1" s="78">
      <c r="A25" s="77" t="inlineStr">
        <is>
          <t>UK</t>
        </is>
      </c>
      <c r="B25" s="77" t="n">
        <v>2013</v>
      </c>
      <c r="C25" s="77" t="inlineStr">
        <is>
          <t>large</t>
        </is>
      </c>
      <c r="D25" s="77" t="inlineStr">
        <is>
          <t>E1</t>
        </is>
      </c>
      <c r="E25" s="77" t="inlineStr">
        <is>
          <t>TNUoS demand (zone 5; TCR banded residual from 2023)</t>
        </is>
      </c>
      <c r="F25" s="77" t="inlineStr">
        <is>
          <t>3 Network</t>
        </is>
      </c>
      <c r="G25" s="77" t="inlineStr">
        <is>
          <t>transmission network charge</t>
        </is>
      </c>
      <c r="H25" s="77" t="inlineStr">
        <is>
          <t>i</t>
        </is>
      </c>
      <c r="I25" s="77">
        <f>IF(ISNUMBER(N25),N25*fx_deflator!$I$8*fx_deflator!$M$8,"")</f>
        <v/>
      </c>
      <c r="J25" s="77" t="inlineStr">
        <is>
          <t>NESO TNUoS tariff documents (compendium doc 50736; Final TNUoS 2023/24-2026/27 Table 10)</t>
        </is>
      </c>
      <c r="K25" s="77" t="inlineStr">
        <is>
          <t>stage4_uk r25-27</t>
        </is>
      </c>
      <c r="L25" s="77" t="inlineStr">
        <is>
          <t>2026-07-15</t>
        </is>
      </c>
      <c r="M25" s="77" t="inlineStr">
        <is>
          <t>Y</t>
        </is>
      </c>
      <c r="N25" s="136">
        <f>IF(ISNUMBER(timeseries!G7),timeseries!G7,"")</f>
        <v/>
      </c>
      <c r="O25" s="77" t="inlineStr">
        <is>
          <t>GBP/MWh nominal</t>
        </is>
      </c>
    </row>
    <row r="26" ht="15" customHeight="1" s="78">
      <c r="A26" s="77" t="inlineStr">
        <is>
          <t>UK</t>
        </is>
      </c>
      <c r="B26" s="77" t="n">
        <v>2013</v>
      </c>
      <c r="C26" s="77" t="inlineStr">
        <is>
          <t>large</t>
        </is>
      </c>
      <c r="D26" s="77" t="inlineStr">
        <is>
          <t>E1</t>
        </is>
      </c>
      <c r="E26" s="77" t="inlineStr">
        <is>
          <t>BSUoS (demand-only from 04/2023)</t>
        </is>
      </c>
      <c r="F26" s="77" t="inlineStr">
        <is>
          <t>4 System services &amp; balancing</t>
        </is>
      </c>
      <c r="G26" s="77" t="inlineStr">
        <is>
          <t>balancing charge</t>
        </is>
      </c>
      <c r="H26" s="77" t="inlineStr">
        <is>
          <t>i</t>
        </is>
      </c>
      <c r="I26" s="77">
        <f>IF(ISNUMBER(N26),N26*fx_deflator!$I$8*fx_deflator!$M$8,"")</f>
        <v/>
      </c>
      <c r="J26" s="77" t="inlineStr">
        <is>
          <t>NESO bsuos-fixed-tariffs + HH RF settlement files (own annual avg 2010-22)</t>
        </is>
      </c>
      <c r="K26" s="77" t="inlineStr">
        <is>
          <t>stage4_uk r28-30</t>
        </is>
      </c>
      <c r="L26" s="77" t="inlineStr">
        <is>
          <t>2026-07-15</t>
        </is>
      </c>
      <c r="M26" s="77" t="inlineStr">
        <is>
          <t>Y</t>
        </is>
      </c>
      <c r="N26" s="77">
        <f>IF(ISNUMBER(timeseries!G8),timeseries!G8,"")</f>
        <v/>
      </c>
      <c r="O26" s="77" t="inlineStr">
        <is>
          <t>GBP/MWh nominal</t>
        </is>
      </c>
    </row>
    <row r="27" ht="15" customHeight="1" s="78">
      <c r="A27" s="77" t="inlineStr">
        <is>
          <t>UK</t>
        </is>
      </c>
      <c r="B27" s="77" t="n">
        <v>2013</v>
      </c>
      <c r="C27" s="77" t="inlineStr">
        <is>
          <t>large</t>
        </is>
      </c>
      <c r="D27" s="77" t="inlineStr">
        <is>
          <t>E1</t>
        </is>
      </c>
      <c r="E27" s="77" t="inlineStr">
        <is>
          <t>AAHEDC</t>
        </is>
      </c>
      <c r="F27" s="77" t="inlineStr">
        <is>
          <t>3 Network</t>
        </is>
      </c>
      <c r="G27" s="77" t="inlineStr">
        <is>
          <t>network levy (hydro benefit)</t>
        </is>
      </c>
      <c r="H27" s="77" t="inlineStr">
        <is>
          <t>ii (pays cross-subsidy to N Scotland consumers)</t>
        </is>
      </c>
      <c r="I27" s="77">
        <f>IF(ISNUMBER(N27),N27*fx_deflator!$I$8*fx_deflator!$M$8,"")</f>
        <v/>
      </c>
      <c r="J27" s="77" t="inlineStr">
        <is>
          <t>NG/ESO AAHEDC charging statements &amp; final tariff letters</t>
        </is>
      </c>
      <c r="K27" s="77" t="inlineStr">
        <is>
          <t>stage4_uk r31</t>
        </is>
      </c>
      <c r="L27" s="77" t="inlineStr">
        <is>
          <t>2026-07-15</t>
        </is>
      </c>
      <c r="M27" s="77" t="inlineStr">
        <is>
          <t>N</t>
        </is>
      </c>
      <c r="N27" s="77">
        <f>IF(ISNUMBER(timeseries!G9),timeseries!G9,"")</f>
        <v/>
      </c>
      <c r="O27" s="77" t="inlineStr">
        <is>
          <t>GBP/MWh nominal</t>
        </is>
      </c>
      <c r="P27" s="77" t="inlineStr">
        <is>
          <t>not in NCC base (conservative, unverified)</t>
        </is>
      </c>
    </row>
    <row r="28" ht="15" customHeight="1" s="78">
      <c r="A28" s="77" t="inlineStr">
        <is>
          <t>UK</t>
        </is>
      </c>
      <c r="B28" s="77" t="n">
        <v>2013</v>
      </c>
      <c r="C28" s="77" t="inlineStr">
        <is>
          <t>large</t>
        </is>
      </c>
      <c r="D28" s="77" t="inlineStr">
        <is>
          <t>E1</t>
        </is>
      </c>
      <c r="E28" s="77" t="inlineStr">
        <is>
          <t>RO (buy-out x obligation)</t>
        </is>
      </c>
      <c r="F28" s="77" t="inlineStr">
        <is>
          <t>2 Gen capital recovery</t>
        </is>
      </c>
      <c r="G28" s="77" t="inlineStr">
        <is>
          <t>renewables levy</t>
        </is>
      </c>
      <c r="H28" s="77" t="inlineStr">
        <is>
          <t>i</t>
        </is>
      </c>
      <c r="I28" s="77">
        <f>IF(ISNUMBER(N28),N28*fx_deflator!$I$8*fx_deflator!$M$8,"")</f>
        <v/>
      </c>
      <c r="J28" s="77" t="inlineStr">
        <is>
          <t>Ofgem RO guidance OFG1164 Table 1.1 (buy-out x obligation)</t>
        </is>
      </c>
      <c r="K28" s="77" t="inlineStr">
        <is>
          <t>stage4_uk r12-14</t>
        </is>
      </c>
      <c r="L28" s="77" t="inlineStr">
        <is>
          <t>2026-07-15</t>
        </is>
      </c>
      <c r="M28" s="77" t="inlineStr">
        <is>
          <t>Y</t>
        </is>
      </c>
      <c r="N28" s="136">
        <f>IF(ISNUMBER(timeseries!G10),timeseries!G10,"")</f>
        <v/>
      </c>
      <c r="O28" s="77" t="inlineStr">
        <is>
          <t>GBP/MWh nominal</t>
        </is>
      </c>
    </row>
    <row r="29" ht="15" customHeight="1" s="78">
      <c r="A29" s="77" t="inlineStr">
        <is>
          <t>UK</t>
        </is>
      </c>
      <c r="B29" s="77" t="n">
        <v>2013</v>
      </c>
      <c r="C29" s="77" t="inlineStr">
        <is>
          <t>large</t>
        </is>
      </c>
      <c r="D29" s="77" t="inlineStr">
        <is>
          <t>E1</t>
        </is>
      </c>
      <c r="E29" s="77" t="inlineStr">
        <is>
          <t>FiT levelisation</t>
        </is>
      </c>
      <c r="F29" s="77" t="inlineStr">
        <is>
          <t>2 Gen capital recovery</t>
        </is>
      </c>
      <c r="G29" s="77" t="inlineStr">
        <is>
          <t>renewables levy</t>
        </is>
      </c>
      <c r="H29" s="77" t="inlineStr">
        <is>
          <t>i</t>
        </is>
      </c>
      <c r="I29" s="77">
        <f>IF(ISNUMBER(N29),N29*fx_deflator!$I$8*fx_deflator!$M$8,"")</f>
        <v/>
      </c>
      <c r="J29" s="77" t="inlineStr">
        <is>
          <t>Ofgem FIT Annual Reports SY1-SY15; D27 for 2010-14</t>
        </is>
      </c>
      <c r="K29" s="77" t="inlineStr">
        <is>
          <t>stage4_uk r20</t>
        </is>
      </c>
      <c r="L29" s="77" t="inlineStr">
        <is>
          <t>2026-07-15</t>
        </is>
      </c>
      <c r="M29" s="77" t="inlineStr">
        <is>
          <t>Y</t>
        </is>
      </c>
      <c r="N29" s="77">
        <f>IF(ISNUMBER(timeseries!G12),timeseries!G12,"")</f>
        <v/>
      </c>
      <c r="O29" s="77" t="inlineStr">
        <is>
          <t>GBP/MWh nominal</t>
        </is>
      </c>
      <c r="P29" s="77" t="inlineStr">
        <is>
          <t>2025 unpublished (Q32) — row absent, gap stated</t>
        </is>
      </c>
    </row>
    <row r="30" ht="15" customHeight="1" s="78">
      <c r="A30" s="77" t="inlineStr">
        <is>
          <t>UK</t>
        </is>
      </c>
      <c r="B30" s="77" t="n">
        <v>2013</v>
      </c>
      <c r="C30" s="77" t="inlineStr">
        <is>
          <t>large</t>
        </is>
      </c>
      <c r="D30" s="77" t="inlineStr">
        <is>
          <t>E1</t>
        </is>
      </c>
      <c r="E30" s="77" t="inlineStr">
        <is>
          <t>CCL (main rate; CCA discount not modelled)</t>
        </is>
      </c>
      <c r="F30" s="77" t="inlineStr">
        <is>
          <t>5 General taxation &amp; levies</t>
        </is>
      </c>
      <c r="G30" s="77" t="inlineStr">
        <is>
          <t>climate levy (tax)</t>
        </is>
      </c>
      <c r="H30" s="77" t="inlineStr">
        <is>
          <t>i</t>
        </is>
      </c>
      <c r="I30" s="77">
        <f>IF(ISNUMBER(N30),N30*fx_deflator!$I$8*fx_deflator!$M$8,"")</f>
        <v/>
      </c>
      <c r="J30" s="77" t="inlineStr">
        <is>
          <t>HMRC Environmental Taxes Bulletin, historical rates Table 1</t>
        </is>
      </c>
      <c r="K30" s="77" t="inlineStr">
        <is>
          <t>stage4_uk r22</t>
        </is>
      </c>
      <c r="L30" s="77" t="inlineStr">
        <is>
          <t>2026-07-15</t>
        </is>
      </c>
      <c r="M30" s="77" t="inlineStr">
        <is>
          <t>N</t>
        </is>
      </c>
      <c r="N30" s="136">
        <f>IF(ISNUMBER(timeseries!G14),timeseries!G14,"")</f>
        <v/>
      </c>
      <c r="O30" s="77" t="inlineStr">
        <is>
          <t>GBP/MWh nominal</t>
        </is>
      </c>
    </row>
    <row r="31" ht="15" customHeight="1" s="78">
      <c r="A31" s="77" t="inlineStr">
        <is>
          <t>UK</t>
        </is>
      </c>
      <c r="B31" s="77" t="n">
        <v>2014</v>
      </c>
      <c r="C31" s="77" t="inlineStr">
        <is>
          <t>large</t>
        </is>
      </c>
      <c r="D31" s="77" t="inlineStr">
        <is>
          <t>E1</t>
        </is>
      </c>
      <c r="E31" s="77" t="inlineStr">
        <is>
          <t>Wholesale (rolling year-ahead baseload; DA proxy &lt;=2021)</t>
        </is>
      </c>
      <c r="F31" s="77" t="inlineStr">
        <is>
          <t>1 Commodity</t>
        </is>
      </c>
      <c r="G31" s="77" t="inlineStr">
        <is>
          <t>wholesale market</t>
        </is>
      </c>
      <c r="H31" s="77" t="inlineStr">
        <is>
          <t>i</t>
        </is>
      </c>
      <c r="I31" s="77">
        <f>IF(ISNUMBER(N31),N31*fx_deflator!$I$9*fx_deflator!$M$9,"")</f>
        <v/>
      </c>
      <c r="J31" s="77" t="inlineStr">
        <is>
          <t>Ofgem data portal — DA baseload monthly avg (proxy &lt;=2021, D22); Forward Delivery Contracts (D21)</t>
        </is>
      </c>
      <c r="K31" s="77" t="inlineStr">
        <is>
          <t>stage4_uk r7-9</t>
        </is>
      </c>
      <c r="L31" s="77" t="inlineStr">
        <is>
          <t>2026-07-15</t>
        </is>
      </c>
      <c r="M31" s="77" t="inlineStr">
        <is>
          <t>Y</t>
        </is>
      </c>
      <c r="N31" s="136">
        <f>IF(ISNUMBER(timeseries!H6),timeseries!H6,"")</f>
        <v/>
      </c>
      <c r="O31" s="77" t="inlineStr">
        <is>
          <t>GBP/MWh nominal</t>
        </is>
      </c>
      <c r="P31" s="77" t="inlineStr">
        <is>
          <t>identical E1/E2; embedded carbon memo inside this item</t>
        </is>
      </c>
    </row>
    <row r="32" ht="15" customHeight="1" s="78">
      <c r="A32" s="77" t="inlineStr">
        <is>
          <t>UK</t>
        </is>
      </c>
      <c r="B32" s="77" t="n">
        <v>2014</v>
      </c>
      <c r="C32" s="77" t="inlineStr">
        <is>
          <t>large</t>
        </is>
      </c>
      <c r="D32" s="77" t="inlineStr">
        <is>
          <t>E1</t>
        </is>
      </c>
      <c r="E32" s="77" t="inlineStr">
        <is>
          <t>TNUoS demand (zone 5; TCR banded residual from 2023)</t>
        </is>
      </c>
      <c r="F32" s="77" t="inlineStr">
        <is>
          <t>3 Network</t>
        </is>
      </c>
      <c r="G32" s="77" t="inlineStr">
        <is>
          <t>transmission network charge</t>
        </is>
      </c>
      <c r="H32" s="77" t="inlineStr">
        <is>
          <t>i</t>
        </is>
      </c>
      <c r="I32" s="77">
        <f>IF(ISNUMBER(N32),N32*fx_deflator!$I$9*fx_deflator!$M$9,"")</f>
        <v/>
      </c>
      <c r="J32" s="77" t="inlineStr">
        <is>
          <t>NESO TNUoS tariff documents (compendium doc 50736; Final TNUoS 2023/24-2026/27 Table 10)</t>
        </is>
      </c>
      <c r="K32" s="77" t="inlineStr">
        <is>
          <t>stage4_uk r25-27</t>
        </is>
      </c>
      <c r="L32" s="77" t="inlineStr">
        <is>
          <t>2026-07-15</t>
        </is>
      </c>
      <c r="M32" s="77" t="inlineStr">
        <is>
          <t>Y</t>
        </is>
      </c>
      <c r="N32" s="136">
        <f>IF(ISNUMBER(timeseries!H7),timeseries!H7,"")</f>
        <v/>
      </c>
      <c r="O32" s="77" t="inlineStr">
        <is>
          <t>GBP/MWh nominal</t>
        </is>
      </c>
    </row>
    <row r="33" ht="15" customHeight="1" s="78">
      <c r="A33" s="77" t="inlineStr">
        <is>
          <t>UK</t>
        </is>
      </c>
      <c r="B33" s="77" t="n">
        <v>2014</v>
      </c>
      <c r="C33" s="77" t="inlineStr">
        <is>
          <t>large</t>
        </is>
      </c>
      <c r="D33" s="77" t="inlineStr">
        <is>
          <t>E1</t>
        </is>
      </c>
      <c r="E33" s="77" t="inlineStr">
        <is>
          <t>BSUoS (demand-only from 04/2023)</t>
        </is>
      </c>
      <c r="F33" s="77" t="inlineStr">
        <is>
          <t>4 System services &amp; balancing</t>
        </is>
      </c>
      <c r="G33" s="77" t="inlineStr">
        <is>
          <t>balancing charge</t>
        </is>
      </c>
      <c r="H33" s="77" t="inlineStr">
        <is>
          <t>i</t>
        </is>
      </c>
      <c r="I33" s="77">
        <f>IF(ISNUMBER(N33),N33*fx_deflator!$I$9*fx_deflator!$M$9,"")</f>
        <v/>
      </c>
      <c r="J33" s="77" t="inlineStr">
        <is>
          <t>NESO bsuos-fixed-tariffs + HH RF settlement files (own annual avg 2010-22)</t>
        </is>
      </c>
      <c r="K33" s="77" t="inlineStr">
        <is>
          <t>stage4_uk r28-30</t>
        </is>
      </c>
      <c r="L33" s="77" t="inlineStr">
        <is>
          <t>2026-07-15</t>
        </is>
      </c>
      <c r="M33" s="77" t="inlineStr">
        <is>
          <t>Y</t>
        </is>
      </c>
      <c r="N33" s="77">
        <f>IF(ISNUMBER(timeseries!H8),timeseries!H8,"")</f>
        <v/>
      </c>
      <c r="O33" s="77" t="inlineStr">
        <is>
          <t>GBP/MWh nominal</t>
        </is>
      </c>
    </row>
    <row r="34" ht="15" customHeight="1" s="78">
      <c r="A34" s="77" t="inlineStr">
        <is>
          <t>UK</t>
        </is>
      </c>
      <c r="B34" s="77" t="n">
        <v>2014</v>
      </c>
      <c r="C34" s="77" t="inlineStr">
        <is>
          <t>large</t>
        </is>
      </c>
      <c r="D34" s="77" t="inlineStr">
        <is>
          <t>E1</t>
        </is>
      </c>
      <c r="E34" s="77" t="inlineStr">
        <is>
          <t>AAHEDC</t>
        </is>
      </c>
      <c r="F34" s="77" t="inlineStr">
        <is>
          <t>3 Network</t>
        </is>
      </c>
      <c r="G34" s="77" t="inlineStr">
        <is>
          <t>network levy (hydro benefit)</t>
        </is>
      </c>
      <c r="H34" s="77" t="inlineStr">
        <is>
          <t>ii (pays cross-subsidy to N Scotland consumers)</t>
        </is>
      </c>
      <c r="I34" s="77">
        <f>IF(ISNUMBER(N34),N34*fx_deflator!$I$9*fx_deflator!$M$9,"")</f>
        <v/>
      </c>
      <c r="J34" s="77" t="inlineStr">
        <is>
          <t>NG/ESO AAHEDC charging statements &amp; final tariff letters</t>
        </is>
      </c>
      <c r="K34" s="77" t="inlineStr">
        <is>
          <t>stage4_uk r31</t>
        </is>
      </c>
      <c r="L34" s="77" t="inlineStr">
        <is>
          <t>2026-07-15</t>
        </is>
      </c>
      <c r="M34" s="77" t="inlineStr">
        <is>
          <t>N</t>
        </is>
      </c>
      <c r="N34" s="77">
        <f>IF(ISNUMBER(timeseries!H9),timeseries!H9,"")</f>
        <v/>
      </c>
      <c r="O34" s="77" t="inlineStr">
        <is>
          <t>GBP/MWh nominal</t>
        </is>
      </c>
      <c r="P34" s="77" t="inlineStr">
        <is>
          <t>not in NCC base (conservative, unverified)</t>
        </is>
      </c>
    </row>
    <row r="35" ht="15" customHeight="1" s="78">
      <c r="A35" s="77" t="inlineStr">
        <is>
          <t>UK</t>
        </is>
      </c>
      <c r="B35" s="77" t="n">
        <v>2014</v>
      </c>
      <c r="C35" s="77" t="inlineStr">
        <is>
          <t>large</t>
        </is>
      </c>
      <c r="D35" s="77" t="inlineStr">
        <is>
          <t>E1</t>
        </is>
      </c>
      <c r="E35" s="77" t="inlineStr">
        <is>
          <t>RO (buy-out x obligation)</t>
        </is>
      </c>
      <c r="F35" s="77" t="inlineStr">
        <is>
          <t>2 Gen capital recovery</t>
        </is>
      </c>
      <c r="G35" s="77" t="inlineStr">
        <is>
          <t>renewables levy</t>
        </is>
      </c>
      <c r="H35" s="77" t="inlineStr">
        <is>
          <t>i</t>
        </is>
      </c>
      <c r="I35" s="77">
        <f>IF(ISNUMBER(N35),N35*fx_deflator!$I$9*fx_deflator!$M$9,"")</f>
        <v/>
      </c>
      <c r="J35" s="77" t="inlineStr">
        <is>
          <t>Ofgem RO guidance OFG1164 Table 1.1 (buy-out x obligation)</t>
        </is>
      </c>
      <c r="K35" s="77" t="inlineStr">
        <is>
          <t>stage4_uk r12-14</t>
        </is>
      </c>
      <c r="L35" s="77" t="inlineStr">
        <is>
          <t>2026-07-15</t>
        </is>
      </c>
      <c r="M35" s="77" t="inlineStr">
        <is>
          <t>Y</t>
        </is>
      </c>
      <c r="N35" s="136">
        <f>IF(ISNUMBER(timeseries!H10),timeseries!H10,"")</f>
        <v/>
      </c>
      <c r="O35" s="77" t="inlineStr">
        <is>
          <t>GBP/MWh nominal</t>
        </is>
      </c>
    </row>
    <row r="36" ht="15" customHeight="1" s="78">
      <c r="A36" s="77" t="inlineStr">
        <is>
          <t>UK</t>
        </is>
      </c>
      <c r="B36" s="77" t="n">
        <v>2014</v>
      </c>
      <c r="C36" s="77" t="inlineStr">
        <is>
          <t>large</t>
        </is>
      </c>
      <c r="D36" s="77" t="inlineStr">
        <is>
          <t>E1</t>
        </is>
      </c>
      <c r="E36" s="77" t="inlineStr">
        <is>
          <t>FiT levelisation</t>
        </is>
      </c>
      <c r="F36" s="77" t="inlineStr">
        <is>
          <t>2 Gen capital recovery</t>
        </is>
      </c>
      <c r="G36" s="77" t="inlineStr">
        <is>
          <t>renewables levy</t>
        </is>
      </c>
      <c r="H36" s="77" t="inlineStr">
        <is>
          <t>i</t>
        </is>
      </c>
      <c r="I36" s="77">
        <f>IF(ISNUMBER(N36),N36*fx_deflator!$I$9*fx_deflator!$M$9,"")</f>
        <v/>
      </c>
      <c r="J36" s="77" t="inlineStr">
        <is>
          <t>Ofgem FIT Annual Reports SY1-SY15; D27 for 2010-14</t>
        </is>
      </c>
      <c r="K36" s="77" t="inlineStr">
        <is>
          <t>stage4_uk r20</t>
        </is>
      </c>
      <c r="L36" s="77" t="inlineStr">
        <is>
          <t>2026-07-15</t>
        </is>
      </c>
      <c r="M36" s="77" t="inlineStr">
        <is>
          <t>Y</t>
        </is>
      </c>
      <c r="N36" s="77">
        <f>IF(ISNUMBER(timeseries!H12),timeseries!H12,"")</f>
        <v/>
      </c>
      <c r="O36" s="77" t="inlineStr">
        <is>
          <t>GBP/MWh nominal</t>
        </is>
      </c>
      <c r="P36" s="77" t="inlineStr">
        <is>
          <t>2025 unpublished (Q32) — row absent, gap stated</t>
        </is>
      </c>
    </row>
    <row r="37" ht="15" customHeight="1" s="78">
      <c r="A37" s="77" t="inlineStr">
        <is>
          <t>UK</t>
        </is>
      </c>
      <c r="B37" s="77" t="n">
        <v>2014</v>
      </c>
      <c r="C37" s="77" t="inlineStr">
        <is>
          <t>large</t>
        </is>
      </c>
      <c r="D37" s="77" t="inlineStr">
        <is>
          <t>E1</t>
        </is>
      </c>
      <c r="E37" s="77" t="inlineStr">
        <is>
          <t>CCL (main rate; CCA discount not modelled)</t>
        </is>
      </c>
      <c r="F37" s="77" t="inlineStr">
        <is>
          <t>5 General taxation &amp; levies</t>
        </is>
      </c>
      <c r="G37" s="77" t="inlineStr">
        <is>
          <t>climate levy (tax)</t>
        </is>
      </c>
      <c r="H37" s="77" t="inlineStr">
        <is>
          <t>i</t>
        </is>
      </c>
      <c r="I37" s="77">
        <f>IF(ISNUMBER(N37),N37*fx_deflator!$I$9*fx_deflator!$M$9,"")</f>
        <v/>
      </c>
      <c r="J37" s="77" t="inlineStr">
        <is>
          <t>HMRC Environmental Taxes Bulletin, historical rates Table 1</t>
        </is>
      </c>
      <c r="K37" s="77" t="inlineStr">
        <is>
          <t>stage4_uk r22</t>
        </is>
      </c>
      <c r="L37" s="77" t="inlineStr">
        <is>
          <t>2026-07-15</t>
        </is>
      </c>
      <c r="M37" s="77" t="inlineStr">
        <is>
          <t>N</t>
        </is>
      </c>
      <c r="N37" s="136">
        <f>IF(ISNUMBER(timeseries!H14),timeseries!H14,"")</f>
        <v/>
      </c>
      <c r="O37" s="77" t="inlineStr">
        <is>
          <t>GBP/MWh nominal</t>
        </is>
      </c>
    </row>
    <row r="38" ht="15" customHeight="1" s="78">
      <c r="A38" s="77" t="inlineStr">
        <is>
          <t>UK</t>
        </is>
      </c>
      <c r="B38" s="77" t="n">
        <v>2015</v>
      </c>
      <c r="C38" s="77" t="inlineStr">
        <is>
          <t>large</t>
        </is>
      </c>
      <c r="D38" s="77" t="inlineStr">
        <is>
          <t>E1</t>
        </is>
      </c>
      <c r="E38" s="77" t="inlineStr">
        <is>
          <t>Wholesale (rolling year-ahead baseload; DA proxy &lt;=2021)</t>
        </is>
      </c>
      <c r="F38" s="77" t="inlineStr">
        <is>
          <t>1 Commodity</t>
        </is>
      </c>
      <c r="G38" s="77" t="inlineStr">
        <is>
          <t>wholesale market</t>
        </is>
      </c>
      <c r="H38" s="77" t="inlineStr">
        <is>
          <t>i</t>
        </is>
      </c>
      <c r="I38" s="77">
        <f>IF(ISNUMBER(N38),N38*fx_deflator!$I$10*fx_deflator!$M$10,"")</f>
        <v/>
      </c>
      <c r="J38" s="77" t="inlineStr">
        <is>
          <t>Ofgem data portal — DA baseload monthly avg (proxy &lt;=2021, D22); Forward Delivery Contracts (D21)</t>
        </is>
      </c>
      <c r="K38" s="77" t="inlineStr">
        <is>
          <t>stage4_uk r7-9</t>
        </is>
      </c>
      <c r="L38" s="77" t="inlineStr">
        <is>
          <t>2026-07-15</t>
        </is>
      </c>
      <c r="M38" s="77" t="inlineStr">
        <is>
          <t>Y</t>
        </is>
      </c>
      <c r="N38" s="136">
        <f>IF(ISNUMBER(timeseries!I6),timeseries!I6,"")</f>
        <v/>
      </c>
      <c r="O38" s="77" t="inlineStr">
        <is>
          <t>GBP/MWh nominal</t>
        </is>
      </c>
      <c r="P38" s="77" t="inlineStr">
        <is>
          <t>identical E1/E2; embedded carbon memo inside this item</t>
        </is>
      </c>
    </row>
    <row r="39" ht="15" customHeight="1" s="78">
      <c r="A39" s="77" t="inlineStr">
        <is>
          <t>UK</t>
        </is>
      </c>
      <c r="B39" s="77" t="n">
        <v>2015</v>
      </c>
      <c r="C39" s="77" t="inlineStr">
        <is>
          <t>large</t>
        </is>
      </c>
      <c r="D39" s="77" t="inlineStr">
        <is>
          <t>E1</t>
        </is>
      </c>
      <c r="E39" s="77" t="inlineStr">
        <is>
          <t>TNUoS demand (zone 5; TCR banded residual from 2023)</t>
        </is>
      </c>
      <c r="F39" s="77" t="inlineStr">
        <is>
          <t>3 Network</t>
        </is>
      </c>
      <c r="G39" s="77" t="inlineStr">
        <is>
          <t>transmission network charge</t>
        </is>
      </c>
      <c r="H39" s="77" t="inlineStr">
        <is>
          <t>i</t>
        </is>
      </c>
      <c r="I39" s="77">
        <f>IF(ISNUMBER(N39),N39*fx_deflator!$I$10*fx_deflator!$M$10,"")</f>
        <v/>
      </c>
      <c r="J39" s="77" t="inlineStr">
        <is>
          <t>NESO TNUoS tariff documents (compendium doc 50736; Final TNUoS 2023/24-2026/27 Table 10)</t>
        </is>
      </c>
      <c r="K39" s="77" t="inlineStr">
        <is>
          <t>stage4_uk r25-27</t>
        </is>
      </c>
      <c r="L39" s="77" t="inlineStr">
        <is>
          <t>2026-07-15</t>
        </is>
      </c>
      <c r="M39" s="77" t="inlineStr">
        <is>
          <t>Y</t>
        </is>
      </c>
      <c r="N39" s="136">
        <f>IF(ISNUMBER(timeseries!I7),timeseries!I7,"")</f>
        <v/>
      </c>
      <c r="O39" s="77" t="inlineStr">
        <is>
          <t>GBP/MWh nominal</t>
        </is>
      </c>
    </row>
    <row r="40" ht="15" customHeight="1" s="78">
      <c r="A40" s="77" t="inlineStr">
        <is>
          <t>UK</t>
        </is>
      </c>
      <c r="B40" s="77" t="n">
        <v>2015</v>
      </c>
      <c r="C40" s="77" t="inlineStr">
        <is>
          <t>large</t>
        </is>
      </c>
      <c r="D40" s="77" t="inlineStr">
        <is>
          <t>E1</t>
        </is>
      </c>
      <c r="E40" s="77" t="inlineStr">
        <is>
          <t>BSUoS (demand-only from 04/2023)</t>
        </is>
      </c>
      <c r="F40" s="77" t="inlineStr">
        <is>
          <t>4 System services &amp; balancing</t>
        </is>
      </c>
      <c r="G40" s="77" t="inlineStr">
        <is>
          <t>balancing charge</t>
        </is>
      </c>
      <c r="H40" s="77" t="inlineStr">
        <is>
          <t>i</t>
        </is>
      </c>
      <c r="I40" s="77">
        <f>IF(ISNUMBER(N40),N40*fx_deflator!$I$10*fx_deflator!$M$10,"")</f>
        <v/>
      </c>
      <c r="J40" s="77" t="inlineStr">
        <is>
          <t>NESO bsuos-fixed-tariffs + HH RF settlement files (own annual avg 2010-22)</t>
        </is>
      </c>
      <c r="K40" s="77" t="inlineStr">
        <is>
          <t>stage4_uk r28-30</t>
        </is>
      </c>
      <c r="L40" s="77" t="inlineStr">
        <is>
          <t>2026-07-15</t>
        </is>
      </c>
      <c r="M40" s="77" t="inlineStr">
        <is>
          <t>Y</t>
        </is>
      </c>
      <c r="N40" s="77">
        <f>IF(ISNUMBER(timeseries!I8),timeseries!I8,"")</f>
        <v/>
      </c>
      <c r="O40" s="77" t="inlineStr">
        <is>
          <t>GBP/MWh nominal</t>
        </is>
      </c>
    </row>
    <row r="41" ht="15" customHeight="1" s="78">
      <c r="A41" s="77" t="inlineStr">
        <is>
          <t>UK</t>
        </is>
      </c>
      <c r="B41" s="77" t="n">
        <v>2015</v>
      </c>
      <c r="C41" s="77" t="inlineStr">
        <is>
          <t>large</t>
        </is>
      </c>
      <c r="D41" s="77" t="inlineStr">
        <is>
          <t>E1</t>
        </is>
      </c>
      <c r="E41" s="77" t="inlineStr">
        <is>
          <t>AAHEDC</t>
        </is>
      </c>
      <c r="F41" s="77" t="inlineStr">
        <is>
          <t>3 Network</t>
        </is>
      </c>
      <c r="G41" s="77" t="inlineStr">
        <is>
          <t>network levy (hydro benefit)</t>
        </is>
      </c>
      <c r="H41" s="77" t="inlineStr">
        <is>
          <t>ii (pays cross-subsidy to N Scotland consumers)</t>
        </is>
      </c>
      <c r="I41" s="77">
        <f>IF(ISNUMBER(N41),N41*fx_deflator!$I$10*fx_deflator!$M$10,"")</f>
        <v/>
      </c>
      <c r="J41" s="77" t="inlineStr">
        <is>
          <t>NG/ESO AAHEDC charging statements &amp; final tariff letters</t>
        </is>
      </c>
      <c r="K41" s="77" t="inlineStr">
        <is>
          <t>stage4_uk r31</t>
        </is>
      </c>
      <c r="L41" s="77" t="inlineStr">
        <is>
          <t>2026-07-15</t>
        </is>
      </c>
      <c r="M41" s="77" t="inlineStr">
        <is>
          <t>N</t>
        </is>
      </c>
      <c r="N41" s="77">
        <f>IF(ISNUMBER(timeseries!I9),timeseries!I9,"")</f>
        <v/>
      </c>
      <c r="O41" s="77" t="inlineStr">
        <is>
          <t>GBP/MWh nominal</t>
        </is>
      </c>
      <c r="P41" s="77" t="inlineStr">
        <is>
          <t>not in NCC base (conservative, unverified)</t>
        </is>
      </c>
    </row>
    <row r="42" ht="15" customHeight="1" s="78">
      <c r="A42" s="77" t="inlineStr">
        <is>
          <t>UK</t>
        </is>
      </c>
      <c r="B42" s="77" t="n">
        <v>2015</v>
      </c>
      <c r="C42" s="77" t="inlineStr">
        <is>
          <t>large</t>
        </is>
      </c>
      <c r="D42" s="77" t="inlineStr">
        <is>
          <t>E1</t>
        </is>
      </c>
      <c r="E42" s="77" t="inlineStr">
        <is>
          <t>RO (buy-out x obligation)</t>
        </is>
      </c>
      <c r="F42" s="77" t="inlineStr">
        <is>
          <t>2 Gen capital recovery</t>
        </is>
      </c>
      <c r="G42" s="77" t="inlineStr">
        <is>
          <t>renewables levy</t>
        </is>
      </c>
      <c r="H42" s="77" t="inlineStr">
        <is>
          <t>i</t>
        </is>
      </c>
      <c r="I42" s="77">
        <f>IF(ISNUMBER(N42),N42*fx_deflator!$I$10*fx_deflator!$M$10,"")</f>
        <v/>
      </c>
      <c r="J42" s="77" t="inlineStr">
        <is>
          <t>Ofgem RO guidance OFG1164 Table 1.1 (buy-out x obligation)</t>
        </is>
      </c>
      <c r="K42" s="77" t="inlineStr">
        <is>
          <t>stage4_uk r12-14</t>
        </is>
      </c>
      <c r="L42" s="77" t="inlineStr">
        <is>
          <t>2026-07-15</t>
        </is>
      </c>
      <c r="M42" s="77" t="inlineStr">
        <is>
          <t>Y</t>
        </is>
      </c>
      <c r="N42" s="136">
        <f>IF(ISNUMBER(timeseries!I10),timeseries!I10,"")</f>
        <v/>
      </c>
      <c r="O42" s="77" t="inlineStr">
        <is>
          <t>GBP/MWh nominal</t>
        </is>
      </c>
    </row>
    <row r="43" ht="15" customHeight="1" s="78">
      <c r="A43" s="77" t="inlineStr">
        <is>
          <t>UK</t>
        </is>
      </c>
      <c r="B43" s="77" t="n">
        <v>2015</v>
      </c>
      <c r="C43" s="77" t="inlineStr">
        <is>
          <t>large</t>
        </is>
      </c>
      <c r="D43" s="77" t="inlineStr">
        <is>
          <t>E1</t>
        </is>
      </c>
      <c r="E43" s="77" t="inlineStr">
        <is>
          <t>FiT levelisation</t>
        </is>
      </c>
      <c r="F43" s="77" t="inlineStr">
        <is>
          <t>2 Gen capital recovery</t>
        </is>
      </c>
      <c r="G43" s="77" t="inlineStr">
        <is>
          <t>renewables levy</t>
        </is>
      </c>
      <c r="H43" s="77" t="inlineStr">
        <is>
          <t>i</t>
        </is>
      </c>
      <c r="I43" s="77">
        <f>IF(ISNUMBER(N43),N43*fx_deflator!$I$10*fx_deflator!$M$10,"")</f>
        <v/>
      </c>
      <c r="J43" s="77" t="inlineStr">
        <is>
          <t>Ofgem FIT Annual Reports SY1-SY15; D27 for 2010-14</t>
        </is>
      </c>
      <c r="K43" s="77" t="inlineStr">
        <is>
          <t>stage4_uk r20</t>
        </is>
      </c>
      <c r="L43" s="77" t="inlineStr">
        <is>
          <t>2026-07-15</t>
        </is>
      </c>
      <c r="M43" s="77" t="inlineStr">
        <is>
          <t>Y</t>
        </is>
      </c>
      <c r="N43" s="77">
        <f>IF(ISNUMBER(timeseries!I12),timeseries!I12,"")</f>
        <v/>
      </c>
      <c r="O43" s="77" t="inlineStr">
        <is>
          <t>GBP/MWh nominal</t>
        </is>
      </c>
      <c r="P43" s="77" t="inlineStr">
        <is>
          <t>2025 unpublished (Q32) — row absent, gap stated</t>
        </is>
      </c>
    </row>
    <row r="44" ht="15" customHeight="1" s="78">
      <c r="A44" s="77" t="inlineStr">
        <is>
          <t>UK</t>
        </is>
      </c>
      <c r="B44" s="77" t="n">
        <v>2015</v>
      </c>
      <c r="C44" s="77" t="inlineStr">
        <is>
          <t>large</t>
        </is>
      </c>
      <c r="D44" s="77" t="inlineStr">
        <is>
          <t>E1</t>
        </is>
      </c>
      <c r="E44" s="77" t="inlineStr">
        <is>
          <t>CCL (main rate; CCA discount not modelled)</t>
        </is>
      </c>
      <c r="F44" s="77" t="inlineStr">
        <is>
          <t>5 General taxation &amp; levies</t>
        </is>
      </c>
      <c r="G44" s="77" t="inlineStr">
        <is>
          <t>climate levy (tax)</t>
        </is>
      </c>
      <c r="H44" s="77" t="inlineStr">
        <is>
          <t>i</t>
        </is>
      </c>
      <c r="I44" s="77">
        <f>IF(ISNUMBER(N44),N44*fx_deflator!$I$10*fx_deflator!$M$10,"")</f>
        <v/>
      </c>
      <c r="J44" s="77" t="inlineStr">
        <is>
          <t>HMRC Environmental Taxes Bulletin, historical rates Table 1</t>
        </is>
      </c>
      <c r="K44" s="77" t="inlineStr">
        <is>
          <t>stage4_uk r22</t>
        </is>
      </c>
      <c r="L44" s="77" t="inlineStr">
        <is>
          <t>2026-07-15</t>
        </is>
      </c>
      <c r="M44" s="77" t="inlineStr">
        <is>
          <t>N</t>
        </is>
      </c>
      <c r="N44" s="136">
        <f>IF(ISNUMBER(timeseries!I14),timeseries!I14,"")</f>
        <v/>
      </c>
      <c r="O44" s="77" t="inlineStr">
        <is>
          <t>GBP/MWh nominal</t>
        </is>
      </c>
    </row>
    <row r="45" ht="15" customHeight="1" s="78">
      <c r="A45" s="77" t="inlineStr">
        <is>
          <t>UK</t>
        </is>
      </c>
      <c r="B45" s="77" t="n">
        <v>2016</v>
      </c>
      <c r="C45" s="77" t="inlineStr">
        <is>
          <t>large</t>
        </is>
      </c>
      <c r="D45" s="77" t="inlineStr">
        <is>
          <t>E1</t>
        </is>
      </c>
      <c r="E45" s="77" t="inlineStr">
        <is>
          <t>Wholesale (rolling year-ahead baseload; DA proxy &lt;=2021)</t>
        </is>
      </c>
      <c r="F45" s="77" t="inlineStr">
        <is>
          <t>1 Commodity</t>
        </is>
      </c>
      <c r="G45" s="77" t="inlineStr">
        <is>
          <t>wholesale market</t>
        </is>
      </c>
      <c r="H45" s="77" t="inlineStr">
        <is>
          <t>i</t>
        </is>
      </c>
      <c r="I45" s="77">
        <f>IF(ISNUMBER(N45),N45*fx_deflator!$I$11*fx_deflator!$M$11,"")</f>
        <v/>
      </c>
      <c r="J45" s="77" t="inlineStr">
        <is>
          <t>Ofgem data portal — DA baseload monthly avg (proxy &lt;=2021, D22); Forward Delivery Contracts (D21)</t>
        </is>
      </c>
      <c r="K45" s="77" t="inlineStr">
        <is>
          <t>stage4_uk r7-9</t>
        </is>
      </c>
      <c r="L45" s="77" t="inlineStr">
        <is>
          <t>2026-07-15</t>
        </is>
      </c>
      <c r="M45" s="77" t="inlineStr">
        <is>
          <t>Y</t>
        </is>
      </c>
      <c r="N45" s="136">
        <f>IF(ISNUMBER(timeseries!J6),timeseries!J6,"")</f>
        <v/>
      </c>
      <c r="O45" s="77" t="inlineStr">
        <is>
          <t>GBP/MWh nominal</t>
        </is>
      </c>
      <c r="P45" s="77" t="inlineStr">
        <is>
          <t>identical E1/E2; embedded carbon memo inside this item</t>
        </is>
      </c>
    </row>
    <row r="46" ht="15" customHeight="1" s="78">
      <c r="A46" s="77" t="inlineStr">
        <is>
          <t>UK</t>
        </is>
      </c>
      <c r="B46" s="77" t="n">
        <v>2016</v>
      </c>
      <c r="C46" s="77" t="inlineStr">
        <is>
          <t>large</t>
        </is>
      </c>
      <c r="D46" s="77" t="inlineStr">
        <is>
          <t>E1</t>
        </is>
      </c>
      <c r="E46" s="77" t="inlineStr">
        <is>
          <t>TNUoS demand (zone 5; TCR banded residual from 2023)</t>
        </is>
      </c>
      <c r="F46" s="77" t="inlineStr">
        <is>
          <t>3 Network</t>
        </is>
      </c>
      <c r="G46" s="77" t="inlineStr">
        <is>
          <t>transmission network charge</t>
        </is>
      </c>
      <c r="H46" s="77" t="inlineStr">
        <is>
          <t>i</t>
        </is>
      </c>
      <c r="I46" s="77">
        <f>IF(ISNUMBER(N46),N46*fx_deflator!$I$11*fx_deflator!$M$11,"")</f>
        <v/>
      </c>
      <c r="J46" s="77" t="inlineStr">
        <is>
          <t>NESO TNUoS tariff documents (compendium doc 50736; Final TNUoS 2023/24-2026/27 Table 10)</t>
        </is>
      </c>
      <c r="K46" s="77" t="inlineStr">
        <is>
          <t>stage4_uk r25-27</t>
        </is>
      </c>
      <c r="L46" s="77" t="inlineStr">
        <is>
          <t>2026-07-15</t>
        </is>
      </c>
      <c r="M46" s="77" t="inlineStr">
        <is>
          <t>Y</t>
        </is>
      </c>
      <c r="N46" s="136">
        <f>IF(ISNUMBER(timeseries!J7),timeseries!J7,"")</f>
        <v/>
      </c>
      <c r="O46" s="77" t="inlineStr">
        <is>
          <t>GBP/MWh nominal</t>
        </is>
      </c>
    </row>
    <row r="47" ht="15" customHeight="1" s="78">
      <c r="A47" s="77" t="inlineStr">
        <is>
          <t>UK</t>
        </is>
      </c>
      <c r="B47" s="77" t="n">
        <v>2016</v>
      </c>
      <c r="C47" s="77" t="inlineStr">
        <is>
          <t>large</t>
        </is>
      </c>
      <c r="D47" s="77" t="inlineStr">
        <is>
          <t>E1</t>
        </is>
      </c>
      <c r="E47" s="77" t="inlineStr">
        <is>
          <t>BSUoS (demand-only from 04/2023)</t>
        </is>
      </c>
      <c r="F47" s="77" t="inlineStr">
        <is>
          <t>4 System services &amp; balancing</t>
        </is>
      </c>
      <c r="G47" s="77" t="inlineStr">
        <is>
          <t>balancing charge</t>
        </is>
      </c>
      <c r="H47" s="77" t="inlineStr">
        <is>
          <t>i</t>
        </is>
      </c>
      <c r="I47" s="77">
        <f>IF(ISNUMBER(N47),N47*fx_deflator!$I$11*fx_deflator!$M$11,"")</f>
        <v/>
      </c>
      <c r="J47" s="77" t="inlineStr">
        <is>
          <t>NESO bsuos-fixed-tariffs + HH RF settlement files (own annual avg 2010-22)</t>
        </is>
      </c>
      <c r="K47" s="77" t="inlineStr">
        <is>
          <t>stage4_uk r28-30</t>
        </is>
      </c>
      <c r="L47" s="77" t="inlineStr">
        <is>
          <t>2026-07-15</t>
        </is>
      </c>
      <c r="M47" s="77" t="inlineStr">
        <is>
          <t>Y</t>
        </is>
      </c>
      <c r="N47" s="77">
        <f>IF(ISNUMBER(timeseries!J8),timeseries!J8,"")</f>
        <v/>
      </c>
      <c r="O47" s="77" t="inlineStr">
        <is>
          <t>GBP/MWh nominal</t>
        </is>
      </c>
    </row>
    <row r="48" ht="15" customHeight="1" s="78">
      <c r="A48" s="77" t="inlineStr">
        <is>
          <t>UK</t>
        </is>
      </c>
      <c r="B48" s="77" t="n">
        <v>2016</v>
      </c>
      <c r="C48" s="77" t="inlineStr">
        <is>
          <t>large</t>
        </is>
      </c>
      <c r="D48" s="77" t="inlineStr">
        <is>
          <t>E1</t>
        </is>
      </c>
      <c r="E48" s="77" t="inlineStr">
        <is>
          <t>AAHEDC</t>
        </is>
      </c>
      <c r="F48" s="77" t="inlineStr">
        <is>
          <t>3 Network</t>
        </is>
      </c>
      <c r="G48" s="77" t="inlineStr">
        <is>
          <t>network levy (hydro benefit)</t>
        </is>
      </c>
      <c r="H48" s="77" t="inlineStr">
        <is>
          <t>ii (pays cross-subsidy to N Scotland consumers)</t>
        </is>
      </c>
      <c r="I48" s="77">
        <f>IF(ISNUMBER(N48),N48*fx_deflator!$I$11*fx_deflator!$M$11,"")</f>
        <v/>
      </c>
      <c r="J48" s="77" t="inlineStr">
        <is>
          <t>NG/ESO AAHEDC charging statements &amp; final tariff letters</t>
        </is>
      </c>
      <c r="K48" s="77" t="inlineStr">
        <is>
          <t>stage4_uk r31</t>
        </is>
      </c>
      <c r="L48" s="77" t="inlineStr">
        <is>
          <t>2026-07-15</t>
        </is>
      </c>
      <c r="M48" s="77" t="inlineStr">
        <is>
          <t>N</t>
        </is>
      </c>
      <c r="N48" s="77">
        <f>IF(ISNUMBER(timeseries!J9),timeseries!J9,"")</f>
        <v/>
      </c>
      <c r="O48" s="77" t="inlineStr">
        <is>
          <t>GBP/MWh nominal</t>
        </is>
      </c>
      <c r="P48" s="77" t="inlineStr">
        <is>
          <t>not in NCC base (conservative, unverified)</t>
        </is>
      </c>
    </row>
    <row r="49" ht="15" customHeight="1" s="78">
      <c r="A49" s="77" t="inlineStr">
        <is>
          <t>UK</t>
        </is>
      </c>
      <c r="B49" s="77" t="n">
        <v>2016</v>
      </c>
      <c r="C49" s="77" t="inlineStr">
        <is>
          <t>large</t>
        </is>
      </c>
      <c r="D49" s="77" t="inlineStr">
        <is>
          <t>E1</t>
        </is>
      </c>
      <c r="E49" s="77" t="inlineStr">
        <is>
          <t>RO (buy-out x obligation)</t>
        </is>
      </c>
      <c r="F49" s="77" t="inlineStr">
        <is>
          <t>2 Gen capital recovery</t>
        </is>
      </c>
      <c r="G49" s="77" t="inlineStr">
        <is>
          <t>renewables levy</t>
        </is>
      </c>
      <c r="H49" s="77" t="inlineStr">
        <is>
          <t>i</t>
        </is>
      </c>
      <c r="I49" s="77">
        <f>IF(ISNUMBER(N49),N49*fx_deflator!$I$11*fx_deflator!$M$11,"")</f>
        <v/>
      </c>
      <c r="J49" s="77" t="inlineStr">
        <is>
          <t>Ofgem RO guidance OFG1164 Table 1.1 (buy-out x obligation)</t>
        </is>
      </c>
      <c r="K49" s="77" t="inlineStr">
        <is>
          <t>stage4_uk r12-14</t>
        </is>
      </c>
      <c r="L49" s="77" t="inlineStr">
        <is>
          <t>2026-07-15</t>
        </is>
      </c>
      <c r="M49" s="77" t="inlineStr">
        <is>
          <t>Y</t>
        </is>
      </c>
      <c r="N49" s="136">
        <f>IF(ISNUMBER(timeseries!J10),timeseries!J10,"")</f>
        <v/>
      </c>
      <c r="O49" s="77" t="inlineStr">
        <is>
          <t>GBP/MWh nominal</t>
        </is>
      </c>
    </row>
    <row r="50" ht="15" customHeight="1" s="78">
      <c r="A50" s="77" t="inlineStr">
        <is>
          <t>UK</t>
        </is>
      </c>
      <c r="B50" s="77" t="n">
        <v>2016</v>
      </c>
      <c r="C50" s="77" t="inlineStr">
        <is>
          <t>large</t>
        </is>
      </c>
      <c r="D50" s="77" t="inlineStr">
        <is>
          <t>E1</t>
        </is>
      </c>
      <c r="E50" s="77" t="inlineStr">
        <is>
          <t>CfD Interim Levy Rate (annual avg)</t>
        </is>
      </c>
      <c r="F50" s="77" t="inlineStr">
        <is>
          <t>2 Gen capital recovery</t>
        </is>
      </c>
      <c r="G50" s="77" t="inlineStr">
        <is>
          <t>renewables levy</t>
        </is>
      </c>
      <c r="H50" s="77" t="inlineStr">
        <is>
          <t>i</t>
        </is>
      </c>
      <c r="I50" s="77">
        <f>IF(ISNUMBER(N50),N50*fx_deflator!$I$11*fx_deflator!$M$11,"")</f>
        <v/>
      </c>
      <c r="J50" s="77" t="inlineStr">
        <is>
          <t>LCCC Actual ILR Income dataset (quarterly avg)</t>
        </is>
      </c>
      <c r="K50" s="77" t="inlineStr">
        <is>
          <t>stage4_uk r15-19</t>
        </is>
      </c>
      <c r="L50" s="77" t="inlineStr">
        <is>
          <t>2026-07-15</t>
        </is>
      </c>
      <c r="M50" s="77" t="inlineStr">
        <is>
          <t>Y</t>
        </is>
      </c>
      <c r="N50" s="136">
        <f>IF(ISNUMBER(timeseries!J11),timeseries!J11,"")</f>
        <v/>
      </c>
      <c r="O50" s="77" t="inlineStr">
        <is>
          <t>GBP/MWh nominal</t>
        </is>
      </c>
    </row>
    <row r="51" ht="15" customHeight="1" s="78">
      <c r="A51" s="77" t="inlineStr">
        <is>
          <t>UK</t>
        </is>
      </c>
      <c r="B51" s="77" t="n">
        <v>2016</v>
      </c>
      <c r="C51" s="77" t="inlineStr">
        <is>
          <t>large</t>
        </is>
      </c>
      <c r="D51" s="77" t="inlineStr">
        <is>
          <t>E1</t>
        </is>
      </c>
      <c r="E51" s="77" t="inlineStr">
        <is>
          <t>FiT levelisation</t>
        </is>
      </c>
      <c r="F51" s="77" t="inlineStr">
        <is>
          <t>2 Gen capital recovery</t>
        </is>
      </c>
      <c r="G51" s="77" t="inlineStr">
        <is>
          <t>renewables levy</t>
        </is>
      </c>
      <c r="H51" s="77" t="inlineStr">
        <is>
          <t>i</t>
        </is>
      </c>
      <c r="I51" s="77">
        <f>IF(ISNUMBER(N51),N51*fx_deflator!$I$11*fx_deflator!$M$11,"")</f>
        <v/>
      </c>
      <c r="J51" s="77" t="inlineStr">
        <is>
          <t>Ofgem FIT Annual Reports SY1-SY15; D27 for 2010-14</t>
        </is>
      </c>
      <c r="K51" s="77" t="inlineStr">
        <is>
          <t>stage4_uk r20</t>
        </is>
      </c>
      <c r="L51" s="77" t="inlineStr">
        <is>
          <t>2026-07-15</t>
        </is>
      </c>
      <c r="M51" s="77" t="inlineStr">
        <is>
          <t>Y</t>
        </is>
      </c>
      <c r="N51" s="77">
        <f>IF(ISNUMBER(timeseries!J12),timeseries!J12,"")</f>
        <v/>
      </c>
      <c r="O51" s="77" t="inlineStr">
        <is>
          <t>GBP/MWh nominal</t>
        </is>
      </c>
      <c r="P51" s="77" t="inlineStr">
        <is>
          <t>2025 unpublished (Q32) — row absent, gap stated</t>
        </is>
      </c>
    </row>
    <row r="52" ht="15" customHeight="1" s="78">
      <c r="A52" s="77" t="inlineStr">
        <is>
          <t>UK</t>
        </is>
      </c>
      <c r="B52" s="77" t="n">
        <v>2016</v>
      </c>
      <c r="C52" s="77" t="inlineStr">
        <is>
          <t>large</t>
        </is>
      </c>
      <c r="D52" s="77" t="inlineStr">
        <is>
          <t>E1</t>
        </is>
      </c>
      <c r="E52" s="77" t="inlineStr">
        <is>
          <t>CCL (main rate; CCA discount not modelled)</t>
        </is>
      </c>
      <c r="F52" s="77" t="inlineStr">
        <is>
          <t>5 General taxation &amp; levies</t>
        </is>
      </c>
      <c r="G52" s="77" t="inlineStr">
        <is>
          <t>climate levy (tax)</t>
        </is>
      </c>
      <c r="H52" s="77" t="inlineStr">
        <is>
          <t>i</t>
        </is>
      </c>
      <c r="I52" s="77">
        <f>IF(ISNUMBER(N52),N52*fx_deflator!$I$11*fx_deflator!$M$11,"")</f>
        <v/>
      </c>
      <c r="J52" s="77" t="inlineStr">
        <is>
          <t>HMRC Environmental Taxes Bulletin, historical rates Table 1</t>
        </is>
      </c>
      <c r="K52" s="77" t="inlineStr">
        <is>
          <t>stage4_uk r22</t>
        </is>
      </c>
      <c r="L52" s="77" t="inlineStr">
        <is>
          <t>2026-07-15</t>
        </is>
      </c>
      <c r="M52" s="77" t="inlineStr">
        <is>
          <t>N</t>
        </is>
      </c>
      <c r="N52" s="136">
        <f>IF(ISNUMBER(timeseries!J14),timeseries!J14,"")</f>
        <v/>
      </c>
      <c r="O52" s="77" t="inlineStr">
        <is>
          <t>GBP/MWh nominal</t>
        </is>
      </c>
    </row>
    <row r="53" ht="15" customHeight="1" s="78">
      <c r="A53" s="77" t="inlineStr">
        <is>
          <t>UK</t>
        </is>
      </c>
      <c r="B53" s="77" t="n">
        <v>2017</v>
      </c>
      <c r="C53" s="77" t="inlineStr">
        <is>
          <t>large</t>
        </is>
      </c>
      <c r="D53" s="77" t="inlineStr">
        <is>
          <t>E1</t>
        </is>
      </c>
      <c r="E53" s="77" t="inlineStr">
        <is>
          <t>Wholesale (rolling year-ahead baseload; DA proxy &lt;=2021)</t>
        </is>
      </c>
      <c r="F53" s="77" t="inlineStr">
        <is>
          <t>1 Commodity</t>
        </is>
      </c>
      <c r="G53" s="77" t="inlineStr">
        <is>
          <t>wholesale market</t>
        </is>
      </c>
      <c r="H53" s="77" t="inlineStr">
        <is>
          <t>i</t>
        </is>
      </c>
      <c r="I53" s="77">
        <f>IF(ISNUMBER(N53),N53*fx_deflator!$I$12*fx_deflator!$M$12,"")</f>
        <v/>
      </c>
      <c r="J53" s="77" t="inlineStr">
        <is>
          <t>Ofgem data portal — DA baseload monthly avg (proxy &lt;=2021, D22); Forward Delivery Contracts (D21)</t>
        </is>
      </c>
      <c r="K53" s="77" t="inlineStr">
        <is>
          <t>stage4_uk r7-9</t>
        </is>
      </c>
      <c r="L53" s="77" t="inlineStr">
        <is>
          <t>2026-07-15</t>
        </is>
      </c>
      <c r="M53" s="77" t="inlineStr">
        <is>
          <t>Y</t>
        </is>
      </c>
      <c r="N53" s="136">
        <f>IF(ISNUMBER(timeseries!K6),timeseries!K6,"")</f>
        <v/>
      </c>
      <c r="O53" s="77" t="inlineStr">
        <is>
          <t>GBP/MWh nominal</t>
        </is>
      </c>
      <c r="P53" s="77" t="inlineStr">
        <is>
          <t>identical E1/E2; embedded carbon memo inside this item</t>
        </is>
      </c>
    </row>
    <row r="54" ht="15" customHeight="1" s="78">
      <c r="A54" s="77" t="inlineStr">
        <is>
          <t>UK</t>
        </is>
      </c>
      <c r="B54" s="77" t="n">
        <v>2017</v>
      </c>
      <c r="C54" s="77" t="inlineStr">
        <is>
          <t>large</t>
        </is>
      </c>
      <c r="D54" s="77" t="inlineStr">
        <is>
          <t>E1</t>
        </is>
      </c>
      <c r="E54" s="77" t="inlineStr">
        <is>
          <t>TNUoS demand (zone 5; TCR banded residual from 2023)</t>
        </is>
      </c>
      <c r="F54" s="77" t="inlineStr">
        <is>
          <t>3 Network</t>
        </is>
      </c>
      <c r="G54" s="77" t="inlineStr">
        <is>
          <t>transmission network charge</t>
        </is>
      </c>
      <c r="H54" s="77" t="inlineStr">
        <is>
          <t>i</t>
        </is>
      </c>
      <c r="I54" s="77">
        <f>IF(ISNUMBER(N54),N54*fx_deflator!$I$12*fx_deflator!$M$12,"")</f>
        <v/>
      </c>
      <c r="J54" s="77" t="inlineStr">
        <is>
          <t>NESO TNUoS tariff documents (compendium doc 50736; Final TNUoS 2023/24-2026/27 Table 10)</t>
        </is>
      </c>
      <c r="K54" s="77" t="inlineStr">
        <is>
          <t>stage4_uk r25-27</t>
        </is>
      </c>
      <c r="L54" s="77" t="inlineStr">
        <is>
          <t>2026-07-15</t>
        </is>
      </c>
      <c r="M54" s="77" t="inlineStr">
        <is>
          <t>Y</t>
        </is>
      </c>
      <c r="N54" s="136">
        <f>IF(ISNUMBER(timeseries!K7),timeseries!K7,"")</f>
        <v/>
      </c>
      <c r="O54" s="77" t="inlineStr">
        <is>
          <t>GBP/MWh nominal</t>
        </is>
      </c>
    </row>
    <row r="55" ht="15" customHeight="1" s="78">
      <c r="A55" s="77" t="inlineStr">
        <is>
          <t>UK</t>
        </is>
      </c>
      <c r="B55" s="77" t="n">
        <v>2017</v>
      </c>
      <c r="C55" s="77" t="inlineStr">
        <is>
          <t>large</t>
        </is>
      </c>
      <c r="D55" s="77" t="inlineStr">
        <is>
          <t>E1</t>
        </is>
      </c>
      <c r="E55" s="77" t="inlineStr">
        <is>
          <t>BSUoS (demand-only from 04/2023)</t>
        </is>
      </c>
      <c r="F55" s="77" t="inlineStr">
        <is>
          <t>4 System services &amp; balancing</t>
        </is>
      </c>
      <c r="G55" s="77" t="inlineStr">
        <is>
          <t>balancing charge</t>
        </is>
      </c>
      <c r="H55" s="77" t="inlineStr">
        <is>
          <t>i</t>
        </is>
      </c>
      <c r="I55" s="77">
        <f>IF(ISNUMBER(N55),N55*fx_deflator!$I$12*fx_deflator!$M$12,"")</f>
        <v/>
      </c>
      <c r="J55" s="77" t="inlineStr">
        <is>
          <t>NESO bsuos-fixed-tariffs + HH RF settlement files (own annual avg 2010-22)</t>
        </is>
      </c>
      <c r="K55" s="77" t="inlineStr">
        <is>
          <t>stage4_uk r28-30</t>
        </is>
      </c>
      <c r="L55" s="77" t="inlineStr">
        <is>
          <t>2026-07-15</t>
        </is>
      </c>
      <c r="M55" s="77" t="inlineStr">
        <is>
          <t>Y</t>
        </is>
      </c>
      <c r="N55" s="77">
        <f>IF(ISNUMBER(timeseries!K8),timeseries!K8,"")</f>
        <v/>
      </c>
      <c r="O55" s="77" t="inlineStr">
        <is>
          <t>GBP/MWh nominal</t>
        </is>
      </c>
    </row>
    <row r="56" ht="15" customHeight="1" s="78">
      <c r="A56" s="77" t="inlineStr">
        <is>
          <t>UK</t>
        </is>
      </c>
      <c r="B56" s="77" t="n">
        <v>2017</v>
      </c>
      <c r="C56" s="77" t="inlineStr">
        <is>
          <t>large</t>
        </is>
      </c>
      <c r="D56" s="77" t="inlineStr">
        <is>
          <t>E1</t>
        </is>
      </c>
      <c r="E56" s="77" t="inlineStr">
        <is>
          <t>AAHEDC</t>
        </is>
      </c>
      <c r="F56" s="77" t="inlineStr">
        <is>
          <t>3 Network</t>
        </is>
      </c>
      <c r="G56" s="77" t="inlineStr">
        <is>
          <t>network levy (hydro benefit)</t>
        </is>
      </c>
      <c r="H56" s="77" t="inlineStr">
        <is>
          <t>ii (pays cross-subsidy to N Scotland consumers)</t>
        </is>
      </c>
      <c r="I56" s="77">
        <f>IF(ISNUMBER(N56),N56*fx_deflator!$I$12*fx_deflator!$M$12,"")</f>
        <v/>
      </c>
      <c r="J56" s="77" t="inlineStr">
        <is>
          <t>NG/ESO AAHEDC charging statements &amp; final tariff letters</t>
        </is>
      </c>
      <c r="K56" s="77" t="inlineStr">
        <is>
          <t>stage4_uk r31</t>
        </is>
      </c>
      <c r="L56" s="77" t="inlineStr">
        <is>
          <t>2026-07-15</t>
        </is>
      </c>
      <c r="M56" s="77" t="inlineStr">
        <is>
          <t>N</t>
        </is>
      </c>
      <c r="N56" s="77">
        <f>IF(ISNUMBER(timeseries!K9),timeseries!K9,"")</f>
        <v/>
      </c>
      <c r="O56" s="77" t="inlineStr">
        <is>
          <t>GBP/MWh nominal</t>
        </is>
      </c>
      <c r="P56" s="77" t="inlineStr">
        <is>
          <t>not in NCC base (conservative, unverified)</t>
        </is>
      </c>
    </row>
    <row r="57" ht="15" customHeight="1" s="78">
      <c r="A57" s="77" t="inlineStr">
        <is>
          <t>UK</t>
        </is>
      </c>
      <c r="B57" s="77" t="n">
        <v>2017</v>
      </c>
      <c r="C57" s="77" t="inlineStr">
        <is>
          <t>large</t>
        </is>
      </c>
      <c r="D57" s="77" t="inlineStr">
        <is>
          <t>E1</t>
        </is>
      </c>
      <c r="E57" s="77" t="inlineStr">
        <is>
          <t>RO (buy-out x obligation)</t>
        </is>
      </c>
      <c r="F57" s="77" t="inlineStr">
        <is>
          <t>2 Gen capital recovery</t>
        </is>
      </c>
      <c r="G57" s="77" t="inlineStr">
        <is>
          <t>renewables levy</t>
        </is>
      </c>
      <c r="H57" s="77" t="inlineStr">
        <is>
          <t>i</t>
        </is>
      </c>
      <c r="I57" s="77">
        <f>IF(ISNUMBER(N57),N57*fx_deflator!$I$12*fx_deflator!$M$12,"")</f>
        <v/>
      </c>
      <c r="J57" s="77" t="inlineStr">
        <is>
          <t>Ofgem RO guidance OFG1164 Table 1.1 (buy-out x obligation)</t>
        </is>
      </c>
      <c r="K57" s="77" t="inlineStr">
        <is>
          <t>stage4_uk r12-14</t>
        </is>
      </c>
      <c r="L57" s="77" t="inlineStr">
        <is>
          <t>2026-07-15</t>
        </is>
      </c>
      <c r="M57" s="77" t="inlineStr">
        <is>
          <t>Y</t>
        </is>
      </c>
      <c r="N57" s="136">
        <f>IF(ISNUMBER(timeseries!K10),timeseries!K10,"")</f>
        <v/>
      </c>
      <c r="O57" s="77" t="inlineStr">
        <is>
          <t>GBP/MWh nominal</t>
        </is>
      </c>
    </row>
    <row r="58" ht="15" customHeight="1" s="78">
      <c r="A58" s="77" t="inlineStr">
        <is>
          <t>UK</t>
        </is>
      </c>
      <c r="B58" s="77" t="n">
        <v>2017</v>
      </c>
      <c r="C58" s="77" t="inlineStr">
        <is>
          <t>large</t>
        </is>
      </c>
      <c r="D58" s="77" t="inlineStr">
        <is>
          <t>E1</t>
        </is>
      </c>
      <c r="E58" s="77" t="inlineStr">
        <is>
          <t>CfD Interim Levy Rate (annual avg)</t>
        </is>
      </c>
      <c r="F58" s="77" t="inlineStr">
        <is>
          <t>2 Gen capital recovery</t>
        </is>
      </c>
      <c r="G58" s="77" t="inlineStr">
        <is>
          <t>renewables levy</t>
        </is>
      </c>
      <c r="H58" s="77" t="inlineStr">
        <is>
          <t>i</t>
        </is>
      </c>
      <c r="I58" s="77">
        <f>IF(ISNUMBER(N58),N58*fx_deflator!$I$12*fx_deflator!$M$12,"")</f>
        <v/>
      </c>
      <c r="J58" s="77" t="inlineStr">
        <is>
          <t>LCCC Actual ILR Income dataset (quarterly avg)</t>
        </is>
      </c>
      <c r="K58" s="77" t="inlineStr">
        <is>
          <t>stage4_uk r15-19</t>
        </is>
      </c>
      <c r="L58" s="77" t="inlineStr">
        <is>
          <t>2026-07-15</t>
        </is>
      </c>
      <c r="M58" s="77" t="inlineStr">
        <is>
          <t>Y</t>
        </is>
      </c>
      <c r="N58" s="136">
        <f>IF(ISNUMBER(timeseries!K11),timeseries!K11,"")</f>
        <v/>
      </c>
      <c r="O58" s="77" t="inlineStr">
        <is>
          <t>GBP/MWh nominal</t>
        </is>
      </c>
    </row>
    <row r="59" ht="15" customHeight="1" s="78">
      <c r="A59" s="77" t="inlineStr">
        <is>
          <t>UK</t>
        </is>
      </c>
      <c r="B59" s="77" t="n">
        <v>2017</v>
      </c>
      <c r="C59" s="77" t="inlineStr">
        <is>
          <t>large</t>
        </is>
      </c>
      <c r="D59" s="77" t="inlineStr">
        <is>
          <t>E1</t>
        </is>
      </c>
      <c r="E59" s="77" t="inlineStr">
        <is>
          <t>FiT levelisation</t>
        </is>
      </c>
      <c r="F59" s="77" t="inlineStr">
        <is>
          <t>2 Gen capital recovery</t>
        </is>
      </c>
      <c r="G59" s="77" t="inlineStr">
        <is>
          <t>renewables levy</t>
        </is>
      </c>
      <c r="H59" s="77" t="inlineStr">
        <is>
          <t>i</t>
        </is>
      </c>
      <c r="I59" s="77">
        <f>IF(ISNUMBER(N59),N59*fx_deflator!$I$12*fx_deflator!$M$12,"")</f>
        <v/>
      </c>
      <c r="J59" s="77" t="inlineStr">
        <is>
          <t>Ofgem FIT Annual Reports SY1-SY15; D27 for 2010-14</t>
        </is>
      </c>
      <c r="K59" s="77" t="inlineStr">
        <is>
          <t>stage4_uk r20</t>
        </is>
      </c>
      <c r="L59" s="77" t="inlineStr">
        <is>
          <t>2026-07-15</t>
        </is>
      </c>
      <c r="M59" s="77" t="inlineStr">
        <is>
          <t>Y</t>
        </is>
      </c>
      <c r="N59" s="77">
        <f>IF(ISNUMBER(timeseries!K12),timeseries!K12,"")</f>
        <v/>
      </c>
      <c r="O59" s="77" t="inlineStr">
        <is>
          <t>GBP/MWh nominal</t>
        </is>
      </c>
      <c r="P59" s="77" t="inlineStr">
        <is>
          <t>2025 unpublished (Q32) — row absent, gap stated</t>
        </is>
      </c>
    </row>
    <row r="60" ht="15" customHeight="1" s="78">
      <c r="A60" s="77" t="inlineStr">
        <is>
          <t>UK</t>
        </is>
      </c>
      <c r="B60" s="77" t="n">
        <v>2017</v>
      </c>
      <c r="C60" s="77" t="inlineStr">
        <is>
          <t>large</t>
        </is>
      </c>
      <c r="D60" s="77" t="inlineStr">
        <is>
          <t>E1</t>
        </is>
      </c>
      <c r="E60" s="77" t="inlineStr">
        <is>
          <t>Capacity Market (derived per-MWh)</t>
        </is>
      </c>
      <c r="F60" s="77" t="inlineStr">
        <is>
          <t>2 Gen capital recovery</t>
        </is>
      </c>
      <c r="G60" s="77" t="inlineStr">
        <is>
          <t>capacity market levy</t>
        </is>
      </c>
      <c r="H60" s="77" t="inlineStr">
        <is>
          <t>i</t>
        </is>
      </c>
      <c r="I60" s="77">
        <f>IF(ISNUMBER(N60),N60*fx_deflator!$I$12*fx_deflator!$M$12,"")</f>
        <v/>
      </c>
      <c r="J60" s="77" t="inlineStr">
        <is>
          <t>EMRS Key Figures for Payments (derived per-MWh, D30)</t>
        </is>
      </c>
      <c r="K60" s="77" t="inlineStr">
        <is>
          <t>stage4_uk r21</t>
        </is>
      </c>
      <c r="L60" s="77" t="inlineStr">
        <is>
          <t>2026-07-15</t>
        </is>
      </c>
      <c r="M60" s="77" t="inlineStr">
        <is>
          <t>Y</t>
        </is>
      </c>
      <c r="N60" s="77">
        <f>IF(ISNUMBER(timeseries!K13),timeseries!K13,"")</f>
        <v/>
      </c>
      <c r="O60" s="77" t="inlineStr">
        <is>
          <t>GBP/MWh nominal</t>
        </is>
      </c>
      <c r="P60" s="77" t="inlineStr">
        <is>
          <t>function 2 per D9</t>
        </is>
      </c>
    </row>
    <row r="61" ht="15" customHeight="1" s="78">
      <c r="A61" s="77" t="inlineStr">
        <is>
          <t>UK</t>
        </is>
      </c>
      <c r="B61" s="77" t="n">
        <v>2017</v>
      </c>
      <c r="C61" s="77" t="inlineStr">
        <is>
          <t>large</t>
        </is>
      </c>
      <c r="D61" s="77" t="inlineStr">
        <is>
          <t>E1</t>
        </is>
      </c>
      <c r="E61" s="77" t="inlineStr">
        <is>
          <t>CCL (main rate; CCA discount not modelled)</t>
        </is>
      </c>
      <c r="F61" s="77" t="inlineStr">
        <is>
          <t>5 General taxation &amp; levies</t>
        </is>
      </c>
      <c r="G61" s="77" t="inlineStr">
        <is>
          <t>climate levy (tax)</t>
        </is>
      </c>
      <c r="H61" s="77" t="inlineStr">
        <is>
          <t>i</t>
        </is>
      </c>
      <c r="I61" s="77">
        <f>IF(ISNUMBER(N61),N61*fx_deflator!$I$12*fx_deflator!$M$12,"")</f>
        <v/>
      </c>
      <c r="J61" s="77" t="inlineStr">
        <is>
          <t>HMRC Environmental Taxes Bulletin, historical rates Table 1</t>
        </is>
      </c>
      <c r="K61" s="77" t="inlineStr">
        <is>
          <t>stage4_uk r22</t>
        </is>
      </c>
      <c r="L61" s="77" t="inlineStr">
        <is>
          <t>2026-07-15</t>
        </is>
      </c>
      <c r="M61" s="77" t="inlineStr">
        <is>
          <t>N</t>
        </is>
      </c>
      <c r="N61" s="136">
        <f>IF(ISNUMBER(timeseries!K14),timeseries!K14,"")</f>
        <v/>
      </c>
      <c r="O61" s="77" t="inlineStr">
        <is>
          <t>GBP/MWh nominal</t>
        </is>
      </c>
    </row>
    <row r="62" ht="15" customHeight="1" s="78">
      <c r="A62" s="77" t="inlineStr">
        <is>
          <t>UK</t>
        </is>
      </c>
      <c r="B62" s="77" t="n">
        <v>2018</v>
      </c>
      <c r="C62" s="77" t="inlineStr">
        <is>
          <t>large</t>
        </is>
      </c>
      <c r="D62" s="77" t="inlineStr">
        <is>
          <t>E1</t>
        </is>
      </c>
      <c r="E62" s="77" t="inlineStr">
        <is>
          <t>Wholesale (rolling year-ahead baseload; DA proxy &lt;=2021)</t>
        </is>
      </c>
      <c r="F62" s="77" t="inlineStr">
        <is>
          <t>1 Commodity</t>
        </is>
      </c>
      <c r="G62" s="77" t="inlineStr">
        <is>
          <t>wholesale market</t>
        </is>
      </c>
      <c r="H62" s="77" t="inlineStr">
        <is>
          <t>i</t>
        </is>
      </c>
      <c r="I62" s="77">
        <f>IF(ISNUMBER(N62),N62*fx_deflator!$I$13*fx_deflator!$M$13,"")</f>
        <v/>
      </c>
      <c r="J62" s="77" t="inlineStr">
        <is>
          <t>Ofgem data portal — DA baseload monthly avg (proxy &lt;=2021, D22); Forward Delivery Contracts (D21)</t>
        </is>
      </c>
      <c r="K62" s="77" t="inlineStr">
        <is>
          <t>stage4_uk r7-9</t>
        </is>
      </c>
      <c r="L62" s="77" t="inlineStr">
        <is>
          <t>2026-07-15</t>
        </is>
      </c>
      <c r="M62" s="77" t="inlineStr">
        <is>
          <t>Y</t>
        </is>
      </c>
      <c r="N62" s="136">
        <f>IF(ISNUMBER(timeseries!L6),timeseries!L6,"")</f>
        <v/>
      </c>
      <c r="O62" s="77" t="inlineStr">
        <is>
          <t>GBP/MWh nominal</t>
        </is>
      </c>
      <c r="P62" s="77" t="inlineStr">
        <is>
          <t>identical E1/E2; embedded carbon memo inside this item</t>
        </is>
      </c>
    </row>
    <row r="63" ht="15" customHeight="1" s="78">
      <c r="A63" s="77" t="inlineStr">
        <is>
          <t>UK</t>
        </is>
      </c>
      <c r="B63" s="77" t="n">
        <v>2018</v>
      </c>
      <c r="C63" s="77" t="inlineStr">
        <is>
          <t>large</t>
        </is>
      </c>
      <c r="D63" s="77" t="inlineStr">
        <is>
          <t>E1</t>
        </is>
      </c>
      <c r="E63" s="77" t="inlineStr">
        <is>
          <t>TNUoS demand (zone 5; TCR banded residual from 2023)</t>
        </is>
      </c>
      <c r="F63" s="77" t="inlineStr">
        <is>
          <t>3 Network</t>
        </is>
      </c>
      <c r="G63" s="77" t="inlineStr">
        <is>
          <t>transmission network charge</t>
        </is>
      </c>
      <c r="H63" s="77" t="inlineStr">
        <is>
          <t>i</t>
        </is>
      </c>
      <c r="I63" s="77">
        <f>IF(ISNUMBER(N63),N63*fx_deflator!$I$13*fx_deflator!$M$13,"")</f>
        <v/>
      </c>
      <c r="J63" s="77" t="inlineStr">
        <is>
          <t>NESO TNUoS tariff documents (compendium doc 50736; Final TNUoS 2023/24-2026/27 Table 10)</t>
        </is>
      </c>
      <c r="K63" s="77" t="inlineStr">
        <is>
          <t>stage4_uk r25-27</t>
        </is>
      </c>
      <c r="L63" s="77" t="inlineStr">
        <is>
          <t>2026-07-15</t>
        </is>
      </c>
      <c r="M63" s="77" t="inlineStr">
        <is>
          <t>Y</t>
        </is>
      </c>
      <c r="N63" s="136">
        <f>IF(ISNUMBER(timeseries!L7),timeseries!L7,"")</f>
        <v/>
      </c>
      <c r="O63" s="77" t="inlineStr">
        <is>
          <t>GBP/MWh nominal</t>
        </is>
      </c>
    </row>
    <row r="64" ht="15" customHeight="1" s="78">
      <c r="A64" s="77" t="inlineStr">
        <is>
          <t>UK</t>
        </is>
      </c>
      <c r="B64" s="77" t="n">
        <v>2018</v>
      </c>
      <c r="C64" s="77" t="inlineStr">
        <is>
          <t>large</t>
        </is>
      </c>
      <c r="D64" s="77" t="inlineStr">
        <is>
          <t>E1</t>
        </is>
      </c>
      <c r="E64" s="77" t="inlineStr">
        <is>
          <t>BSUoS (demand-only from 04/2023)</t>
        </is>
      </c>
      <c r="F64" s="77" t="inlineStr">
        <is>
          <t>4 System services &amp; balancing</t>
        </is>
      </c>
      <c r="G64" s="77" t="inlineStr">
        <is>
          <t>balancing charge</t>
        </is>
      </c>
      <c r="H64" s="77" t="inlineStr">
        <is>
          <t>i</t>
        </is>
      </c>
      <c r="I64" s="77">
        <f>IF(ISNUMBER(N64),N64*fx_deflator!$I$13*fx_deflator!$M$13,"")</f>
        <v/>
      </c>
      <c r="J64" s="77" t="inlineStr">
        <is>
          <t>NESO bsuos-fixed-tariffs + HH RF settlement files (own annual avg 2010-22)</t>
        </is>
      </c>
      <c r="K64" s="77" t="inlineStr">
        <is>
          <t>stage4_uk r28-30</t>
        </is>
      </c>
      <c r="L64" s="77" t="inlineStr">
        <is>
          <t>2026-07-15</t>
        </is>
      </c>
      <c r="M64" s="77" t="inlineStr">
        <is>
          <t>Y</t>
        </is>
      </c>
      <c r="N64" s="77">
        <f>IF(ISNUMBER(timeseries!L8),timeseries!L8,"")</f>
        <v/>
      </c>
      <c r="O64" s="77" t="inlineStr">
        <is>
          <t>GBP/MWh nominal</t>
        </is>
      </c>
    </row>
    <row r="65" ht="15" customHeight="1" s="78">
      <c r="A65" s="77" t="inlineStr">
        <is>
          <t>UK</t>
        </is>
      </c>
      <c r="B65" s="77" t="n">
        <v>2018</v>
      </c>
      <c r="C65" s="77" t="inlineStr">
        <is>
          <t>large</t>
        </is>
      </c>
      <c r="D65" s="77" t="inlineStr">
        <is>
          <t>E1</t>
        </is>
      </c>
      <c r="E65" s="77" t="inlineStr">
        <is>
          <t>AAHEDC</t>
        </is>
      </c>
      <c r="F65" s="77" t="inlineStr">
        <is>
          <t>3 Network</t>
        </is>
      </c>
      <c r="G65" s="77" t="inlineStr">
        <is>
          <t>network levy (hydro benefit)</t>
        </is>
      </c>
      <c r="H65" s="77" t="inlineStr">
        <is>
          <t>ii (pays cross-subsidy to N Scotland consumers)</t>
        </is>
      </c>
      <c r="I65" s="77">
        <f>IF(ISNUMBER(N65),N65*fx_deflator!$I$13*fx_deflator!$M$13,"")</f>
        <v/>
      </c>
      <c r="J65" s="77" t="inlineStr">
        <is>
          <t>NG/ESO AAHEDC charging statements &amp; final tariff letters</t>
        </is>
      </c>
      <c r="K65" s="77" t="inlineStr">
        <is>
          <t>stage4_uk r31</t>
        </is>
      </c>
      <c r="L65" s="77" t="inlineStr">
        <is>
          <t>2026-07-15</t>
        </is>
      </c>
      <c r="M65" s="77" t="inlineStr">
        <is>
          <t>N</t>
        </is>
      </c>
      <c r="N65" s="77">
        <f>IF(ISNUMBER(timeseries!L9),timeseries!L9,"")</f>
        <v/>
      </c>
      <c r="O65" s="77" t="inlineStr">
        <is>
          <t>GBP/MWh nominal</t>
        </is>
      </c>
      <c r="P65" s="77" t="inlineStr">
        <is>
          <t>not in NCC base (conservative, unverified)</t>
        </is>
      </c>
    </row>
    <row r="66" ht="15" customHeight="1" s="78">
      <c r="A66" s="77" t="inlineStr">
        <is>
          <t>UK</t>
        </is>
      </c>
      <c r="B66" s="77" t="n">
        <v>2018</v>
      </c>
      <c r="C66" s="77" t="inlineStr">
        <is>
          <t>large</t>
        </is>
      </c>
      <c r="D66" s="77" t="inlineStr">
        <is>
          <t>E1</t>
        </is>
      </c>
      <c r="E66" s="77" t="inlineStr">
        <is>
          <t>RO (buy-out x obligation)</t>
        </is>
      </c>
      <c r="F66" s="77" t="inlineStr">
        <is>
          <t>2 Gen capital recovery</t>
        </is>
      </c>
      <c r="G66" s="77" t="inlineStr">
        <is>
          <t>renewables levy</t>
        </is>
      </c>
      <c r="H66" s="77" t="inlineStr">
        <is>
          <t>i</t>
        </is>
      </c>
      <c r="I66" s="77">
        <f>IF(ISNUMBER(N66),N66*fx_deflator!$I$13*fx_deflator!$M$13,"")</f>
        <v/>
      </c>
      <c r="J66" s="77" t="inlineStr">
        <is>
          <t>Ofgem RO guidance OFG1164 Table 1.1 (buy-out x obligation)</t>
        </is>
      </c>
      <c r="K66" s="77" t="inlineStr">
        <is>
          <t>stage4_uk r12-14</t>
        </is>
      </c>
      <c r="L66" s="77" t="inlineStr">
        <is>
          <t>2026-07-15</t>
        </is>
      </c>
      <c r="M66" s="77" t="inlineStr">
        <is>
          <t>Y</t>
        </is>
      </c>
      <c r="N66" s="136">
        <f>IF(ISNUMBER(timeseries!L10),timeseries!L10,"")</f>
        <v/>
      </c>
      <c r="O66" s="77" t="inlineStr">
        <is>
          <t>GBP/MWh nominal</t>
        </is>
      </c>
    </row>
    <row r="67" ht="15" customHeight="1" s="78">
      <c r="A67" s="77" t="inlineStr">
        <is>
          <t>UK</t>
        </is>
      </c>
      <c r="B67" s="77" t="n">
        <v>2018</v>
      </c>
      <c r="C67" s="77" t="inlineStr">
        <is>
          <t>large</t>
        </is>
      </c>
      <c r="D67" s="77" t="inlineStr">
        <is>
          <t>E1</t>
        </is>
      </c>
      <c r="E67" s="77" t="inlineStr">
        <is>
          <t>CfD Interim Levy Rate (annual avg)</t>
        </is>
      </c>
      <c r="F67" s="77" t="inlineStr">
        <is>
          <t>2 Gen capital recovery</t>
        </is>
      </c>
      <c r="G67" s="77" t="inlineStr">
        <is>
          <t>renewables levy</t>
        </is>
      </c>
      <c r="H67" s="77" t="inlineStr">
        <is>
          <t>i</t>
        </is>
      </c>
      <c r="I67" s="77">
        <f>IF(ISNUMBER(N67),N67*fx_deflator!$I$13*fx_deflator!$M$13,"")</f>
        <v/>
      </c>
      <c r="J67" s="77" t="inlineStr">
        <is>
          <t>LCCC Actual ILR Income dataset (quarterly avg)</t>
        </is>
      </c>
      <c r="K67" s="77" t="inlineStr">
        <is>
          <t>stage4_uk r15-19</t>
        </is>
      </c>
      <c r="L67" s="77" t="inlineStr">
        <is>
          <t>2026-07-15</t>
        </is>
      </c>
      <c r="M67" s="77" t="inlineStr">
        <is>
          <t>Y</t>
        </is>
      </c>
      <c r="N67" s="136">
        <f>IF(ISNUMBER(timeseries!L11),timeseries!L11,"")</f>
        <v/>
      </c>
      <c r="O67" s="77" t="inlineStr">
        <is>
          <t>GBP/MWh nominal</t>
        </is>
      </c>
    </row>
    <row r="68" ht="15" customHeight="1" s="78">
      <c r="A68" s="77" t="inlineStr">
        <is>
          <t>UK</t>
        </is>
      </c>
      <c r="B68" s="77" t="n">
        <v>2018</v>
      </c>
      <c r="C68" s="77" t="inlineStr">
        <is>
          <t>large</t>
        </is>
      </c>
      <c r="D68" s="77" t="inlineStr">
        <is>
          <t>E1</t>
        </is>
      </c>
      <c r="E68" s="77" t="inlineStr">
        <is>
          <t>FiT levelisation</t>
        </is>
      </c>
      <c r="F68" s="77" t="inlineStr">
        <is>
          <t>2 Gen capital recovery</t>
        </is>
      </c>
      <c r="G68" s="77" t="inlineStr">
        <is>
          <t>renewables levy</t>
        </is>
      </c>
      <c r="H68" s="77" t="inlineStr">
        <is>
          <t>i</t>
        </is>
      </c>
      <c r="I68" s="77">
        <f>IF(ISNUMBER(N68),N68*fx_deflator!$I$13*fx_deflator!$M$13,"")</f>
        <v/>
      </c>
      <c r="J68" s="77" t="inlineStr">
        <is>
          <t>Ofgem FIT Annual Reports SY1-SY15; D27 for 2010-14</t>
        </is>
      </c>
      <c r="K68" s="77" t="inlineStr">
        <is>
          <t>stage4_uk r20</t>
        </is>
      </c>
      <c r="L68" s="77" t="inlineStr">
        <is>
          <t>2026-07-15</t>
        </is>
      </c>
      <c r="M68" s="77" t="inlineStr">
        <is>
          <t>Y</t>
        </is>
      </c>
      <c r="N68" s="77">
        <f>IF(ISNUMBER(timeseries!L12),timeseries!L12,"")</f>
        <v/>
      </c>
      <c r="O68" s="77" t="inlineStr">
        <is>
          <t>GBP/MWh nominal</t>
        </is>
      </c>
      <c r="P68" s="77" t="inlineStr">
        <is>
          <t>2025 unpublished (Q32) — row absent, gap stated</t>
        </is>
      </c>
    </row>
    <row r="69" ht="15" customHeight="1" s="78">
      <c r="A69" s="77" t="inlineStr">
        <is>
          <t>UK</t>
        </is>
      </c>
      <c r="B69" s="77" t="n">
        <v>2018</v>
      </c>
      <c r="C69" s="77" t="inlineStr">
        <is>
          <t>large</t>
        </is>
      </c>
      <c r="D69" s="77" t="inlineStr">
        <is>
          <t>E1</t>
        </is>
      </c>
      <c r="E69" s="77" t="inlineStr">
        <is>
          <t>Capacity Market (derived per-MWh)</t>
        </is>
      </c>
      <c r="F69" s="77" t="inlineStr">
        <is>
          <t>2 Gen capital recovery</t>
        </is>
      </c>
      <c r="G69" s="77" t="inlineStr">
        <is>
          <t>capacity market levy</t>
        </is>
      </c>
      <c r="H69" s="77" t="inlineStr">
        <is>
          <t>i</t>
        </is>
      </c>
      <c r="I69" s="77">
        <f>IF(ISNUMBER(N69),N69*fx_deflator!$I$13*fx_deflator!$M$13,"")</f>
        <v/>
      </c>
      <c r="J69" s="77" t="inlineStr">
        <is>
          <t>EMRS Key Figures for Payments (derived per-MWh, D30)</t>
        </is>
      </c>
      <c r="K69" s="77" t="inlineStr">
        <is>
          <t>stage4_uk r21</t>
        </is>
      </c>
      <c r="L69" s="77" t="inlineStr">
        <is>
          <t>2026-07-15</t>
        </is>
      </c>
      <c r="M69" s="77" t="inlineStr">
        <is>
          <t>Y</t>
        </is>
      </c>
      <c r="N69" s="77">
        <f>IF(ISNUMBER(timeseries!L13),timeseries!L13,"")</f>
        <v/>
      </c>
      <c r="O69" s="77" t="inlineStr">
        <is>
          <t>GBP/MWh nominal</t>
        </is>
      </c>
      <c r="P69" s="77" t="inlineStr">
        <is>
          <t>function 2 per D9</t>
        </is>
      </c>
    </row>
    <row r="70" ht="15" customHeight="1" s="78">
      <c r="A70" s="77" t="inlineStr">
        <is>
          <t>UK</t>
        </is>
      </c>
      <c r="B70" s="77" t="n">
        <v>2018</v>
      </c>
      <c r="C70" s="77" t="inlineStr">
        <is>
          <t>large</t>
        </is>
      </c>
      <c r="D70" s="77" t="inlineStr">
        <is>
          <t>E1</t>
        </is>
      </c>
      <c r="E70" s="77" t="inlineStr">
        <is>
          <t>CCL (main rate; CCA discount not modelled)</t>
        </is>
      </c>
      <c r="F70" s="77" t="inlineStr">
        <is>
          <t>5 General taxation &amp; levies</t>
        </is>
      </c>
      <c r="G70" s="77" t="inlineStr">
        <is>
          <t>climate levy (tax)</t>
        </is>
      </c>
      <c r="H70" s="77" t="inlineStr">
        <is>
          <t>i</t>
        </is>
      </c>
      <c r="I70" s="77">
        <f>IF(ISNUMBER(N70),N70*fx_deflator!$I$13*fx_deflator!$M$13,"")</f>
        <v/>
      </c>
      <c r="J70" s="77" t="inlineStr">
        <is>
          <t>HMRC Environmental Taxes Bulletin, historical rates Table 1</t>
        </is>
      </c>
      <c r="K70" s="77" t="inlineStr">
        <is>
          <t>stage4_uk r22</t>
        </is>
      </c>
      <c r="L70" s="77" t="inlineStr">
        <is>
          <t>2026-07-15</t>
        </is>
      </c>
      <c r="M70" s="77" t="inlineStr">
        <is>
          <t>N</t>
        </is>
      </c>
      <c r="N70" s="136">
        <f>IF(ISNUMBER(timeseries!L14),timeseries!L14,"")</f>
        <v/>
      </c>
      <c r="O70" s="77" t="inlineStr">
        <is>
          <t>GBP/MWh nominal</t>
        </is>
      </c>
    </row>
    <row r="71" ht="15" customHeight="1" s="78">
      <c r="A71" s="77" t="inlineStr">
        <is>
          <t>UK</t>
        </is>
      </c>
      <c r="B71" s="77" t="n">
        <v>2019</v>
      </c>
      <c r="C71" s="77" t="inlineStr">
        <is>
          <t>large</t>
        </is>
      </c>
      <c r="D71" s="77" t="inlineStr">
        <is>
          <t>E1</t>
        </is>
      </c>
      <c r="E71" s="77" t="inlineStr">
        <is>
          <t>Wholesale (rolling year-ahead baseload; DA proxy &lt;=2021)</t>
        </is>
      </c>
      <c r="F71" s="77" t="inlineStr">
        <is>
          <t>1 Commodity</t>
        </is>
      </c>
      <c r="G71" s="77" t="inlineStr">
        <is>
          <t>wholesale market</t>
        </is>
      </c>
      <c r="H71" s="77" t="inlineStr">
        <is>
          <t>i</t>
        </is>
      </c>
      <c r="I71" s="77">
        <f>IF(ISNUMBER(N71),N71*fx_deflator!$I$14*fx_deflator!$M$14,"")</f>
        <v/>
      </c>
      <c r="J71" s="77" t="inlineStr">
        <is>
          <t>Ofgem data portal — DA baseload monthly avg (proxy &lt;=2021, D22); Forward Delivery Contracts (D21)</t>
        </is>
      </c>
      <c r="K71" s="77" t="inlineStr">
        <is>
          <t>stage4_uk r7-9</t>
        </is>
      </c>
      <c r="L71" s="77" t="inlineStr">
        <is>
          <t>2026-07-15</t>
        </is>
      </c>
      <c r="M71" s="77" t="inlineStr">
        <is>
          <t>Y</t>
        </is>
      </c>
      <c r="N71" s="136">
        <f>IF(ISNUMBER(timeseries!M6),timeseries!M6,"")</f>
        <v/>
      </c>
      <c r="O71" s="77" t="inlineStr">
        <is>
          <t>GBP/MWh nominal</t>
        </is>
      </c>
      <c r="P71" s="77" t="inlineStr">
        <is>
          <t>identical E1/E2; embedded carbon memo inside this item</t>
        </is>
      </c>
    </row>
    <row r="72" ht="15" customHeight="1" s="78">
      <c r="A72" s="77" t="inlineStr">
        <is>
          <t>UK</t>
        </is>
      </c>
      <c r="B72" s="77" t="n">
        <v>2019</v>
      </c>
      <c r="C72" s="77" t="inlineStr">
        <is>
          <t>large</t>
        </is>
      </c>
      <c r="D72" s="77" t="inlineStr">
        <is>
          <t>E1</t>
        </is>
      </c>
      <c r="E72" s="77" t="inlineStr">
        <is>
          <t>TNUoS demand (zone 5; TCR banded residual from 2023)</t>
        </is>
      </c>
      <c r="F72" s="77" t="inlineStr">
        <is>
          <t>3 Network</t>
        </is>
      </c>
      <c r="G72" s="77" t="inlineStr">
        <is>
          <t>transmission network charge</t>
        </is>
      </c>
      <c r="H72" s="77" t="inlineStr">
        <is>
          <t>i</t>
        </is>
      </c>
      <c r="I72" s="77">
        <f>IF(ISNUMBER(N72),N72*fx_deflator!$I$14*fx_deflator!$M$14,"")</f>
        <v/>
      </c>
      <c r="J72" s="77" t="inlineStr">
        <is>
          <t>NESO TNUoS tariff documents (compendium doc 50736; Final TNUoS 2023/24-2026/27 Table 10)</t>
        </is>
      </c>
      <c r="K72" s="77" t="inlineStr">
        <is>
          <t>stage4_uk r25-27</t>
        </is>
      </c>
      <c r="L72" s="77" t="inlineStr">
        <is>
          <t>2026-07-15</t>
        </is>
      </c>
      <c r="M72" s="77" t="inlineStr">
        <is>
          <t>Y</t>
        </is>
      </c>
      <c r="N72" s="136">
        <f>IF(ISNUMBER(timeseries!M7),timeseries!M7,"")</f>
        <v/>
      </c>
      <c r="O72" s="77" t="inlineStr">
        <is>
          <t>GBP/MWh nominal</t>
        </is>
      </c>
    </row>
    <row r="73" ht="15" customHeight="1" s="78">
      <c r="A73" s="77" t="inlineStr">
        <is>
          <t>UK</t>
        </is>
      </c>
      <c r="B73" s="77" t="n">
        <v>2019</v>
      </c>
      <c r="C73" s="77" t="inlineStr">
        <is>
          <t>large</t>
        </is>
      </c>
      <c r="D73" s="77" t="inlineStr">
        <is>
          <t>E1</t>
        </is>
      </c>
      <c r="E73" s="77" t="inlineStr">
        <is>
          <t>BSUoS (demand-only from 04/2023)</t>
        </is>
      </c>
      <c r="F73" s="77" t="inlineStr">
        <is>
          <t>4 System services &amp; balancing</t>
        </is>
      </c>
      <c r="G73" s="77" t="inlineStr">
        <is>
          <t>balancing charge</t>
        </is>
      </c>
      <c r="H73" s="77" t="inlineStr">
        <is>
          <t>i</t>
        </is>
      </c>
      <c r="I73" s="77">
        <f>IF(ISNUMBER(N73),N73*fx_deflator!$I$14*fx_deflator!$M$14,"")</f>
        <v/>
      </c>
      <c r="J73" s="77" t="inlineStr">
        <is>
          <t>NESO bsuos-fixed-tariffs + HH RF settlement files (own annual avg 2010-22)</t>
        </is>
      </c>
      <c r="K73" s="77" t="inlineStr">
        <is>
          <t>stage4_uk r28-30</t>
        </is>
      </c>
      <c r="L73" s="77" t="inlineStr">
        <is>
          <t>2026-07-15</t>
        </is>
      </c>
      <c r="M73" s="77" t="inlineStr">
        <is>
          <t>Y</t>
        </is>
      </c>
      <c r="N73" s="77">
        <f>IF(ISNUMBER(timeseries!M8),timeseries!M8,"")</f>
        <v/>
      </c>
      <c r="O73" s="77" t="inlineStr">
        <is>
          <t>GBP/MWh nominal</t>
        </is>
      </c>
    </row>
    <row r="74" ht="15" customHeight="1" s="78">
      <c r="A74" s="77" t="inlineStr">
        <is>
          <t>UK</t>
        </is>
      </c>
      <c r="B74" s="77" t="n">
        <v>2019</v>
      </c>
      <c r="C74" s="77" t="inlineStr">
        <is>
          <t>large</t>
        </is>
      </c>
      <c r="D74" s="77" t="inlineStr">
        <is>
          <t>E1</t>
        </is>
      </c>
      <c r="E74" s="77" t="inlineStr">
        <is>
          <t>AAHEDC</t>
        </is>
      </c>
      <c r="F74" s="77" t="inlineStr">
        <is>
          <t>3 Network</t>
        </is>
      </c>
      <c r="G74" s="77" t="inlineStr">
        <is>
          <t>network levy (hydro benefit)</t>
        </is>
      </c>
      <c r="H74" s="77" t="inlineStr">
        <is>
          <t>ii (pays cross-subsidy to N Scotland consumers)</t>
        </is>
      </c>
      <c r="I74" s="77">
        <f>IF(ISNUMBER(N74),N74*fx_deflator!$I$14*fx_deflator!$M$14,"")</f>
        <v/>
      </c>
      <c r="J74" s="77" t="inlineStr">
        <is>
          <t>NG/ESO AAHEDC charging statements &amp; final tariff letters</t>
        </is>
      </c>
      <c r="K74" s="77" t="inlineStr">
        <is>
          <t>stage4_uk r31</t>
        </is>
      </c>
      <c r="L74" s="77" t="inlineStr">
        <is>
          <t>2026-07-15</t>
        </is>
      </c>
      <c r="M74" s="77" t="inlineStr">
        <is>
          <t>N</t>
        </is>
      </c>
      <c r="N74" s="77">
        <f>IF(ISNUMBER(timeseries!M9),timeseries!M9,"")</f>
        <v/>
      </c>
      <c r="O74" s="77" t="inlineStr">
        <is>
          <t>GBP/MWh nominal</t>
        </is>
      </c>
      <c r="P74" s="77" t="inlineStr">
        <is>
          <t>not in NCC base (conservative, unverified)</t>
        </is>
      </c>
    </row>
    <row r="75" ht="15" customHeight="1" s="78">
      <c r="A75" s="77" t="inlineStr">
        <is>
          <t>UK</t>
        </is>
      </c>
      <c r="B75" s="77" t="n">
        <v>2019</v>
      </c>
      <c r="C75" s="77" t="inlineStr">
        <is>
          <t>large</t>
        </is>
      </c>
      <c r="D75" s="77" t="inlineStr">
        <is>
          <t>E1</t>
        </is>
      </c>
      <c r="E75" s="77" t="inlineStr">
        <is>
          <t>RO (buy-out x obligation)</t>
        </is>
      </c>
      <c r="F75" s="77" t="inlineStr">
        <is>
          <t>2 Gen capital recovery</t>
        </is>
      </c>
      <c r="G75" s="77" t="inlineStr">
        <is>
          <t>renewables levy</t>
        </is>
      </c>
      <c r="H75" s="77" t="inlineStr">
        <is>
          <t>i</t>
        </is>
      </c>
      <c r="I75" s="77">
        <f>IF(ISNUMBER(N75),N75*fx_deflator!$I$14*fx_deflator!$M$14,"")</f>
        <v/>
      </c>
      <c r="J75" s="77" t="inlineStr">
        <is>
          <t>Ofgem RO guidance OFG1164 Table 1.1 (buy-out x obligation)</t>
        </is>
      </c>
      <c r="K75" s="77" t="inlineStr">
        <is>
          <t>stage4_uk r12-14</t>
        </is>
      </c>
      <c r="L75" s="77" t="inlineStr">
        <is>
          <t>2026-07-15</t>
        </is>
      </c>
      <c r="M75" s="77" t="inlineStr">
        <is>
          <t>Y</t>
        </is>
      </c>
      <c r="N75" s="136">
        <f>IF(ISNUMBER(timeseries!M10),timeseries!M10,"")</f>
        <v/>
      </c>
      <c r="O75" s="77" t="inlineStr">
        <is>
          <t>GBP/MWh nominal</t>
        </is>
      </c>
    </row>
    <row r="76" ht="15" customHeight="1" s="78">
      <c r="A76" s="77" t="inlineStr">
        <is>
          <t>UK</t>
        </is>
      </c>
      <c r="B76" s="77" t="n">
        <v>2019</v>
      </c>
      <c r="C76" s="77" t="inlineStr">
        <is>
          <t>large</t>
        </is>
      </c>
      <c r="D76" s="77" t="inlineStr">
        <is>
          <t>E1</t>
        </is>
      </c>
      <c r="E76" s="77" t="inlineStr">
        <is>
          <t>CfD Interim Levy Rate (annual avg)</t>
        </is>
      </c>
      <c r="F76" s="77" t="inlineStr">
        <is>
          <t>2 Gen capital recovery</t>
        </is>
      </c>
      <c r="G76" s="77" t="inlineStr">
        <is>
          <t>renewables levy</t>
        </is>
      </c>
      <c r="H76" s="77" t="inlineStr">
        <is>
          <t>i</t>
        </is>
      </c>
      <c r="I76" s="77">
        <f>IF(ISNUMBER(N76),N76*fx_deflator!$I$14*fx_deflator!$M$14,"")</f>
        <v/>
      </c>
      <c r="J76" s="77" t="inlineStr">
        <is>
          <t>LCCC Actual ILR Income dataset (quarterly avg)</t>
        </is>
      </c>
      <c r="K76" s="77" t="inlineStr">
        <is>
          <t>stage4_uk r15-19</t>
        </is>
      </c>
      <c r="L76" s="77" t="inlineStr">
        <is>
          <t>2026-07-15</t>
        </is>
      </c>
      <c r="M76" s="77" t="inlineStr">
        <is>
          <t>Y</t>
        </is>
      </c>
      <c r="N76" s="136">
        <f>IF(ISNUMBER(timeseries!M11),timeseries!M11,"")</f>
        <v/>
      </c>
      <c r="O76" s="77" t="inlineStr">
        <is>
          <t>GBP/MWh nominal</t>
        </is>
      </c>
    </row>
    <row r="77" ht="15" customHeight="1" s="78">
      <c r="A77" s="77" t="inlineStr">
        <is>
          <t>UK</t>
        </is>
      </c>
      <c r="B77" s="77" t="n">
        <v>2019</v>
      </c>
      <c r="C77" s="77" t="inlineStr">
        <is>
          <t>large</t>
        </is>
      </c>
      <c r="D77" s="77" t="inlineStr">
        <is>
          <t>E1</t>
        </is>
      </c>
      <c r="E77" s="77" t="inlineStr">
        <is>
          <t>FiT levelisation</t>
        </is>
      </c>
      <c r="F77" s="77" t="inlineStr">
        <is>
          <t>2 Gen capital recovery</t>
        </is>
      </c>
      <c r="G77" s="77" t="inlineStr">
        <is>
          <t>renewables levy</t>
        </is>
      </c>
      <c r="H77" s="77" t="inlineStr">
        <is>
          <t>i</t>
        </is>
      </c>
      <c r="I77" s="77">
        <f>IF(ISNUMBER(N77),N77*fx_deflator!$I$14*fx_deflator!$M$14,"")</f>
        <v/>
      </c>
      <c r="J77" s="77" t="inlineStr">
        <is>
          <t>Ofgem FIT Annual Reports SY1-SY15; D27 for 2010-14</t>
        </is>
      </c>
      <c r="K77" s="77" t="inlineStr">
        <is>
          <t>stage4_uk r20</t>
        </is>
      </c>
      <c r="L77" s="77" t="inlineStr">
        <is>
          <t>2026-07-15</t>
        </is>
      </c>
      <c r="M77" s="77" t="inlineStr">
        <is>
          <t>Y</t>
        </is>
      </c>
      <c r="N77" s="77">
        <f>IF(ISNUMBER(timeseries!M12),timeseries!M12,"")</f>
        <v/>
      </c>
      <c r="O77" s="77" t="inlineStr">
        <is>
          <t>GBP/MWh nominal</t>
        </is>
      </c>
      <c r="P77" s="77" t="inlineStr">
        <is>
          <t>2025 unpublished (Q32) — row absent, gap stated</t>
        </is>
      </c>
    </row>
    <row r="78" ht="15" customHeight="1" s="78">
      <c r="A78" s="77" t="inlineStr">
        <is>
          <t>UK</t>
        </is>
      </c>
      <c r="B78" s="77" t="n">
        <v>2019</v>
      </c>
      <c r="C78" s="77" t="inlineStr">
        <is>
          <t>large</t>
        </is>
      </c>
      <c r="D78" s="77" t="inlineStr">
        <is>
          <t>E1</t>
        </is>
      </c>
      <c r="E78" s="77" t="inlineStr">
        <is>
          <t>Capacity Market (derived per-MWh)</t>
        </is>
      </c>
      <c r="F78" s="77" t="inlineStr">
        <is>
          <t>2 Gen capital recovery</t>
        </is>
      </c>
      <c r="G78" s="77" t="inlineStr">
        <is>
          <t>capacity market levy</t>
        </is>
      </c>
      <c r="H78" s="77" t="inlineStr">
        <is>
          <t>i</t>
        </is>
      </c>
      <c r="I78" s="77">
        <f>IF(ISNUMBER(N78),N78*fx_deflator!$I$14*fx_deflator!$M$14,"")</f>
        <v/>
      </c>
      <c r="J78" s="77" t="inlineStr">
        <is>
          <t>EMRS Key Figures for Payments (derived per-MWh, D30)</t>
        </is>
      </c>
      <c r="K78" s="77" t="inlineStr">
        <is>
          <t>stage4_uk r21</t>
        </is>
      </c>
      <c r="L78" s="77" t="inlineStr">
        <is>
          <t>2026-07-15</t>
        </is>
      </c>
      <c r="M78" s="77" t="inlineStr">
        <is>
          <t>Y</t>
        </is>
      </c>
      <c r="N78" s="77">
        <f>IF(ISNUMBER(timeseries!M13),timeseries!M13,"")</f>
        <v/>
      </c>
      <c r="O78" s="77" t="inlineStr">
        <is>
          <t>GBP/MWh nominal</t>
        </is>
      </c>
      <c r="P78" s="77" t="inlineStr">
        <is>
          <t>function 2 per D9</t>
        </is>
      </c>
    </row>
    <row r="79" ht="15" customHeight="1" s="78">
      <c r="A79" s="77" t="inlineStr">
        <is>
          <t>UK</t>
        </is>
      </c>
      <c r="B79" s="77" t="n">
        <v>2019</v>
      </c>
      <c r="C79" s="77" t="inlineStr">
        <is>
          <t>large</t>
        </is>
      </c>
      <c r="D79" s="77" t="inlineStr">
        <is>
          <t>E1</t>
        </is>
      </c>
      <c r="E79" s="77" t="inlineStr">
        <is>
          <t>CCL (main rate; CCA discount not modelled)</t>
        </is>
      </c>
      <c r="F79" s="77" t="inlineStr">
        <is>
          <t>5 General taxation &amp; levies</t>
        </is>
      </c>
      <c r="G79" s="77" t="inlineStr">
        <is>
          <t>climate levy (tax)</t>
        </is>
      </c>
      <c r="H79" s="77" t="inlineStr">
        <is>
          <t>i</t>
        </is>
      </c>
      <c r="I79" s="77">
        <f>IF(ISNUMBER(N79),N79*fx_deflator!$I$14*fx_deflator!$M$14,"")</f>
        <v/>
      </c>
      <c r="J79" s="77" t="inlineStr">
        <is>
          <t>HMRC Environmental Taxes Bulletin, historical rates Table 1</t>
        </is>
      </c>
      <c r="K79" s="77" t="inlineStr">
        <is>
          <t>stage4_uk r22</t>
        </is>
      </c>
      <c r="L79" s="77" t="inlineStr">
        <is>
          <t>2026-07-15</t>
        </is>
      </c>
      <c r="M79" s="77" t="inlineStr">
        <is>
          <t>N</t>
        </is>
      </c>
      <c r="N79" s="136">
        <f>IF(ISNUMBER(timeseries!M14),timeseries!M14,"")</f>
        <v/>
      </c>
      <c r="O79" s="77" t="inlineStr">
        <is>
          <t>GBP/MWh nominal</t>
        </is>
      </c>
    </row>
    <row r="80" ht="15" customHeight="1" s="78">
      <c r="A80" s="77" t="inlineStr">
        <is>
          <t>UK</t>
        </is>
      </c>
      <c r="B80" s="77" t="n">
        <v>2020</v>
      </c>
      <c r="C80" s="77" t="inlineStr">
        <is>
          <t>large</t>
        </is>
      </c>
      <c r="D80" s="77" t="inlineStr">
        <is>
          <t>E1</t>
        </is>
      </c>
      <c r="E80" s="77" t="inlineStr">
        <is>
          <t>Wholesale (rolling year-ahead baseload; DA proxy &lt;=2021)</t>
        </is>
      </c>
      <c r="F80" s="77" t="inlineStr">
        <is>
          <t>1 Commodity</t>
        </is>
      </c>
      <c r="G80" s="77" t="inlineStr">
        <is>
          <t>wholesale market</t>
        </is>
      </c>
      <c r="H80" s="77" t="inlineStr">
        <is>
          <t>i</t>
        </is>
      </c>
      <c r="I80" s="77">
        <f>IF(ISNUMBER(N80),N80*fx_deflator!$I$15*fx_deflator!$M$15,"")</f>
        <v/>
      </c>
      <c r="J80" s="77" t="inlineStr">
        <is>
          <t>Ofgem data portal — DA baseload monthly avg (proxy &lt;=2021, D22); Forward Delivery Contracts (D21)</t>
        </is>
      </c>
      <c r="K80" s="77" t="inlineStr">
        <is>
          <t>stage4_uk r7-9</t>
        </is>
      </c>
      <c r="L80" s="77" t="inlineStr">
        <is>
          <t>2026-07-15</t>
        </is>
      </c>
      <c r="M80" s="77" t="inlineStr">
        <is>
          <t>Y</t>
        </is>
      </c>
      <c r="N80" s="136">
        <f>IF(ISNUMBER(timeseries!N6),timeseries!N6,"")</f>
        <v/>
      </c>
      <c r="O80" s="77" t="inlineStr">
        <is>
          <t>GBP/MWh nominal</t>
        </is>
      </c>
      <c r="P80" s="77" t="inlineStr">
        <is>
          <t>identical E1/E2; embedded carbon memo inside this item</t>
        </is>
      </c>
    </row>
    <row r="81" ht="15" customHeight="1" s="78">
      <c r="A81" s="77" t="inlineStr">
        <is>
          <t>UK</t>
        </is>
      </c>
      <c r="B81" s="77" t="n">
        <v>2020</v>
      </c>
      <c r="C81" s="77" t="inlineStr">
        <is>
          <t>large</t>
        </is>
      </c>
      <c r="D81" s="77" t="inlineStr">
        <is>
          <t>E1</t>
        </is>
      </c>
      <c r="E81" s="77" t="inlineStr">
        <is>
          <t>TNUoS demand (zone 5; TCR banded residual from 2023)</t>
        </is>
      </c>
      <c r="F81" s="77" t="inlineStr">
        <is>
          <t>3 Network</t>
        </is>
      </c>
      <c r="G81" s="77" t="inlineStr">
        <is>
          <t>transmission network charge</t>
        </is>
      </c>
      <c r="H81" s="77" t="inlineStr">
        <is>
          <t>i</t>
        </is>
      </c>
      <c r="I81" s="77">
        <f>IF(ISNUMBER(N81),N81*fx_deflator!$I$15*fx_deflator!$M$15,"")</f>
        <v/>
      </c>
      <c r="J81" s="77" t="inlineStr">
        <is>
          <t>NESO TNUoS tariff documents (compendium doc 50736; Final TNUoS 2023/24-2026/27 Table 10)</t>
        </is>
      </c>
      <c r="K81" s="77" t="inlineStr">
        <is>
          <t>stage4_uk r25-27</t>
        </is>
      </c>
      <c r="L81" s="77" t="inlineStr">
        <is>
          <t>2026-07-15</t>
        </is>
      </c>
      <c r="M81" s="77" t="inlineStr">
        <is>
          <t>Y</t>
        </is>
      </c>
      <c r="N81" s="136">
        <f>IF(ISNUMBER(timeseries!N7),timeseries!N7,"")</f>
        <v/>
      </c>
      <c r="O81" s="77" t="inlineStr">
        <is>
          <t>GBP/MWh nominal</t>
        </is>
      </c>
    </row>
    <row r="82" ht="15" customHeight="1" s="78">
      <c r="A82" s="77" t="inlineStr">
        <is>
          <t>UK</t>
        </is>
      </c>
      <c r="B82" s="77" t="n">
        <v>2020</v>
      </c>
      <c r="C82" s="77" t="inlineStr">
        <is>
          <t>large</t>
        </is>
      </c>
      <c r="D82" s="77" t="inlineStr">
        <is>
          <t>E1</t>
        </is>
      </c>
      <c r="E82" s="77" t="inlineStr">
        <is>
          <t>BSUoS (demand-only from 04/2023)</t>
        </is>
      </c>
      <c r="F82" s="77" t="inlineStr">
        <is>
          <t>4 System services &amp; balancing</t>
        </is>
      </c>
      <c r="G82" s="77" t="inlineStr">
        <is>
          <t>balancing charge</t>
        </is>
      </c>
      <c r="H82" s="77" t="inlineStr">
        <is>
          <t>i</t>
        </is>
      </c>
      <c r="I82" s="77">
        <f>IF(ISNUMBER(N82),N82*fx_deflator!$I$15*fx_deflator!$M$15,"")</f>
        <v/>
      </c>
      <c r="J82" s="77" t="inlineStr">
        <is>
          <t>NESO bsuos-fixed-tariffs + HH RF settlement files (own annual avg 2010-22)</t>
        </is>
      </c>
      <c r="K82" s="77" t="inlineStr">
        <is>
          <t>stage4_uk r28-30</t>
        </is>
      </c>
      <c r="L82" s="77" t="inlineStr">
        <is>
          <t>2026-07-15</t>
        </is>
      </c>
      <c r="M82" s="77" t="inlineStr">
        <is>
          <t>Y</t>
        </is>
      </c>
      <c r="N82" s="77">
        <f>IF(ISNUMBER(timeseries!N8),timeseries!N8,"")</f>
        <v/>
      </c>
      <c r="O82" s="77" t="inlineStr">
        <is>
          <t>GBP/MWh nominal</t>
        </is>
      </c>
    </row>
    <row r="83" ht="15" customHeight="1" s="78">
      <c r="A83" s="77" t="inlineStr">
        <is>
          <t>UK</t>
        </is>
      </c>
      <c r="B83" s="77" t="n">
        <v>2020</v>
      </c>
      <c r="C83" s="77" t="inlineStr">
        <is>
          <t>large</t>
        </is>
      </c>
      <c r="D83" s="77" t="inlineStr">
        <is>
          <t>E1</t>
        </is>
      </c>
      <c r="E83" s="77" t="inlineStr">
        <is>
          <t>AAHEDC</t>
        </is>
      </c>
      <c r="F83" s="77" t="inlineStr">
        <is>
          <t>3 Network</t>
        </is>
      </c>
      <c r="G83" s="77" t="inlineStr">
        <is>
          <t>network levy (hydro benefit)</t>
        </is>
      </c>
      <c r="H83" s="77" t="inlineStr">
        <is>
          <t>ii (pays cross-subsidy to N Scotland consumers)</t>
        </is>
      </c>
      <c r="I83" s="77">
        <f>IF(ISNUMBER(N83),N83*fx_deflator!$I$15*fx_deflator!$M$15,"")</f>
        <v/>
      </c>
      <c r="J83" s="77" t="inlineStr">
        <is>
          <t>NG/ESO AAHEDC charging statements &amp; final tariff letters</t>
        </is>
      </c>
      <c r="K83" s="77" t="inlineStr">
        <is>
          <t>stage4_uk r31</t>
        </is>
      </c>
      <c r="L83" s="77" t="inlineStr">
        <is>
          <t>2026-07-15</t>
        </is>
      </c>
      <c r="M83" s="77" t="inlineStr">
        <is>
          <t>N</t>
        </is>
      </c>
      <c r="N83" s="77">
        <f>IF(ISNUMBER(timeseries!N9),timeseries!N9,"")</f>
        <v/>
      </c>
      <c r="O83" s="77" t="inlineStr">
        <is>
          <t>GBP/MWh nominal</t>
        </is>
      </c>
      <c r="P83" s="77" t="inlineStr">
        <is>
          <t>not in NCC base (conservative, unverified)</t>
        </is>
      </c>
    </row>
    <row r="84" ht="15" customHeight="1" s="78">
      <c r="A84" s="77" t="inlineStr">
        <is>
          <t>UK</t>
        </is>
      </c>
      <c r="B84" s="77" t="n">
        <v>2020</v>
      </c>
      <c r="C84" s="77" t="inlineStr">
        <is>
          <t>large</t>
        </is>
      </c>
      <c r="D84" s="77" t="inlineStr">
        <is>
          <t>E1</t>
        </is>
      </c>
      <c r="E84" s="77" t="inlineStr">
        <is>
          <t>RO (buy-out x obligation)</t>
        </is>
      </c>
      <c r="F84" s="77" t="inlineStr">
        <is>
          <t>2 Gen capital recovery</t>
        </is>
      </c>
      <c r="G84" s="77" t="inlineStr">
        <is>
          <t>renewables levy</t>
        </is>
      </c>
      <c r="H84" s="77" t="inlineStr">
        <is>
          <t>i</t>
        </is>
      </c>
      <c r="I84" s="77">
        <f>IF(ISNUMBER(N84),N84*fx_deflator!$I$15*fx_deflator!$M$15,"")</f>
        <v/>
      </c>
      <c r="J84" s="77" t="inlineStr">
        <is>
          <t>Ofgem RO guidance OFG1164 Table 1.1 (buy-out x obligation)</t>
        </is>
      </c>
      <c r="K84" s="77" t="inlineStr">
        <is>
          <t>stage4_uk r12-14</t>
        </is>
      </c>
      <c r="L84" s="77" t="inlineStr">
        <is>
          <t>2026-07-15</t>
        </is>
      </c>
      <c r="M84" s="77" t="inlineStr">
        <is>
          <t>Y</t>
        </is>
      </c>
      <c r="N84" s="136">
        <f>IF(ISNUMBER(timeseries!N10),timeseries!N10,"")</f>
        <v/>
      </c>
      <c r="O84" s="77" t="inlineStr">
        <is>
          <t>GBP/MWh nominal</t>
        </is>
      </c>
    </row>
    <row r="85" ht="15" customHeight="1" s="78">
      <c r="A85" s="77" t="inlineStr">
        <is>
          <t>UK</t>
        </is>
      </c>
      <c r="B85" s="77" t="n">
        <v>2020</v>
      </c>
      <c r="C85" s="77" t="inlineStr">
        <is>
          <t>large</t>
        </is>
      </c>
      <c r="D85" s="77" t="inlineStr">
        <is>
          <t>E1</t>
        </is>
      </c>
      <c r="E85" s="77" t="inlineStr">
        <is>
          <t>CfD Interim Levy Rate (annual avg)</t>
        </is>
      </c>
      <c r="F85" s="77" t="inlineStr">
        <is>
          <t>2 Gen capital recovery</t>
        </is>
      </c>
      <c r="G85" s="77" t="inlineStr">
        <is>
          <t>renewables levy</t>
        </is>
      </c>
      <c r="H85" s="77" t="inlineStr">
        <is>
          <t>i</t>
        </is>
      </c>
      <c r="I85" s="77">
        <f>IF(ISNUMBER(N85),N85*fx_deflator!$I$15*fx_deflator!$M$15,"")</f>
        <v/>
      </c>
      <c r="J85" s="77" t="inlineStr">
        <is>
          <t>LCCC Actual ILR Income dataset (quarterly avg)</t>
        </is>
      </c>
      <c r="K85" s="77" t="inlineStr">
        <is>
          <t>stage4_uk r15-19</t>
        </is>
      </c>
      <c r="L85" s="77" t="inlineStr">
        <is>
          <t>2026-07-15</t>
        </is>
      </c>
      <c r="M85" s="77" t="inlineStr">
        <is>
          <t>Y</t>
        </is>
      </c>
      <c r="N85" s="136">
        <f>IF(ISNUMBER(timeseries!N11),timeseries!N11,"")</f>
        <v/>
      </c>
      <c r="O85" s="77" t="inlineStr">
        <is>
          <t>GBP/MWh nominal</t>
        </is>
      </c>
    </row>
    <row r="86" ht="15" customHeight="1" s="78">
      <c r="A86" s="77" t="inlineStr">
        <is>
          <t>UK</t>
        </is>
      </c>
      <c r="B86" s="77" t="n">
        <v>2020</v>
      </c>
      <c r="C86" s="77" t="inlineStr">
        <is>
          <t>large</t>
        </is>
      </c>
      <c r="D86" s="77" t="inlineStr">
        <is>
          <t>E1</t>
        </is>
      </c>
      <c r="E86" s="77" t="inlineStr">
        <is>
          <t>FiT levelisation</t>
        </is>
      </c>
      <c r="F86" s="77" t="inlineStr">
        <is>
          <t>2 Gen capital recovery</t>
        </is>
      </c>
      <c r="G86" s="77" t="inlineStr">
        <is>
          <t>renewables levy</t>
        </is>
      </c>
      <c r="H86" s="77" t="inlineStr">
        <is>
          <t>i</t>
        </is>
      </c>
      <c r="I86" s="77">
        <f>IF(ISNUMBER(N86),N86*fx_deflator!$I$15*fx_deflator!$M$15,"")</f>
        <v/>
      </c>
      <c r="J86" s="77" t="inlineStr">
        <is>
          <t>Ofgem FIT Annual Reports SY1-SY15; D27 for 2010-14</t>
        </is>
      </c>
      <c r="K86" s="77" t="inlineStr">
        <is>
          <t>stage4_uk r20</t>
        </is>
      </c>
      <c r="L86" s="77" t="inlineStr">
        <is>
          <t>2026-07-15</t>
        </is>
      </c>
      <c r="M86" s="77" t="inlineStr">
        <is>
          <t>Y</t>
        </is>
      </c>
      <c r="N86" s="77">
        <f>IF(ISNUMBER(timeseries!N12),timeseries!N12,"")</f>
        <v/>
      </c>
      <c r="O86" s="77" t="inlineStr">
        <is>
          <t>GBP/MWh nominal</t>
        </is>
      </c>
      <c r="P86" s="77" t="inlineStr">
        <is>
          <t>2025 unpublished (Q32) — row absent, gap stated</t>
        </is>
      </c>
    </row>
    <row r="87" ht="15" customHeight="1" s="78">
      <c r="A87" s="77" t="inlineStr">
        <is>
          <t>UK</t>
        </is>
      </c>
      <c r="B87" s="77" t="n">
        <v>2020</v>
      </c>
      <c r="C87" s="77" t="inlineStr">
        <is>
          <t>large</t>
        </is>
      </c>
      <c r="D87" s="77" t="inlineStr">
        <is>
          <t>E1</t>
        </is>
      </c>
      <c r="E87" s="77" t="inlineStr">
        <is>
          <t>Capacity Market (derived per-MWh)</t>
        </is>
      </c>
      <c r="F87" s="77" t="inlineStr">
        <is>
          <t>2 Gen capital recovery</t>
        </is>
      </c>
      <c r="G87" s="77" t="inlineStr">
        <is>
          <t>capacity market levy</t>
        </is>
      </c>
      <c r="H87" s="77" t="inlineStr">
        <is>
          <t>i</t>
        </is>
      </c>
      <c r="I87" s="77">
        <f>IF(ISNUMBER(N87),N87*fx_deflator!$I$15*fx_deflator!$M$15,"")</f>
        <v/>
      </c>
      <c r="J87" s="77" t="inlineStr">
        <is>
          <t>EMRS Key Figures for Payments (derived per-MWh, D30)</t>
        </is>
      </c>
      <c r="K87" s="77" t="inlineStr">
        <is>
          <t>stage4_uk r21</t>
        </is>
      </c>
      <c r="L87" s="77" t="inlineStr">
        <is>
          <t>2026-07-15</t>
        </is>
      </c>
      <c r="M87" s="77" t="inlineStr">
        <is>
          <t>Y</t>
        </is>
      </c>
      <c r="N87" s="77">
        <f>IF(ISNUMBER(timeseries!N13),timeseries!N13,"")</f>
        <v/>
      </c>
      <c r="O87" s="77" t="inlineStr">
        <is>
          <t>GBP/MWh nominal</t>
        </is>
      </c>
      <c r="P87" s="77" t="inlineStr">
        <is>
          <t>function 2 per D9</t>
        </is>
      </c>
    </row>
    <row r="88" ht="15" customHeight="1" s="78">
      <c r="A88" s="77" t="inlineStr">
        <is>
          <t>UK</t>
        </is>
      </c>
      <c r="B88" s="77" t="n">
        <v>2020</v>
      </c>
      <c r="C88" s="77" t="inlineStr">
        <is>
          <t>large</t>
        </is>
      </c>
      <c r="D88" s="77" t="inlineStr">
        <is>
          <t>E1</t>
        </is>
      </c>
      <c r="E88" s="77" t="inlineStr">
        <is>
          <t>CCL (main rate; CCA discount not modelled)</t>
        </is>
      </c>
      <c r="F88" s="77" t="inlineStr">
        <is>
          <t>5 General taxation &amp; levies</t>
        </is>
      </c>
      <c r="G88" s="77" t="inlineStr">
        <is>
          <t>climate levy (tax)</t>
        </is>
      </c>
      <c r="H88" s="77" t="inlineStr">
        <is>
          <t>i</t>
        </is>
      </c>
      <c r="I88" s="77">
        <f>IF(ISNUMBER(N88),N88*fx_deflator!$I$15*fx_deflator!$M$15,"")</f>
        <v/>
      </c>
      <c r="J88" s="77" t="inlineStr">
        <is>
          <t>HMRC Environmental Taxes Bulletin, historical rates Table 1</t>
        </is>
      </c>
      <c r="K88" s="77" t="inlineStr">
        <is>
          <t>stage4_uk r22</t>
        </is>
      </c>
      <c r="L88" s="77" t="inlineStr">
        <is>
          <t>2026-07-15</t>
        </is>
      </c>
      <c r="M88" s="77" t="inlineStr">
        <is>
          <t>N</t>
        </is>
      </c>
      <c r="N88" s="136">
        <f>IF(ISNUMBER(timeseries!N14),timeseries!N14,"")</f>
        <v/>
      </c>
      <c r="O88" s="77" t="inlineStr">
        <is>
          <t>GBP/MWh nominal</t>
        </is>
      </c>
    </row>
    <row r="89" ht="15" customHeight="1" s="78">
      <c r="A89" s="77" t="inlineStr">
        <is>
          <t>UK</t>
        </is>
      </c>
      <c r="B89" s="77" t="n">
        <v>2021</v>
      </c>
      <c r="C89" s="77" t="inlineStr">
        <is>
          <t>large</t>
        </is>
      </c>
      <c r="D89" s="77" t="inlineStr">
        <is>
          <t>E1</t>
        </is>
      </c>
      <c r="E89" s="77" t="inlineStr">
        <is>
          <t>Wholesale (rolling year-ahead baseload; DA proxy &lt;=2021)</t>
        </is>
      </c>
      <c r="F89" s="77" t="inlineStr">
        <is>
          <t>1 Commodity</t>
        </is>
      </c>
      <c r="G89" s="77" t="inlineStr">
        <is>
          <t>wholesale market</t>
        </is>
      </c>
      <c r="H89" s="77" t="inlineStr">
        <is>
          <t>i</t>
        </is>
      </c>
      <c r="I89" s="77">
        <f>IF(ISNUMBER(N89),N89*fx_deflator!$I$16*fx_deflator!$M$16,"")</f>
        <v/>
      </c>
      <c r="J89" s="77" t="inlineStr">
        <is>
          <t>Ofgem data portal — DA baseload monthly avg (proxy &lt;=2021, D22); Forward Delivery Contracts (D21)</t>
        </is>
      </c>
      <c r="K89" s="77" t="inlineStr">
        <is>
          <t>stage4_uk r7-9</t>
        </is>
      </c>
      <c r="L89" s="77" t="inlineStr">
        <is>
          <t>2026-07-15</t>
        </is>
      </c>
      <c r="M89" s="77" t="inlineStr">
        <is>
          <t>Y</t>
        </is>
      </c>
      <c r="N89" s="136">
        <f>IF(ISNUMBER(timeseries!O6),timeseries!O6,"")</f>
        <v/>
      </c>
      <c r="O89" s="77" t="inlineStr">
        <is>
          <t>GBP/MWh nominal</t>
        </is>
      </c>
      <c r="P89" s="77" t="inlineStr">
        <is>
          <t>identical E1/E2; embedded carbon memo inside this item</t>
        </is>
      </c>
    </row>
    <row r="90" ht="15" customHeight="1" s="78">
      <c r="A90" s="77" t="inlineStr">
        <is>
          <t>UK</t>
        </is>
      </c>
      <c r="B90" s="77" t="n">
        <v>2021</v>
      </c>
      <c r="C90" s="77" t="inlineStr">
        <is>
          <t>large</t>
        </is>
      </c>
      <c r="D90" s="77" t="inlineStr">
        <is>
          <t>E1</t>
        </is>
      </c>
      <c r="E90" s="77" t="inlineStr">
        <is>
          <t>TNUoS demand (zone 5; TCR banded residual from 2023)</t>
        </is>
      </c>
      <c r="F90" s="77" t="inlineStr">
        <is>
          <t>3 Network</t>
        </is>
      </c>
      <c r="G90" s="77" t="inlineStr">
        <is>
          <t>transmission network charge</t>
        </is>
      </c>
      <c r="H90" s="77" t="inlineStr">
        <is>
          <t>i</t>
        </is>
      </c>
      <c r="I90" s="77">
        <f>IF(ISNUMBER(N90),N90*fx_deflator!$I$16*fx_deflator!$M$16,"")</f>
        <v/>
      </c>
      <c r="J90" s="77" t="inlineStr">
        <is>
          <t>NESO TNUoS tariff documents (compendium doc 50736; Final TNUoS 2023/24-2026/27 Table 10)</t>
        </is>
      </c>
      <c r="K90" s="77" t="inlineStr">
        <is>
          <t>stage4_uk r25-27</t>
        </is>
      </c>
      <c r="L90" s="77" t="inlineStr">
        <is>
          <t>2026-07-15</t>
        </is>
      </c>
      <c r="M90" s="77" t="inlineStr">
        <is>
          <t>Y</t>
        </is>
      </c>
      <c r="N90" s="136">
        <f>IF(ISNUMBER(timeseries!O7),timeseries!O7,"")</f>
        <v/>
      </c>
      <c r="O90" s="77" t="inlineStr">
        <is>
          <t>GBP/MWh nominal</t>
        </is>
      </c>
    </row>
    <row r="91" ht="15" customHeight="1" s="78">
      <c r="A91" s="77" t="inlineStr">
        <is>
          <t>UK</t>
        </is>
      </c>
      <c r="B91" s="77" t="n">
        <v>2021</v>
      </c>
      <c r="C91" s="77" t="inlineStr">
        <is>
          <t>large</t>
        </is>
      </c>
      <c r="D91" s="77" t="inlineStr">
        <is>
          <t>E1</t>
        </is>
      </c>
      <c r="E91" s="77" t="inlineStr">
        <is>
          <t>BSUoS (demand-only from 04/2023)</t>
        </is>
      </c>
      <c r="F91" s="77" t="inlineStr">
        <is>
          <t>4 System services &amp; balancing</t>
        </is>
      </c>
      <c r="G91" s="77" t="inlineStr">
        <is>
          <t>balancing charge</t>
        </is>
      </c>
      <c r="H91" s="77" t="inlineStr">
        <is>
          <t>i</t>
        </is>
      </c>
      <c r="I91" s="77">
        <f>IF(ISNUMBER(N91),N91*fx_deflator!$I$16*fx_deflator!$M$16,"")</f>
        <v/>
      </c>
      <c r="J91" s="77" t="inlineStr">
        <is>
          <t>NESO bsuos-fixed-tariffs + HH RF settlement files (own annual avg 2010-22)</t>
        </is>
      </c>
      <c r="K91" s="77" t="inlineStr">
        <is>
          <t>stage4_uk r28-30</t>
        </is>
      </c>
      <c r="L91" s="77" t="inlineStr">
        <is>
          <t>2026-07-15</t>
        </is>
      </c>
      <c r="M91" s="77" t="inlineStr">
        <is>
          <t>Y</t>
        </is>
      </c>
      <c r="N91" s="77">
        <f>IF(ISNUMBER(timeseries!O8),timeseries!O8,"")</f>
        <v/>
      </c>
      <c r="O91" s="77" t="inlineStr">
        <is>
          <t>GBP/MWh nominal</t>
        </is>
      </c>
    </row>
    <row r="92" ht="15" customHeight="1" s="78">
      <c r="A92" s="77" t="inlineStr">
        <is>
          <t>UK</t>
        </is>
      </c>
      <c r="B92" s="77" t="n">
        <v>2021</v>
      </c>
      <c r="C92" s="77" t="inlineStr">
        <is>
          <t>large</t>
        </is>
      </c>
      <c r="D92" s="77" t="inlineStr">
        <is>
          <t>E1</t>
        </is>
      </c>
      <c r="E92" s="77" t="inlineStr">
        <is>
          <t>AAHEDC</t>
        </is>
      </c>
      <c r="F92" s="77" t="inlineStr">
        <is>
          <t>3 Network</t>
        </is>
      </c>
      <c r="G92" s="77" t="inlineStr">
        <is>
          <t>network levy (hydro benefit)</t>
        </is>
      </c>
      <c r="H92" s="77" t="inlineStr">
        <is>
          <t>ii (pays cross-subsidy to N Scotland consumers)</t>
        </is>
      </c>
      <c r="I92" s="77">
        <f>IF(ISNUMBER(N92),N92*fx_deflator!$I$16*fx_deflator!$M$16,"")</f>
        <v/>
      </c>
      <c r="J92" s="77" t="inlineStr">
        <is>
          <t>NG/ESO AAHEDC charging statements &amp; final tariff letters</t>
        </is>
      </c>
      <c r="K92" s="77" t="inlineStr">
        <is>
          <t>stage4_uk r31</t>
        </is>
      </c>
      <c r="L92" s="77" t="inlineStr">
        <is>
          <t>2026-07-15</t>
        </is>
      </c>
      <c r="M92" s="77" t="inlineStr">
        <is>
          <t>N</t>
        </is>
      </c>
      <c r="N92" s="136">
        <f>IF(ISNUMBER(timeseries!O9),timeseries!O9,"")</f>
        <v/>
      </c>
      <c r="O92" s="77" t="inlineStr">
        <is>
          <t>GBP/MWh nominal</t>
        </is>
      </c>
      <c r="P92" s="77" t="inlineStr">
        <is>
          <t>not in NCC base (conservative, unverified)</t>
        </is>
      </c>
    </row>
    <row r="93" ht="15" customHeight="1" s="78">
      <c r="A93" s="77" t="inlineStr">
        <is>
          <t>UK</t>
        </is>
      </c>
      <c r="B93" s="77" t="n">
        <v>2021</v>
      </c>
      <c r="C93" s="77" t="inlineStr">
        <is>
          <t>large</t>
        </is>
      </c>
      <c r="D93" s="77" t="inlineStr">
        <is>
          <t>E1</t>
        </is>
      </c>
      <c r="E93" s="77" t="inlineStr">
        <is>
          <t>RO (buy-out x obligation)</t>
        </is>
      </c>
      <c r="F93" s="77" t="inlineStr">
        <is>
          <t>2 Gen capital recovery</t>
        </is>
      </c>
      <c r="G93" s="77" t="inlineStr">
        <is>
          <t>renewables levy</t>
        </is>
      </c>
      <c r="H93" s="77" t="inlineStr">
        <is>
          <t>i</t>
        </is>
      </c>
      <c r="I93" s="77">
        <f>IF(ISNUMBER(N93),N93*fx_deflator!$I$16*fx_deflator!$M$16,"")</f>
        <v/>
      </c>
      <c r="J93" s="77" t="inlineStr">
        <is>
          <t>Ofgem RO guidance OFG1164 Table 1.1 (buy-out x obligation)</t>
        </is>
      </c>
      <c r="K93" s="77" t="inlineStr">
        <is>
          <t>stage4_uk r12-14</t>
        </is>
      </c>
      <c r="L93" s="77" t="inlineStr">
        <is>
          <t>2026-07-15</t>
        </is>
      </c>
      <c r="M93" s="77" t="inlineStr">
        <is>
          <t>Y</t>
        </is>
      </c>
      <c r="N93" s="136">
        <f>IF(ISNUMBER(timeseries!O10),timeseries!O10,"")</f>
        <v/>
      </c>
      <c r="O93" s="77" t="inlineStr">
        <is>
          <t>GBP/MWh nominal</t>
        </is>
      </c>
    </row>
    <row r="94" ht="15" customHeight="1" s="78">
      <c r="A94" s="77" t="inlineStr">
        <is>
          <t>UK</t>
        </is>
      </c>
      <c r="B94" s="77" t="n">
        <v>2021</v>
      </c>
      <c r="C94" s="77" t="inlineStr">
        <is>
          <t>large</t>
        </is>
      </c>
      <c r="D94" s="77" t="inlineStr">
        <is>
          <t>E1</t>
        </is>
      </c>
      <c r="E94" s="77" t="inlineStr">
        <is>
          <t>CfD Interim Levy Rate (annual avg)</t>
        </is>
      </c>
      <c r="F94" s="77" t="inlineStr">
        <is>
          <t>2 Gen capital recovery</t>
        </is>
      </c>
      <c r="G94" s="77" t="inlineStr">
        <is>
          <t>renewables levy</t>
        </is>
      </c>
      <c r="H94" s="77" t="inlineStr">
        <is>
          <t>i</t>
        </is>
      </c>
      <c r="I94" s="77">
        <f>IF(ISNUMBER(N94),N94*fx_deflator!$I$16*fx_deflator!$M$16,"")</f>
        <v/>
      </c>
      <c r="J94" s="77" t="inlineStr">
        <is>
          <t>LCCC Actual ILR Income dataset (quarterly avg)</t>
        </is>
      </c>
      <c r="K94" s="77" t="inlineStr">
        <is>
          <t>stage4_uk r15-19</t>
        </is>
      </c>
      <c r="L94" s="77" t="inlineStr">
        <is>
          <t>2026-07-15</t>
        </is>
      </c>
      <c r="M94" s="77" t="inlineStr">
        <is>
          <t>Y</t>
        </is>
      </c>
      <c r="N94" s="136">
        <f>IF(ISNUMBER(timeseries!O11),timeseries!O11,"")</f>
        <v/>
      </c>
      <c r="O94" s="77" t="inlineStr">
        <is>
          <t>GBP/MWh nominal</t>
        </is>
      </c>
    </row>
    <row r="95" ht="15" customHeight="1" s="78">
      <c r="A95" s="77" t="inlineStr">
        <is>
          <t>UK</t>
        </is>
      </c>
      <c r="B95" s="77" t="n">
        <v>2021</v>
      </c>
      <c r="C95" s="77" t="inlineStr">
        <is>
          <t>large</t>
        </is>
      </c>
      <c r="D95" s="77" t="inlineStr">
        <is>
          <t>E1</t>
        </is>
      </c>
      <c r="E95" s="77" t="inlineStr">
        <is>
          <t>FiT levelisation</t>
        </is>
      </c>
      <c r="F95" s="77" t="inlineStr">
        <is>
          <t>2 Gen capital recovery</t>
        </is>
      </c>
      <c r="G95" s="77" t="inlineStr">
        <is>
          <t>renewables levy</t>
        </is>
      </c>
      <c r="H95" s="77" t="inlineStr">
        <is>
          <t>i</t>
        </is>
      </c>
      <c r="I95" s="77">
        <f>IF(ISNUMBER(N95),N95*fx_deflator!$I$16*fx_deflator!$M$16,"")</f>
        <v/>
      </c>
      <c r="J95" s="77" t="inlineStr">
        <is>
          <t>Ofgem FIT Annual Reports SY1-SY15; D27 for 2010-14</t>
        </is>
      </c>
      <c r="K95" s="77" t="inlineStr">
        <is>
          <t>stage4_uk r20</t>
        </is>
      </c>
      <c r="L95" s="77" t="inlineStr">
        <is>
          <t>2026-07-15</t>
        </is>
      </c>
      <c r="M95" s="77" t="inlineStr">
        <is>
          <t>Y</t>
        </is>
      </c>
      <c r="N95" s="77">
        <f>IF(ISNUMBER(timeseries!O12),timeseries!O12,"")</f>
        <v/>
      </c>
      <c r="O95" s="77" t="inlineStr">
        <is>
          <t>GBP/MWh nominal</t>
        </is>
      </c>
      <c r="P95" s="77" t="inlineStr">
        <is>
          <t>2025 unpublished (Q32) — row absent, gap stated</t>
        </is>
      </c>
    </row>
    <row r="96" ht="15" customHeight="1" s="78">
      <c r="A96" s="77" t="inlineStr">
        <is>
          <t>UK</t>
        </is>
      </c>
      <c r="B96" s="77" t="n">
        <v>2021</v>
      </c>
      <c r="C96" s="77" t="inlineStr">
        <is>
          <t>large</t>
        </is>
      </c>
      <c r="D96" s="77" t="inlineStr">
        <is>
          <t>E1</t>
        </is>
      </c>
      <c r="E96" s="77" t="inlineStr">
        <is>
          <t>Capacity Market (derived per-MWh)</t>
        </is>
      </c>
      <c r="F96" s="77" t="inlineStr">
        <is>
          <t>2 Gen capital recovery</t>
        </is>
      </c>
      <c r="G96" s="77" t="inlineStr">
        <is>
          <t>capacity market levy</t>
        </is>
      </c>
      <c r="H96" s="77" t="inlineStr">
        <is>
          <t>i</t>
        </is>
      </c>
      <c r="I96" s="77">
        <f>IF(ISNUMBER(N96),N96*fx_deflator!$I$16*fx_deflator!$M$16,"")</f>
        <v/>
      </c>
      <c r="J96" s="77" t="inlineStr">
        <is>
          <t>EMRS Key Figures for Payments (derived per-MWh, D30)</t>
        </is>
      </c>
      <c r="K96" s="77" t="inlineStr">
        <is>
          <t>stage4_uk r21</t>
        </is>
      </c>
      <c r="L96" s="77" t="inlineStr">
        <is>
          <t>2026-07-15</t>
        </is>
      </c>
      <c r="M96" s="77" t="inlineStr">
        <is>
          <t>Y</t>
        </is>
      </c>
      <c r="N96" s="77">
        <f>IF(ISNUMBER(timeseries!O13),timeseries!O13,"")</f>
        <v/>
      </c>
      <c r="O96" s="77" t="inlineStr">
        <is>
          <t>GBP/MWh nominal</t>
        </is>
      </c>
      <c r="P96" s="77" t="inlineStr">
        <is>
          <t>function 2 per D9</t>
        </is>
      </c>
    </row>
    <row r="97" ht="15" customHeight="1" s="78">
      <c r="A97" s="77" t="inlineStr">
        <is>
          <t>UK</t>
        </is>
      </c>
      <c r="B97" s="77" t="n">
        <v>2021</v>
      </c>
      <c r="C97" s="77" t="inlineStr">
        <is>
          <t>large</t>
        </is>
      </c>
      <c r="D97" s="77" t="inlineStr">
        <is>
          <t>E1</t>
        </is>
      </c>
      <c r="E97" s="77" t="inlineStr">
        <is>
          <t>CCL (main rate; CCA discount not modelled)</t>
        </is>
      </c>
      <c r="F97" s="77" t="inlineStr">
        <is>
          <t>5 General taxation &amp; levies</t>
        </is>
      </c>
      <c r="G97" s="77" t="inlineStr">
        <is>
          <t>climate levy (tax)</t>
        </is>
      </c>
      <c r="H97" s="77" t="inlineStr">
        <is>
          <t>i</t>
        </is>
      </c>
      <c r="I97" s="77">
        <f>IF(ISNUMBER(N97),N97*fx_deflator!$I$16*fx_deflator!$M$16,"")</f>
        <v/>
      </c>
      <c r="J97" s="77" t="inlineStr">
        <is>
          <t>HMRC Environmental Taxes Bulletin, historical rates Table 1</t>
        </is>
      </c>
      <c r="K97" s="77" t="inlineStr">
        <is>
          <t>stage4_uk r22</t>
        </is>
      </c>
      <c r="L97" s="77" t="inlineStr">
        <is>
          <t>2026-07-15</t>
        </is>
      </c>
      <c r="M97" s="77" t="inlineStr">
        <is>
          <t>N</t>
        </is>
      </c>
      <c r="N97" s="136">
        <f>IF(ISNUMBER(timeseries!O14),timeseries!O14,"")</f>
        <v/>
      </c>
      <c r="O97" s="77" t="inlineStr">
        <is>
          <t>GBP/MWh nominal</t>
        </is>
      </c>
    </row>
    <row r="98" ht="15" customHeight="1" s="78">
      <c r="A98" s="77" t="inlineStr">
        <is>
          <t>UK</t>
        </is>
      </c>
      <c r="B98" s="77" t="n">
        <v>2022</v>
      </c>
      <c r="C98" s="77" t="inlineStr">
        <is>
          <t>large</t>
        </is>
      </c>
      <c r="D98" s="77" t="inlineStr">
        <is>
          <t>E1</t>
        </is>
      </c>
      <c r="E98" s="77" t="inlineStr">
        <is>
          <t>Wholesale (rolling year-ahead baseload; DA proxy &lt;=2021)</t>
        </is>
      </c>
      <c r="F98" s="77" t="inlineStr">
        <is>
          <t>1 Commodity</t>
        </is>
      </c>
      <c r="G98" s="77" t="inlineStr">
        <is>
          <t>wholesale market</t>
        </is>
      </c>
      <c r="H98" s="77" t="inlineStr">
        <is>
          <t>i</t>
        </is>
      </c>
      <c r="I98" s="77">
        <f>IF(ISNUMBER(N98),N98*fx_deflator!$I$17*fx_deflator!$M$17,"")</f>
        <v/>
      </c>
      <c r="J98" s="77" t="inlineStr">
        <is>
          <t>Ofgem data portal — DA baseload monthly avg (proxy &lt;=2021, D22); Forward Delivery Contracts (D21)</t>
        </is>
      </c>
      <c r="K98" s="77" t="inlineStr">
        <is>
          <t>stage4_uk r7-9</t>
        </is>
      </c>
      <c r="L98" s="77" t="inlineStr">
        <is>
          <t>2026-07-15</t>
        </is>
      </c>
      <c r="M98" s="77" t="inlineStr">
        <is>
          <t>Y</t>
        </is>
      </c>
      <c r="N98" s="136">
        <f>IF(ISNUMBER(timeseries!P6),timeseries!P6,"")</f>
        <v/>
      </c>
      <c r="O98" s="77" t="inlineStr">
        <is>
          <t>GBP/MWh nominal</t>
        </is>
      </c>
      <c r="P98" s="77" t="inlineStr">
        <is>
          <t>identical E1/E2; embedded carbon memo inside this item</t>
        </is>
      </c>
    </row>
    <row r="99" ht="15" customHeight="1" s="78">
      <c r="A99" s="77" t="inlineStr">
        <is>
          <t>UK</t>
        </is>
      </c>
      <c r="B99" s="77" t="n">
        <v>2022</v>
      </c>
      <c r="C99" s="77" t="inlineStr">
        <is>
          <t>large</t>
        </is>
      </c>
      <c r="D99" s="77" t="inlineStr">
        <is>
          <t>E1</t>
        </is>
      </c>
      <c r="E99" s="77" t="inlineStr">
        <is>
          <t>TNUoS demand (zone 5; TCR banded residual from 2023)</t>
        </is>
      </c>
      <c r="F99" s="77" t="inlineStr">
        <is>
          <t>3 Network</t>
        </is>
      </c>
      <c r="G99" s="77" t="inlineStr">
        <is>
          <t>transmission network charge</t>
        </is>
      </c>
      <c r="H99" s="77" t="inlineStr">
        <is>
          <t>i</t>
        </is>
      </c>
      <c r="I99" s="77">
        <f>IF(ISNUMBER(N99),N99*fx_deflator!$I$17*fx_deflator!$M$17,"")</f>
        <v/>
      </c>
      <c r="J99" s="77" t="inlineStr">
        <is>
          <t>NESO TNUoS tariff documents (compendium doc 50736; Final TNUoS 2023/24-2026/27 Table 10)</t>
        </is>
      </c>
      <c r="K99" s="77" t="inlineStr">
        <is>
          <t>stage4_uk r25-27</t>
        </is>
      </c>
      <c r="L99" s="77" t="inlineStr">
        <is>
          <t>2026-07-15</t>
        </is>
      </c>
      <c r="M99" s="77" t="inlineStr">
        <is>
          <t>Y</t>
        </is>
      </c>
      <c r="N99" s="136">
        <f>IF(ISNUMBER(timeseries!P7),timeseries!P7,"")</f>
        <v/>
      </c>
      <c r="O99" s="77" t="inlineStr">
        <is>
          <t>GBP/MWh nominal</t>
        </is>
      </c>
    </row>
    <row r="100" ht="15" customHeight="1" s="78">
      <c r="A100" s="77" t="inlineStr">
        <is>
          <t>UK</t>
        </is>
      </c>
      <c r="B100" s="77" t="n">
        <v>2022</v>
      </c>
      <c r="C100" s="77" t="inlineStr">
        <is>
          <t>large</t>
        </is>
      </c>
      <c r="D100" s="77" t="inlineStr">
        <is>
          <t>E1</t>
        </is>
      </c>
      <c r="E100" s="77" t="inlineStr">
        <is>
          <t>BSUoS (demand-only from 04/2023)</t>
        </is>
      </c>
      <c r="F100" s="77" t="inlineStr">
        <is>
          <t>4 System services &amp; balancing</t>
        </is>
      </c>
      <c r="G100" s="77" t="inlineStr">
        <is>
          <t>balancing charge</t>
        </is>
      </c>
      <c r="H100" s="77" t="inlineStr">
        <is>
          <t>i</t>
        </is>
      </c>
      <c r="I100" s="77">
        <f>IF(ISNUMBER(N100),N100*fx_deflator!$I$17*fx_deflator!$M$17,"")</f>
        <v/>
      </c>
      <c r="J100" s="77" t="inlineStr">
        <is>
          <t>NESO bsuos-fixed-tariffs + HH RF settlement files (own annual avg 2010-22)</t>
        </is>
      </c>
      <c r="K100" s="77" t="inlineStr">
        <is>
          <t>stage4_uk r28-30</t>
        </is>
      </c>
      <c r="L100" s="77" t="inlineStr">
        <is>
          <t>2026-07-15</t>
        </is>
      </c>
      <c r="M100" s="77" t="inlineStr">
        <is>
          <t>Y</t>
        </is>
      </c>
      <c r="N100" s="77">
        <f>IF(ISNUMBER(timeseries!P8),timeseries!P8,"")</f>
        <v/>
      </c>
      <c r="O100" s="77" t="inlineStr">
        <is>
          <t>GBP/MWh nominal</t>
        </is>
      </c>
    </row>
    <row r="101" ht="15" customHeight="1" s="78">
      <c r="A101" s="77" t="inlineStr">
        <is>
          <t>UK</t>
        </is>
      </c>
      <c r="B101" s="77" t="n">
        <v>2022</v>
      </c>
      <c r="C101" s="77" t="inlineStr">
        <is>
          <t>large</t>
        </is>
      </c>
      <c r="D101" s="77" t="inlineStr">
        <is>
          <t>E1</t>
        </is>
      </c>
      <c r="E101" s="77" t="inlineStr">
        <is>
          <t>AAHEDC</t>
        </is>
      </c>
      <c r="F101" s="77" t="inlineStr">
        <is>
          <t>3 Network</t>
        </is>
      </c>
      <c r="G101" s="77" t="inlineStr">
        <is>
          <t>network levy (hydro benefit)</t>
        </is>
      </c>
      <c r="H101" s="77" t="inlineStr">
        <is>
          <t>ii (pays cross-subsidy to N Scotland consumers)</t>
        </is>
      </c>
      <c r="I101" s="77">
        <f>IF(ISNUMBER(N101),N101*fx_deflator!$I$17*fx_deflator!$M$17,"")</f>
        <v/>
      </c>
      <c r="J101" s="77" t="inlineStr">
        <is>
          <t>NG/ESO AAHEDC charging statements &amp; final tariff letters</t>
        </is>
      </c>
      <c r="K101" s="77" t="inlineStr">
        <is>
          <t>stage4_uk r31</t>
        </is>
      </c>
      <c r="L101" s="77" t="inlineStr">
        <is>
          <t>2026-07-15</t>
        </is>
      </c>
      <c r="M101" s="77" t="inlineStr">
        <is>
          <t>N</t>
        </is>
      </c>
      <c r="N101" s="136">
        <f>IF(ISNUMBER(timeseries!P9),timeseries!P9,"")</f>
        <v/>
      </c>
      <c r="O101" s="77" t="inlineStr">
        <is>
          <t>GBP/MWh nominal</t>
        </is>
      </c>
      <c r="P101" s="77" t="inlineStr">
        <is>
          <t>not in NCC base (conservative, unverified)</t>
        </is>
      </c>
    </row>
    <row r="102" ht="15" customHeight="1" s="78">
      <c r="A102" s="77" t="inlineStr">
        <is>
          <t>UK</t>
        </is>
      </c>
      <c r="B102" s="77" t="n">
        <v>2022</v>
      </c>
      <c r="C102" s="77" t="inlineStr">
        <is>
          <t>large</t>
        </is>
      </c>
      <c r="D102" s="77" t="inlineStr">
        <is>
          <t>E1</t>
        </is>
      </c>
      <c r="E102" s="77" t="inlineStr">
        <is>
          <t>RO (buy-out x obligation)</t>
        </is>
      </c>
      <c r="F102" s="77" t="inlineStr">
        <is>
          <t>2 Gen capital recovery</t>
        </is>
      </c>
      <c r="G102" s="77" t="inlineStr">
        <is>
          <t>renewables levy</t>
        </is>
      </c>
      <c r="H102" s="77" t="inlineStr">
        <is>
          <t>i</t>
        </is>
      </c>
      <c r="I102" s="77">
        <f>IF(ISNUMBER(N102),N102*fx_deflator!$I$17*fx_deflator!$M$17,"")</f>
        <v/>
      </c>
      <c r="J102" s="77" t="inlineStr">
        <is>
          <t>Ofgem RO guidance OFG1164 Table 1.1 (buy-out x obligation)</t>
        </is>
      </c>
      <c r="K102" s="77" t="inlineStr">
        <is>
          <t>stage4_uk r12-14</t>
        </is>
      </c>
      <c r="L102" s="77" t="inlineStr">
        <is>
          <t>2026-07-15</t>
        </is>
      </c>
      <c r="M102" s="77" t="inlineStr">
        <is>
          <t>Y</t>
        </is>
      </c>
      <c r="N102" s="136">
        <f>IF(ISNUMBER(timeseries!P10),timeseries!P10,"")</f>
        <v/>
      </c>
      <c r="O102" s="77" t="inlineStr">
        <is>
          <t>GBP/MWh nominal</t>
        </is>
      </c>
    </row>
    <row r="103" ht="15" customHeight="1" s="78">
      <c r="A103" s="77" t="inlineStr">
        <is>
          <t>UK</t>
        </is>
      </c>
      <c r="B103" s="77" t="n">
        <v>2022</v>
      </c>
      <c r="C103" s="77" t="inlineStr">
        <is>
          <t>large</t>
        </is>
      </c>
      <c r="D103" s="77" t="inlineStr">
        <is>
          <t>E1</t>
        </is>
      </c>
      <c r="E103" s="77" t="inlineStr">
        <is>
          <t>CfD Interim Levy Rate (annual avg)</t>
        </is>
      </c>
      <c r="F103" s="77" t="inlineStr">
        <is>
          <t>2 Gen capital recovery</t>
        </is>
      </c>
      <c r="G103" s="77" t="inlineStr">
        <is>
          <t>renewables levy</t>
        </is>
      </c>
      <c r="H103" s="77" t="inlineStr">
        <is>
          <t>i</t>
        </is>
      </c>
      <c r="I103" s="77">
        <f>IF(ISNUMBER(N103),N103*fx_deflator!$I$17*fx_deflator!$M$17,"")</f>
        <v/>
      </c>
      <c r="J103" s="77" t="inlineStr">
        <is>
          <t>LCCC Actual ILR Income dataset (quarterly avg)</t>
        </is>
      </c>
      <c r="K103" s="77" t="inlineStr">
        <is>
          <t>stage4_uk r15-19</t>
        </is>
      </c>
      <c r="L103" s="77" t="inlineStr">
        <is>
          <t>2026-07-15</t>
        </is>
      </c>
      <c r="M103" s="77" t="inlineStr">
        <is>
          <t>Y</t>
        </is>
      </c>
      <c r="N103" s="136">
        <f>IF(ISNUMBER(timeseries!P11),timeseries!P11,"")</f>
        <v/>
      </c>
      <c r="O103" s="77" t="inlineStr">
        <is>
          <t>GBP/MWh nominal</t>
        </is>
      </c>
    </row>
    <row r="104" ht="15" customHeight="1" s="78">
      <c r="A104" s="77" t="inlineStr">
        <is>
          <t>UK</t>
        </is>
      </c>
      <c r="B104" s="77" t="n">
        <v>2022</v>
      </c>
      <c r="C104" s="77" t="inlineStr">
        <is>
          <t>large</t>
        </is>
      </c>
      <c r="D104" s="77" t="inlineStr">
        <is>
          <t>E1</t>
        </is>
      </c>
      <c r="E104" s="77" t="inlineStr">
        <is>
          <t>FiT levelisation</t>
        </is>
      </c>
      <c r="F104" s="77" t="inlineStr">
        <is>
          <t>2 Gen capital recovery</t>
        </is>
      </c>
      <c r="G104" s="77" t="inlineStr">
        <is>
          <t>renewables levy</t>
        </is>
      </c>
      <c r="H104" s="77" t="inlineStr">
        <is>
          <t>i</t>
        </is>
      </c>
      <c r="I104" s="77">
        <f>IF(ISNUMBER(N104),N104*fx_deflator!$I$17*fx_deflator!$M$17,"")</f>
        <v/>
      </c>
      <c r="J104" s="77" t="inlineStr">
        <is>
          <t>Ofgem FIT Annual Reports SY1-SY15; D27 for 2010-14</t>
        </is>
      </c>
      <c r="K104" s="77" t="inlineStr">
        <is>
          <t>stage4_uk r20</t>
        </is>
      </c>
      <c r="L104" s="77" t="inlineStr">
        <is>
          <t>2026-07-15</t>
        </is>
      </c>
      <c r="M104" s="77" t="inlineStr">
        <is>
          <t>Y</t>
        </is>
      </c>
      <c r="N104" s="77">
        <f>IF(ISNUMBER(timeseries!P12),timeseries!P12,"")</f>
        <v/>
      </c>
      <c r="O104" s="77" t="inlineStr">
        <is>
          <t>GBP/MWh nominal</t>
        </is>
      </c>
      <c r="P104" s="77" t="inlineStr">
        <is>
          <t>2025 unpublished (Q32) — row absent, gap stated</t>
        </is>
      </c>
    </row>
    <row r="105" ht="15" customHeight="1" s="78">
      <c r="A105" s="77" t="inlineStr">
        <is>
          <t>UK</t>
        </is>
      </c>
      <c r="B105" s="77" t="n">
        <v>2022</v>
      </c>
      <c r="C105" s="77" t="inlineStr">
        <is>
          <t>large</t>
        </is>
      </c>
      <c r="D105" s="77" t="inlineStr">
        <is>
          <t>E1</t>
        </is>
      </c>
      <c r="E105" s="77" t="inlineStr">
        <is>
          <t>Capacity Market (derived per-MWh)</t>
        </is>
      </c>
      <c r="F105" s="77" t="inlineStr">
        <is>
          <t>2 Gen capital recovery</t>
        </is>
      </c>
      <c r="G105" s="77" t="inlineStr">
        <is>
          <t>capacity market levy</t>
        </is>
      </c>
      <c r="H105" s="77" t="inlineStr">
        <is>
          <t>i</t>
        </is>
      </c>
      <c r="I105" s="77">
        <f>IF(ISNUMBER(N105),N105*fx_deflator!$I$17*fx_deflator!$M$17,"")</f>
        <v/>
      </c>
      <c r="J105" s="77" t="inlineStr">
        <is>
          <t>EMRS Key Figures for Payments (derived per-MWh, D30)</t>
        </is>
      </c>
      <c r="K105" s="77" t="inlineStr">
        <is>
          <t>stage4_uk r21</t>
        </is>
      </c>
      <c r="L105" s="77" t="inlineStr">
        <is>
          <t>2026-07-15</t>
        </is>
      </c>
      <c r="M105" s="77" t="inlineStr">
        <is>
          <t>Y</t>
        </is>
      </c>
      <c r="N105" s="77">
        <f>IF(ISNUMBER(timeseries!P13),timeseries!P13,"")</f>
        <v/>
      </c>
      <c r="O105" s="77" t="inlineStr">
        <is>
          <t>GBP/MWh nominal</t>
        </is>
      </c>
      <c r="P105" s="77" t="inlineStr">
        <is>
          <t>function 2 per D9</t>
        </is>
      </c>
    </row>
    <row r="106" ht="15" customHeight="1" s="78">
      <c r="A106" s="77" t="inlineStr">
        <is>
          <t>UK</t>
        </is>
      </c>
      <c r="B106" s="77" t="n">
        <v>2022</v>
      </c>
      <c r="C106" s="77" t="inlineStr">
        <is>
          <t>large</t>
        </is>
      </c>
      <c r="D106" s="77" t="inlineStr">
        <is>
          <t>E1</t>
        </is>
      </c>
      <c r="E106" s="77" t="inlineStr">
        <is>
          <t>CCL (main rate; CCA discount not modelled)</t>
        </is>
      </c>
      <c r="F106" s="77" t="inlineStr">
        <is>
          <t>5 General taxation &amp; levies</t>
        </is>
      </c>
      <c r="G106" s="77" t="inlineStr">
        <is>
          <t>climate levy (tax)</t>
        </is>
      </c>
      <c r="H106" s="77" t="inlineStr">
        <is>
          <t>i</t>
        </is>
      </c>
      <c r="I106" s="77">
        <f>IF(ISNUMBER(N106),N106*fx_deflator!$I$17*fx_deflator!$M$17,"")</f>
        <v/>
      </c>
      <c r="J106" s="77" t="inlineStr">
        <is>
          <t>HMRC Environmental Taxes Bulletin, historical rates Table 1</t>
        </is>
      </c>
      <c r="K106" s="77" t="inlineStr">
        <is>
          <t>stage4_uk r22</t>
        </is>
      </c>
      <c r="L106" s="77" t="inlineStr">
        <is>
          <t>2026-07-15</t>
        </is>
      </c>
      <c r="M106" s="77" t="inlineStr">
        <is>
          <t>N</t>
        </is>
      </c>
      <c r="N106" s="136">
        <f>IF(ISNUMBER(timeseries!P14),timeseries!P14,"")</f>
        <v/>
      </c>
      <c r="O106" s="77" t="inlineStr">
        <is>
          <t>GBP/MWh nominal</t>
        </is>
      </c>
    </row>
    <row r="107" ht="15" customHeight="1" s="78">
      <c r="A107" s="77" t="inlineStr">
        <is>
          <t>UK</t>
        </is>
      </c>
      <c r="B107" s="77" t="n">
        <v>2023</v>
      </c>
      <c r="C107" s="77" t="inlineStr">
        <is>
          <t>large</t>
        </is>
      </c>
      <c r="D107" s="77" t="inlineStr">
        <is>
          <t>E1</t>
        </is>
      </c>
      <c r="E107" s="77" t="inlineStr">
        <is>
          <t>Wholesale (rolling year-ahead baseload; DA proxy &lt;=2021)</t>
        </is>
      </c>
      <c r="F107" s="77" t="inlineStr">
        <is>
          <t>1 Commodity</t>
        </is>
      </c>
      <c r="G107" s="77" t="inlineStr">
        <is>
          <t>wholesale market</t>
        </is>
      </c>
      <c r="H107" s="77" t="inlineStr">
        <is>
          <t>i</t>
        </is>
      </c>
      <c r="I107" s="77">
        <f>IF(ISNUMBER(N107),N107*fx_deflator!$I$18*fx_deflator!$M$18,"")</f>
        <v/>
      </c>
      <c r="J107" s="77" t="inlineStr">
        <is>
          <t>Ofgem data portal — DA baseload monthly avg (proxy &lt;=2021, D22); Forward Delivery Contracts (D21)</t>
        </is>
      </c>
      <c r="K107" s="77" t="inlineStr">
        <is>
          <t>stage4_uk r7-9</t>
        </is>
      </c>
      <c r="L107" s="77" t="inlineStr">
        <is>
          <t>2026-07-15</t>
        </is>
      </c>
      <c r="M107" s="77" t="inlineStr">
        <is>
          <t>Y</t>
        </is>
      </c>
      <c r="N107" s="136">
        <f>IF(ISNUMBER(timeseries!Q6),timeseries!Q6,"")</f>
        <v/>
      </c>
      <c r="O107" s="77" t="inlineStr">
        <is>
          <t>GBP/MWh nominal</t>
        </is>
      </c>
      <c r="P107" s="77" t="inlineStr">
        <is>
          <t>identical E1/E2; embedded carbon memo inside this item</t>
        </is>
      </c>
    </row>
    <row r="108" ht="15" customHeight="1" s="78">
      <c r="A108" s="77" t="inlineStr">
        <is>
          <t>UK</t>
        </is>
      </c>
      <c r="B108" s="77" t="n">
        <v>2023</v>
      </c>
      <c r="C108" s="77" t="inlineStr">
        <is>
          <t>large</t>
        </is>
      </c>
      <c r="D108" s="77" t="inlineStr">
        <is>
          <t>E1</t>
        </is>
      </c>
      <c r="E108" s="77" t="inlineStr">
        <is>
          <t>TNUoS demand (zone 5; TCR banded residual from 2023)</t>
        </is>
      </c>
      <c r="F108" s="77" t="inlineStr">
        <is>
          <t>3 Network</t>
        </is>
      </c>
      <c r="G108" s="77" t="inlineStr">
        <is>
          <t>transmission network charge</t>
        </is>
      </c>
      <c r="H108" s="77" t="inlineStr">
        <is>
          <t>i</t>
        </is>
      </c>
      <c r="I108" s="77">
        <f>IF(ISNUMBER(N108),N108*fx_deflator!$I$18*fx_deflator!$M$18,"")</f>
        <v/>
      </c>
      <c r="J108" s="77" t="inlineStr">
        <is>
          <t>NESO TNUoS tariff documents (compendium doc 50736; Final TNUoS 2023/24-2026/27 Table 10)</t>
        </is>
      </c>
      <c r="K108" s="77" t="inlineStr">
        <is>
          <t>stage4_uk r25-27</t>
        </is>
      </c>
      <c r="L108" s="77" t="inlineStr">
        <is>
          <t>2026-07-15</t>
        </is>
      </c>
      <c r="M108" s="77" t="inlineStr">
        <is>
          <t>Y</t>
        </is>
      </c>
      <c r="N108" s="136">
        <f>IF(ISNUMBER(timeseries!Q7),timeseries!Q7,"")</f>
        <v/>
      </c>
      <c r="O108" s="77" t="inlineStr">
        <is>
          <t>GBP/MWh nominal</t>
        </is>
      </c>
    </row>
    <row r="109" ht="15" customHeight="1" s="78">
      <c r="A109" s="77" t="inlineStr">
        <is>
          <t>UK</t>
        </is>
      </c>
      <c r="B109" s="77" t="n">
        <v>2023</v>
      </c>
      <c r="C109" s="77" t="inlineStr">
        <is>
          <t>large</t>
        </is>
      </c>
      <c r="D109" s="77" t="inlineStr">
        <is>
          <t>E1</t>
        </is>
      </c>
      <c r="E109" s="77" t="inlineStr">
        <is>
          <t>BSUoS (demand-only from 04/2023)</t>
        </is>
      </c>
      <c r="F109" s="77" t="inlineStr">
        <is>
          <t>4 System services &amp; balancing</t>
        </is>
      </c>
      <c r="G109" s="77" t="inlineStr">
        <is>
          <t>balancing charge</t>
        </is>
      </c>
      <c r="H109" s="77" t="inlineStr">
        <is>
          <t>i</t>
        </is>
      </c>
      <c r="I109" s="77">
        <f>IF(ISNUMBER(N109),N109*fx_deflator!$I$18*fx_deflator!$M$18,"")</f>
        <v/>
      </c>
      <c r="J109" s="77" t="inlineStr">
        <is>
          <t>NESO bsuos-fixed-tariffs + HH RF settlement files (own annual avg 2010-22)</t>
        </is>
      </c>
      <c r="K109" s="77" t="inlineStr">
        <is>
          <t>stage4_uk r28-30</t>
        </is>
      </c>
      <c r="L109" s="77" t="inlineStr">
        <is>
          <t>2026-07-15</t>
        </is>
      </c>
      <c r="M109" s="77" t="inlineStr">
        <is>
          <t>Y</t>
        </is>
      </c>
      <c r="N109" s="77">
        <f>IF(ISNUMBER(timeseries!Q8),timeseries!Q8,"")</f>
        <v/>
      </c>
      <c r="O109" s="77" t="inlineStr">
        <is>
          <t>GBP/MWh nominal</t>
        </is>
      </c>
    </row>
    <row r="110" ht="15" customHeight="1" s="78">
      <c r="A110" s="77" t="inlineStr">
        <is>
          <t>UK</t>
        </is>
      </c>
      <c r="B110" s="77" t="n">
        <v>2023</v>
      </c>
      <c r="C110" s="77" t="inlineStr">
        <is>
          <t>large</t>
        </is>
      </c>
      <c r="D110" s="77" t="inlineStr">
        <is>
          <t>E1</t>
        </is>
      </c>
      <c r="E110" s="77" t="inlineStr">
        <is>
          <t>AAHEDC</t>
        </is>
      </c>
      <c r="F110" s="77" t="inlineStr">
        <is>
          <t>3 Network</t>
        </is>
      </c>
      <c r="G110" s="77" t="inlineStr">
        <is>
          <t>network levy (hydro benefit)</t>
        </is>
      </c>
      <c r="H110" s="77" t="inlineStr">
        <is>
          <t>ii (pays cross-subsidy to N Scotland consumers)</t>
        </is>
      </c>
      <c r="I110" s="77">
        <f>IF(ISNUMBER(N110),N110*fx_deflator!$I$18*fx_deflator!$M$18,"")</f>
        <v/>
      </c>
      <c r="J110" s="77" t="inlineStr">
        <is>
          <t>NG/ESO AAHEDC charging statements &amp; final tariff letters</t>
        </is>
      </c>
      <c r="K110" s="77" t="inlineStr">
        <is>
          <t>stage4_uk r31</t>
        </is>
      </c>
      <c r="L110" s="77" t="inlineStr">
        <is>
          <t>2026-07-15</t>
        </is>
      </c>
      <c r="M110" s="77" t="inlineStr">
        <is>
          <t>N</t>
        </is>
      </c>
      <c r="N110" s="136">
        <f>IF(ISNUMBER(timeseries!Q9),timeseries!Q9,"")</f>
        <v/>
      </c>
      <c r="O110" s="77" t="inlineStr">
        <is>
          <t>GBP/MWh nominal</t>
        </is>
      </c>
      <c r="P110" s="77" t="inlineStr">
        <is>
          <t>not in NCC base (conservative, unverified)</t>
        </is>
      </c>
    </row>
    <row r="111" ht="15" customHeight="1" s="78">
      <c r="A111" s="77" t="inlineStr">
        <is>
          <t>UK</t>
        </is>
      </c>
      <c r="B111" s="77" t="n">
        <v>2023</v>
      </c>
      <c r="C111" s="77" t="inlineStr">
        <is>
          <t>large</t>
        </is>
      </c>
      <c r="D111" s="77" t="inlineStr">
        <is>
          <t>E1</t>
        </is>
      </c>
      <c r="E111" s="77" t="inlineStr">
        <is>
          <t>RO (buy-out x obligation)</t>
        </is>
      </c>
      <c r="F111" s="77" t="inlineStr">
        <is>
          <t>2 Gen capital recovery</t>
        </is>
      </c>
      <c r="G111" s="77" t="inlineStr">
        <is>
          <t>renewables levy</t>
        </is>
      </c>
      <c r="H111" s="77" t="inlineStr">
        <is>
          <t>i</t>
        </is>
      </c>
      <c r="I111" s="77">
        <f>IF(ISNUMBER(N111),N111*fx_deflator!$I$18*fx_deflator!$M$18,"")</f>
        <v/>
      </c>
      <c r="J111" s="77" t="inlineStr">
        <is>
          <t>Ofgem RO guidance OFG1164 Table 1.1 (buy-out x obligation)</t>
        </is>
      </c>
      <c r="K111" s="77" t="inlineStr">
        <is>
          <t>stage4_uk r12-14</t>
        </is>
      </c>
      <c r="L111" s="77" t="inlineStr">
        <is>
          <t>2026-07-15</t>
        </is>
      </c>
      <c r="M111" s="77" t="inlineStr">
        <is>
          <t>Y</t>
        </is>
      </c>
      <c r="N111" s="136">
        <f>IF(ISNUMBER(timeseries!Q10),timeseries!Q10,"")</f>
        <v/>
      </c>
      <c r="O111" s="77" t="inlineStr">
        <is>
          <t>GBP/MWh nominal</t>
        </is>
      </c>
    </row>
    <row r="112" ht="15" customHeight="1" s="78">
      <c r="A112" s="77" t="inlineStr">
        <is>
          <t>UK</t>
        </is>
      </c>
      <c r="B112" s="77" t="n">
        <v>2023</v>
      </c>
      <c r="C112" s="77" t="inlineStr">
        <is>
          <t>large</t>
        </is>
      </c>
      <c r="D112" s="77" t="inlineStr">
        <is>
          <t>E1</t>
        </is>
      </c>
      <c r="E112" s="77" t="inlineStr">
        <is>
          <t>CfD Interim Levy Rate (annual avg)</t>
        </is>
      </c>
      <c r="F112" s="77" t="inlineStr">
        <is>
          <t>2 Gen capital recovery</t>
        </is>
      </c>
      <c r="G112" s="77" t="inlineStr">
        <is>
          <t>renewables levy</t>
        </is>
      </c>
      <c r="H112" s="77" t="inlineStr">
        <is>
          <t>i</t>
        </is>
      </c>
      <c r="I112" s="77">
        <f>IF(ISNUMBER(N112),N112*fx_deflator!$I$18*fx_deflator!$M$18,"")</f>
        <v/>
      </c>
      <c r="J112" s="77" t="inlineStr">
        <is>
          <t>LCCC Actual ILR Income dataset (quarterly avg)</t>
        </is>
      </c>
      <c r="K112" s="77" t="inlineStr">
        <is>
          <t>stage4_uk r15-19</t>
        </is>
      </c>
      <c r="L112" s="77" t="inlineStr">
        <is>
          <t>2026-07-15</t>
        </is>
      </c>
      <c r="M112" s="77" t="inlineStr">
        <is>
          <t>Y</t>
        </is>
      </c>
      <c r="N112" s="136">
        <f>IF(ISNUMBER(timeseries!Q11),timeseries!Q11,"")</f>
        <v/>
      </c>
      <c r="O112" s="77" t="inlineStr">
        <is>
          <t>GBP/MWh nominal</t>
        </is>
      </c>
    </row>
    <row r="113" ht="15" customHeight="1" s="78">
      <c r="A113" s="77" t="inlineStr">
        <is>
          <t>UK</t>
        </is>
      </c>
      <c r="B113" s="77" t="n">
        <v>2023</v>
      </c>
      <c r="C113" s="77" t="inlineStr">
        <is>
          <t>large</t>
        </is>
      </c>
      <c r="D113" s="77" t="inlineStr">
        <is>
          <t>E1</t>
        </is>
      </c>
      <c r="E113" s="77" t="inlineStr">
        <is>
          <t>FiT levelisation</t>
        </is>
      </c>
      <c r="F113" s="77" t="inlineStr">
        <is>
          <t>2 Gen capital recovery</t>
        </is>
      </c>
      <c r="G113" s="77" t="inlineStr">
        <is>
          <t>renewables levy</t>
        </is>
      </c>
      <c r="H113" s="77" t="inlineStr">
        <is>
          <t>i</t>
        </is>
      </c>
      <c r="I113" s="77">
        <f>IF(ISNUMBER(N113),N113*fx_deflator!$I$18*fx_deflator!$M$18,"")</f>
        <v/>
      </c>
      <c r="J113" s="77" t="inlineStr">
        <is>
          <t>Ofgem FIT Annual Reports SY1-SY15; D27 for 2010-14</t>
        </is>
      </c>
      <c r="K113" s="77" t="inlineStr">
        <is>
          <t>stage4_uk r20</t>
        </is>
      </c>
      <c r="L113" s="77" t="inlineStr">
        <is>
          <t>2026-07-15</t>
        </is>
      </c>
      <c r="M113" s="77" t="inlineStr">
        <is>
          <t>Y</t>
        </is>
      </c>
      <c r="N113" s="77">
        <f>IF(ISNUMBER(timeseries!Q12),timeseries!Q12,"")</f>
        <v/>
      </c>
      <c r="O113" s="77" t="inlineStr">
        <is>
          <t>GBP/MWh nominal</t>
        </is>
      </c>
      <c r="P113" s="77" t="inlineStr">
        <is>
          <t>2025 unpublished (Q32) — row absent, gap stated</t>
        </is>
      </c>
    </row>
    <row r="114" ht="15" customHeight="1" s="78">
      <c r="A114" s="77" t="inlineStr">
        <is>
          <t>UK</t>
        </is>
      </c>
      <c r="B114" s="77" t="n">
        <v>2023</v>
      </c>
      <c r="C114" s="77" t="inlineStr">
        <is>
          <t>large</t>
        </is>
      </c>
      <c r="D114" s="77" t="inlineStr">
        <is>
          <t>E1</t>
        </is>
      </c>
      <c r="E114" s="77" t="inlineStr">
        <is>
          <t>Capacity Market (derived per-MWh)</t>
        </is>
      </c>
      <c r="F114" s="77" t="inlineStr">
        <is>
          <t>2 Gen capital recovery</t>
        </is>
      </c>
      <c r="G114" s="77" t="inlineStr">
        <is>
          <t>capacity market levy</t>
        </is>
      </c>
      <c r="H114" s="77" t="inlineStr">
        <is>
          <t>i</t>
        </is>
      </c>
      <c r="I114" s="77">
        <f>IF(ISNUMBER(N114),N114*fx_deflator!$I$18*fx_deflator!$M$18,"")</f>
        <v/>
      </c>
      <c r="J114" s="77" t="inlineStr">
        <is>
          <t>EMRS Key Figures for Payments (derived per-MWh, D30)</t>
        </is>
      </c>
      <c r="K114" s="77" t="inlineStr">
        <is>
          <t>stage4_uk r21</t>
        </is>
      </c>
      <c r="L114" s="77" t="inlineStr">
        <is>
          <t>2026-07-15</t>
        </is>
      </c>
      <c r="M114" s="77" t="inlineStr">
        <is>
          <t>Y</t>
        </is>
      </c>
      <c r="N114" s="77">
        <f>IF(ISNUMBER(timeseries!Q13),timeseries!Q13,"")</f>
        <v/>
      </c>
      <c r="O114" s="77" t="inlineStr">
        <is>
          <t>GBP/MWh nominal</t>
        </is>
      </c>
      <c r="P114" s="77" t="inlineStr">
        <is>
          <t>function 2 per D9</t>
        </is>
      </c>
    </row>
    <row r="115" ht="15" customHeight="1" s="78">
      <c r="A115" s="77" t="inlineStr">
        <is>
          <t>UK</t>
        </is>
      </c>
      <c r="B115" s="77" t="n">
        <v>2023</v>
      </c>
      <c r="C115" s="77" t="inlineStr">
        <is>
          <t>large</t>
        </is>
      </c>
      <c r="D115" s="77" t="inlineStr">
        <is>
          <t>E1</t>
        </is>
      </c>
      <c r="E115" s="77" t="inlineStr">
        <is>
          <t>CCL (main rate; CCA discount not modelled)</t>
        </is>
      </c>
      <c r="F115" s="77" t="inlineStr">
        <is>
          <t>5 General taxation &amp; levies</t>
        </is>
      </c>
      <c r="G115" s="77" t="inlineStr">
        <is>
          <t>climate levy (tax)</t>
        </is>
      </c>
      <c r="H115" s="77" t="inlineStr">
        <is>
          <t>i</t>
        </is>
      </c>
      <c r="I115" s="77">
        <f>IF(ISNUMBER(N115),N115*fx_deflator!$I$18*fx_deflator!$M$18,"")</f>
        <v/>
      </c>
      <c r="J115" s="77" t="inlineStr">
        <is>
          <t>HMRC Environmental Taxes Bulletin, historical rates Table 1</t>
        </is>
      </c>
      <c r="K115" s="77" t="inlineStr">
        <is>
          <t>stage4_uk r22</t>
        </is>
      </c>
      <c r="L115" s="77" t="inlineStr">
        <is>
          <t>2026-07-15</t>
        </is>
      </c>
      <c r="M115" s="77" t="inlineStr">
        <is>
          <t>N</t>
        </is>
      </c>
      <c r="N115" s="136">
        <f>IF(ISNUMBER(timeseries!Q14),timeseries!Q14,"")</f>
        <v/>
      </c>
      <c r="O115" s="77" t="inlineStr">
        <is>
          <t>GBP/MWh nominal</t>
        </is>
      </c>
    </row>
    <row r="116" ht="15" customHeight="1" s="78">
      <c r="A116" s="77" t="inlineStr">
        <is>
          <t>UK</t>
        </is>
      </c>
      <c r="B116" s="77" t="n">
        <v>2024</v>
      </c>
      <c r="C116" s="77" t="inlineStr">
        <is>
          <t>large</t>
        </is>
      </c>
      <c r="D116" s="77" t="inlineStr">
        <is>
          <t>E1</t>
        </is>
      </c>
      <c r="E116" s="77" t="inlineStr">
        <is>
          <t>Wholesale (rolling year-ahead baseload; DA proxy &lt;=2021)</t>
        </is>
      </c>
      <c r="F116" s="77" t="inlineStr">
        <is>
          <t>1 Commodity</t>
        </is>
      </c>
      <c r="G116" s="77" t="inlineStr">
        <is>
          <t>wholesale market</t>
        </is>
      </c>
      <c r="H116" s="77" t="inlineStr">
        <is>
          <t>i</t>
        </is>
      </c>
      <c r="I116" s="77">
        <f>IF(ISNUMBER(N116),N116*fx_deflator!$I$19*fx_deflator!$M$19,"")</f>
        <v/>
      </c>
      <c r="J116" s="77" t="inlineStr">
        <is>
          <t>Ofgem data portal — DA baseload monthly avg (proxy &lt;=2021, D22); Forward Delivery Contracts (D21)</t>
        </is>
      </c>
      <c r="K116" s="77" t="inlineStr">
        <is>
          <t>stage4_uk r7-9</t>
        </is>
      </c>
      <c r="L116" s="77" t="inlineStr">
        <is>
          <t>2026-07-15</t>
        </is>
      </c>
      <c r="M116" s="77" t="inlineStr">
        <is>
          <t>Y</t>
        </is>
      </c>
      <c r="N116" s="136">
        <f>IF(ISNUMBER(timeseries!R6),timeseries!R6,"")</f>
        <v/>
      </c>
      <c r="O116" s="77" t="inlineStr">
        <is>
          <t>GBP/MWh nominal</t>
        </is>
      </c>
      <c r="P116" s="77" t="inlineStr">
        <is>
          <t>identical E1/E2; embedded carbon memo inside this item</t>
        </is>
      </c>
    </row>
    <row r="117" ht="15" customHeight="1" s="78">
      <c r="A117" s="77" t="inlineStr">
        <is>
          <t>UK</t>
        </is>
      </c>
      <c r="B117" s="77" t="n">
        <v>2024</v>
      </c>
      <c r="C117" s="77" t="inlineStr">
        <is>
          <t>large</t>
        </is>
      </c>
      <c r="D117" s="77" t="inlineStr">
        <is>
          <t>E1</t>
        </is>
      </c>
      <c r="E117" s="77" t="inlineStr">
        <is>
          <t>TNUoS demand (zone 5; TCR banded residual from 2023)</t>
        </is>
      </c>
      <c r="F117" s="77" t="inlineStr">
        <is>
          <t>3 Network</t>
        </is>
      </c>
      <c r="G117" s="77" t="inlineStr">
        <is>
          <t>transmission network charge</t>
        </is>
      </c>
      <c r="H117" s="77" t="inlineStr">
        <is>
          <t>i</t>
        </is>
      </c>
      <c r="I117" s="77">
        <f>IF(ISNUMBER(N117),N117*fx_deflator!$I$19*fx_deflator!$M$19,"")</f>
        <v/>
      </c>
      <c r="J117" s="77" t="inlineStr">
        <is>
          <t>NESO TNUoS tariff documents (compendium doc 50736; Final TNUoS 2023/24-2026/27 Table 10)</t>
        </is>
      </c>
      <c r="K117" s="77" t="inlineStr">
        <is>
          <t>stage4_uk r25-27</t>
        </is>
      </c>
      <c r="L117" s="77" t="inlineStr">
        <is>
          <t>2026-07-15</t>
        </is>
      </c>
      <c r="M117" s="77" t="inlineStr">
        <is>
          <t>Y</t>
        </is>
      </c>
      <c r="N117" s="136">
        <f>IF(ISNUMBER(timeseries!R7),timeseries!R7,"")</f>
        <v/>
      </c>
      <c r="O117" s="77" t="inlineStr">
        <is>
          <t>GBP/MWh nominal</t>
        </is>
      </c>
    </row>
    <row r="118" ht="15" customHeight="1" s="78">
      <c r="A118" s="77" t="inlineStr">
        <is>
          <t>UK</t>
        </is>
      </c>
      <c r="B118" s="77" t="n">
        <v>2024</v>
      </c>
      <c r="C118" s="77" t="inlineStr">
        <is>
          <t>large</t>
        </is>
      </c>
      <c r="D118" s="77" t="inlineStr">
        <is>
          <t>E1</t>
        </is>
      </c>
      <c r="E118" s="77" t="inlineStr">
        <is>
          <t>BSUoS (demand-only from 04/2023)</t>
        </is>
      </c>
      <c r="F118" s="77" t="inlineStr">
        <is>
          <t>4 System services &amp; balancing</t>
        </is>
      </c>
      <c r="G118" s="77" t="inlineStr">
        <is>
          <t>balancing charge</t>
        </is>
      </c>
      <c r="H118" s="77" t="inlineStr">
        <is>
          <t>i</t>
        </is>
      </c>
      <c r="I118" s="77">
        <f>IF(ISNUMBER(N118),N118*fx_deflator!$I$19*fx_deflator!$M$19,"")</f>
        <v/>
      </c>
      <c r="J118" s="77" t="inlineStr">
        <is>
          <t>NESO bsuos-fixed-tariffs + HH RF settlement files (own annual avg 2010-22)</t>
        </is>
      </c>
      <c r="K118" s="77" t="inlineStr">
        <is>
          <t>stage4_uk r28-30</t>
        </is>
      </c>
      <c r="L118" s="77" t="inlineStr">
        <is>
          <t>2026-07-15</t>
        </is>
      </c>
      <c r="M118" s="77" t="inlineStr">
        <is>
          <t>Y</t>
        </is>
      </c>
      <c r="N118" s="136">
        <f>IF(ISNUMBER(timeseries!R8),timeseries!R8,"")</f>
        <v/>
      </c>
      <c r="O118" s="77" t="inlineStr">
        <is>
          <t>GBP/MWh nominal</t>
        </is>
      </c>
    </row>
    <row r="119" ht="15" customHeight="1" s="78">
      <c r="A119" s="77" t="inlineStr">
        <is>
          <t>UK</t>
        </is>
      </c>
      <c r="B119" s="77" t="n">
        <v>2024</v>
      </c>
      <c r="C119" s="77" t="inlineStr">
        <is>
          <t>large</t>
        </is>
      </c>
      <c r="D119" s="77" t="inlineStr">
        <is>
          <t>E1</t>
        </is>
      </c>
      <c r="E119" s="77" t="inlineStr">
        <is>
          <t>AAHEDC</t>
        </is>
      </c>
      <c r="F119" s="77" t="inlineStr">
        <is>
          <t>3 Network</t>
        </is>
      </c>
      <c r="G119" s="77" t="inlineStr">
        <is>
          <t>network levy (hydro benefit)</t>
        </is>
      </c>
      <c r="H119" s="77" t="inlineStr">
        <is>
          <t>ii (pays cross-subsidy to N Scotland consumers)</t>
        </is>
      </c>
      <c r="I119" s="77">
        <f>IF(ISNUMBER(N119),N119*fx_deflator!$I$19*fx_deflator!$M$19,"")</f>
        <v/>
      </c>
      <c r="J119" s="77" t="inlineStr">
        <is>
          <t>NG/ESO AAHEDC charging statements &amp; final tariff letters</t>
        </is>
      </c>
      <c r="K119" s="77" t="inlineStr">
        <is>
          <t>stage4_uk r31</t>
        </is>
      </c>
      <c r="L119" s="77" t="inlineStr">
        <is>
          <t>2026-07-15</t>
        </is>
      </c>
      <c r="M119" s="77" t="inlineStr">
        <is>
          <t>N</t>
        </is>
      </c>
      <c r="N119" s="136">
        <f>IF(ISNUMBER(timeseries!R9),timeseries!R9,"")</f>
        <v/>
      </c>
      <c r="O119" s="77" t="inlineStr">
        <is>
          <t>GBP/MWh nominal</t>
        </is>
      </c>
      <c r="P119" s="77" t="inlineStr">
        <is>
          <t>not in NCC base (conservative, unverified)</t>
        </is>
      </c>
    </row>
    <row r="120" ht="15" customHeight="1" s="78">
      <c r="A120" s="77" t="inlineStr">
        <is>
          <t>UK</t>
        </is>
      </c>
      <c r="B120" s="77" t="n">
        <v>2024</v>
      </c>
      <c r="C120" s="77" t="inlineStr">
        <is>
          <t>large</t>
        </is>
      </c>
      <c r="D120" s="77" t="inlineStr">
        <is>
          <t>E1</t>
        </is>
      </c>
      <c r="E120" s="77" t="inlineStr">
        <is>
          <t>RO (buy-out x obligation)</t>
        </is>
      </c>
      <c r="F120" s="77" t="inlineStr">
        <is>
          <t>2 Gen capital recovery</t>
        </is>
      </c>
      <c r="G120" s="77" t="inlineStr">
        <is>
          <t>renewables levy</t>
        </is>
      </c>
      <c r="H120" s="77" t="inlineStr">
        <is>
          <t>i</t>
        </is>
      </c>
      <c r="I120" s="77">
        <f>IF(ISNUMBER(N120),N120*fx_deflator!$I$19*fx_deflator!$M$19,"")</f>
        <v/>
      </c>
      <c r="J120" s="77" t="inlineStr">
        <is>
          <t>Ofgem RO guidance OFG1164 Table 1.1 (buy-out x obligation)</t>
        </is>
      </c>
      <c r="K120" s="77" t="inlineStr">
        <is>
          <t>stage4_uk r12-14</t>
        </is>
      </c>
      <c r="L120" s="77" t="inlineStr">
        <is>
          <t>2026-07-15</t>
        </is>
      </c>
      <c r="M120" s="77" t="inlineStr">
        <is>
          <t>Y</t>
        </is>
      </c>
      <c r="N120" s="136">
        <f>IF(ISNUMBER(timeseries!R10),timeseries!R10,"")</f>
        <v/>
      </c>
      <c r="O120" s="77" t="inlineStr">
        <is>
          <t>GBP/MWh nominal</t>
        </is>
      </c>
    </row>
    <row r="121" ht="15" customHeight="1" s="78">
      <c r="A121" s="77" t="inlineStr">
        <is>
          <t>UK</t>
        </is>
      </c>
      <c r="B121" s="77" t="n">
        <v>2024</v>
      </c>
      <c r="C121" s="77" t="inlineStr">
        <is>
          <t>large</t>
        </is>
      </c>
      <c r="D121" s="77" t="inlineStr">
        <is>
          <t>E1</t>
        </is>
      </c>
      <c r="E121" s="77" t="inlineStr">
        <is>
          <t>CfD Interim Levy Rate (annual avg)</t>
        </is>
      </c>
      <c r="F121" s="77" t="inlineStr">
        <is>
          <t>2 Gen capital recovery</t>
        </is>
      </c>
      <c r="G121" s="77" t="inlineStr">
        <is>
          <t>renewables levy</t>
        </is>
      </c>
      <c r="H121" s="77" t="inlineStr">
        <is>
          <t>i</t>
        </is>
      </c>
      <c r="I121" s="77">
        <f>IF(ISNUMBER(N121),N121*fx_deflator!$I$19*fx_deflator!$M$19,"")</f>
        <v/>
      </c>
      <c r="J121" s="77" t="inlineStr">
        <is>
          <t>LCCC Actual ILR Income dataset (quarterly avg)</t>
        </is>
      </c>
      <c r="K121" s="77" t="inlineStr">
        <is>
          <t>stage4_uk r15-19</t>
        </is>
      </c>
      <c r="L121" s="77" t="inlineStr">
        <is>
          <t>2026-07-15</t>
        </is>
      </c>
      <c r="M121" s="77" t="inlineStr">
        <is>
          <t>Y</t>
        </is>
      </c>
      <c r="N121" s="136">
        <f>IF(ISNUMBER(timeseries!R11),timeseries!R11,"")</f>
        <v/>
      </c>
      <c r="O121" s="77" t="inlineStr">
        <is>
          <t>GBP/MWh nominal</t>
        </is>
      </c>
    </row>
    <row r="122" ht="15" customHeight="1" s="78">
      <c r="A122" s="77" t="inlineStr">
        <is>
          <t>UK</t>
        </is>
      </c>
      <c r="B122" s="77" t="n">
        <v>2024</v>
      </c>
      <c r="C122" s="77" t="inlineStr">
        <is>
          <t>large</t>
        </is>
      </c>
      <c r="D122" s="77" t="inlineStr">
        <is>
          <t>E1</t>
        </is>
      </c>
      <c r="E122" s="77" t="inlineStr">
        <is>
          <t>FiT levelisation</t>
        </is>
      </c>
      <c r="F122" s="77" t="inlineStr">
        <is>
          <t>2 Gen capital recovery</t>
        </is>
      </c>
      <c r="G122" s="77" t="inlineStr">
        <is>
          <t>renewables levy</t>
        </is>
      </c>
      <c r="H122" s="77" t="inlineStr">
        <is>
          <t>i</t>
        </is>
      </c>
      <c r="I122" s="77">
        <f>IF(ISNUMBER(N122),N122*fx_deflator!$I$19*fx_deflator!$M$19,"")</f>
        <v/>
      </c>
      <c r="J122" s="77" t="inlineStr">
        <is>
          <t>Ofgem FIT Annual Reports SY1-SY15; D27 for 2010-14</t>
        </is>
      </c>
      <c r="K122" s="77" t="inlineStr">
        <is>
          <t>stage4_uk r20</t>
        </is>
      </c>
      <c r="L122" s="77" t="inlineStr">
        <is>
          <t>2026-07-15</t>
        </is>
      </c>
      <c r="M122" s="77" t="inlineStr">
        <is>
          <t>Y</t>
        </is>
      </c>
      <c r="N122" s="77">
        <f>IF(ISNUMBER(timeseries!R12),timeseries!R12,"")</f>
        <v/>
      </c>
      <c r="O122" s="77" t="inlineStr">
        <is>
          <t>GBP/MWh nominal</t>
        </is>
      </c>
      <c r="P122" s="77" t="inlineStr">
        <is>
          <t>2025 unpublished (Q32) — row absent, gap stated</t>
        </is>
      </c>
    </row>
    <row r="123" ht="15" customHeight="1" s="78">
      <c r="A123" s="77" t="inlineStr">
        <is>
          <t>UK</t>
        </is>
      </c>
      <c r="B123" s="77" t="n">
        <v>2024</v>
      </c>
      <c r="C123" s="77" t="inlineStr">
        <is>
          <t>large</t>
        </is>
      </c>
      <c r="D123" s="77" t="inlineStr">
        <is>
          <t>E1</t>
        </is>
      </c>
      <c r="E123" s="77" t="inlineStr">
        <is>
          <t>Capacity Market (derived per-MWh)</t>
        </is>
      </c>
      <c r="F123" s="77" t="inlineStr">
        <is>
          <t>2 Gen capital recovery</t>
        </is>
      </c>
      <c r="G123" s="77" t="inlineStr">
        <is>
          <t>capacity market levy</t>
        </is>
      </c>
      <c r="H123" s="77" t="inlineStr">
        <is>
          <t>i</t>
        </is>
      </c>
      <c r="I123" s="77">
        <f>IF(ISNUMBER(N123),N123*fx_deflator!$I$19*fx_deflator!$M$19,"")</f>
        <v/>
      </c>
      <c r="J123" s="77" t="inlineStr">
        <is>
          <t>EMRS Key Figures for Payments (derived per-MWh, D30)</t>
        </is>
      </c>
      <c r="K123" s="77" t="inlineStr">
        <is>
          <t>stage4_uk r21</t>
        </is>
      </c>
      <c r="L123" s="77" t="inlineStr">
        <is>
          <t>2026-07-15</t>
        </is>
      </c>
      <c r="M123" s="77" t="inlineStr">
        <is>
          <t>Y</t>
        </is>
      </c>
      <c r="N123" s="77">
        <f>IF(ISNUMBER(timeseries!R13),timeseries!R13,"")</f>
        <v/>
      </c>
      <c r="O123" s="77" t="inlineStr">
        <is>
          <t>GBP/MWh nominal</t>
        </is>
      </c>
      <c r="P123" s="77" t="inlineStr">
        <is>
          <t>function 2 per D9</t>
        </is>
      </c>
    </row>
    <row r="124" ht="15" customHeight="1" s="78">
      <c r="A124" s="77" t="inlineStr">
        <is>
          <t>UK</t>
        </is>
      </c>
      <c r="B124" s="77" t="n">
        <v>2024</v>
      </c>
      <c r="C124" s="77" t="inlineStr">
        <is>
          <t>large</t>
        </is>
      </c>
      <c r="D124" s="77" t="inlineStr">
        <is>
          <t>E1</t>
        </is>
      </c>
      <c r="E124" s="77" t="inlineStr">
        <is>
          <t>CCL (main rate; CCA discount not modelled)</t>
        </is>
      </c>
      <c r="F124" s="77" t="inlineStr">
        <is>
          <t>5 General taxation &amp; levies</t>
        </is>
      </c>
      <c r="G124" s="77" t="inlineStr">
        <is>
          <t>climate levy (tax)</t>
        </is>
      </c>
      <c r="H124" s="77" t="inlineStr">
        <is>
          <t>i</t>
        </is>
      </c>
      <c r="I124" s="77">
        <f>IF(ISNUMBER(N124),N124*fx_deflator!$I$19*fx_deflator!$M$19,"")</f>
        <v/>
      </c>
      <c r="J124" s="77" t="inlineStr">
        <is>
          <t>HMRC Environmental Taxes Bulletin, historical rates Table 1</t>
        </is>
      </c>
      <c r="K124" s="77" t="inlineStr">
        <is>
          <t>stage4_uk r22</t>
        </is>
      </c>
      <c r="L124" s="77" t="inlineStr">
        <is>
          <t>2026-07-15</t>
        </is>
      </c>
      <c r="M124" s="77" t="inlineStr">
        <is>
          <t>N</t>
        </is>
      </c>
      <c r="N124" s="136">
        <f>IF(ISNUMBER(timeseries!R14),timeseries!R14,"")</f>
        <v/>
      </c>
      <c r="O124" s="77" t="inlineStr">
        <is>
          <t>GBP/MWh nominal</t>
        </is>
      </c>
    </row>
    <row r="125" ht="15" customHeight="1" s="78">
      <c r="A125" s="77" t="inlineStr">
        <is>
          <t>UK</t>
        </is>
      </c>
      <c r="B125" s="77" t="n">
        <v>2025</v>
      </c>
      <c r="C125" s="77" t="inlineStr">
        <is>
          <t>large</t>
        </is>
      </c>
      <c r="D125" s="77" t="inlineStr">
        <is>
          <t>E1</t>
        </is>
      </c>
      <c r="E125" s="77" t="inlineStr">
        <is>
          <t>Wholesale (rolling year-ahead baseload; DA proxy &lt;=2021)</t>
        </is>
      </c>
      <c r="F125" s="77" t="inlineStr">
        <is>
          <t>1 Commodity</t>
        </is>
      </c>
      <c r="G125" s="77" t="inlineStr">
        <is>
          <t>wholesale market</t>
        </is>
      </c>
      <c r="H125" s="77" t="inlineStr">
        <is>
          <t>i</t>
        </is>
      </c>
      <c r="I125" s="77">
        <f>IF(ISNUMBER(N125),N125*fx_deflator!$I$20*fx_deflator!$M$20,"")</f>
        <v/>
      </c>
      <c r="J125" s="77" t="inlineStr">
        <is>
          <t>Ofgem data portal — DA baseload monthly avg (proxy &lt;=2021, D22); Forward Delivery Contracts (D21)</t>
        </is>
      </c>
      <c r="K125" s="77" t="inlineStr">
        <is>
          <t>stage4_uk r7-9</t>
        </is>
      </c>
      <c r="L125" s="77" t="inlineStr">
        <is>
          <t>2026-07-15</t>
        </is>
      </c>
      <c r="M125" s="77" t="inlineStr">
        <is>
          <t>Y</t>
        </is>
      </c>
      <c r="N125" s="136">
        <f>IF(ISNUMBER(timeseries!S6),timeseries!S6,"")</f>
        <v/>
      </c>
      <c r="O125" s="77" t="inlineStr">
        <is>
          <t>GBP/MWh nominal</t>
        </is>
      </c>
      <c r="P125" s="77" t="inlineStr">
        <is>
          <t>identical E1/E2; embedded carbon memo inside this item</t>
        </is>
      </c>
    </row>
    <row r="126" ht="15" customHeight="1" s="78">
      <c r="A126" s="77" t="inlineStr">
        <is>
          <t>UK</t>
        </is>
      </c>
      <c r="B126" s="77" t="n">
        <v>2025</v>
      </c>
      <c r="C126" s="77" t="inlineStr">
        <is>
          <t>large</t>
        </is>
      </c>
      <c r="D126" s="77" t="inlineStr">
        <is>
          <t>E1</t>
        </is>
      </c>
      <c r="E126" s="77" t="inlineStr">
        <is>
          <t>TNUoS demand (zone 5; TCR banded residual from 2023)</t>
        </is>
      </c>
      <c r="F126" s="77" t="inlineStr">
        <is>
          <t>3 Network</t>
        </is>
      </c>
      <c r="G126" s="77" t="inlineStr">
        <is>
          <t>transmission network charge</t>
        </is>
      </c>
      <c r="H126" s="77" t="inlineStr">
        <is>
          <t>i</t>
        </is>
      </c>
      <c r="I126" s="77">
        <f>IF(ISNUMBER(N126),N126*fx_deflator!$I$20*fx_deflator!$M$20,"")</f>
        <v/>
      </c>
      <c r="J126" s="77" t="inlineStr">
        <is>
          <t>NESO TNUoS tariff documents (compendium doc 50736; Final TNUoS 2023/24-2026/27 Table 10)</t>
        </is>
      </c>
      <c r="K126" s="77" t="inlineStr">
        <is>
          <t>stage4_uk r25-27</t>
        </is>
      </c>
      <c r="L126" s="77" t="inlineStr">
        <is>
          <t>2026-07-15</t>
        </is>
      </c>
      <c r="M126" s="77" t="inlineStr">
        <is>
          <t>Y</t>
        </is>
      </c>
      <c r="N126" s="136">
        <f>IF(ISNUMBER(timeseries!S7),timeseries!S7,"")</f>
        <v/>
      </c>
      <c r="O126" s="77" t="inlineStr">
        <is>
          <t>GBP/MWh nominal</t>
        </is>
      </c>
    </row>
    <row r="127" ht="15" customHeight="1" s="78">
      <c r="A127" s="77" t="inlineStr">
        <is>
          <t>UK</t>
        </is>
      </c>
      <c r="B127" s="77" t="n">
        <v>2025</v>
      </c>
      <c r="C127" s="77" t="inlineStr">
        <is>
          <t>large</t>
        </is>
      </c>
      <c r="D127" s="77" t="inlineStr">
        <is>
          <t>E1</t>
        </is>
      </c>
      <c r="E127" s="77" t="inlineStr">
        <is>
          <t>BSUoS (demand-only from 04/2023)</t>
        </is>
      </c>
      <c r="F127" s="77" t="inlineStr">
        <is>
          <t>4 System services &amp; balancing</t>
        </is>
      </c>
      <c r="G127" s="77" t="inlineStr">
        <is>
          <t>balancing charge</t>
        </is>
      </c>
      <c r="H127" s="77" t="inlineStr">
        <is>
          <t>i</t>
        </is>
      </c>
      <c r="I127" s="77">
        <f>IF(ISNUMBER(N127),N127*fx_deflator!$I$20*fx_deflator!$M$20,"")</f>
        <v/>
      </c>
      <c r="J127" s="77" t="inlineStr">
        <is>
          <t>NESO bsuos-fixed-tariffs + HH RF settlement files (own annual avg 2010-22)</t>
        </is>
      </c>
      <c r="K127" s="77" t="inlineStr">
        <is>
          <t>stage4_uk r28-30</t>
        </is>
      </c>
      <c r="L127" s="77" t="inlineStr">
        <is>
          <t>2026-07-15</t>
        </is>
      </c>
      <c r="M127" s="77" t="inlineStr">
        <is>
          <t>Y</t>
        </is>
      </c>
      <c r="N127" s="136">
        <f>IF(ISNUMBER(timeseries!S8),timeseries!S8,"")</f>
        <v/>
      </c>
      <c r="O127" s="77" t="inlineStr">
        <is>
          <t>GBP/MWh nominal</t>
        </is>
      </c>
    </row>
    <row r="128" ht="15" customHeight="1" s="78">
      <c r="A128" s="77" t="inlineStr">
        <is>
          <t>UK</t>
        </is>
      </c>
      <c r="B128" s="77" t="n">
        <v>2025</v>
      </c>
      <c r="C128" s="77" t="inlineStr">
        <is>
          <t>large</t>
        </is>
      </c>
      <c r="D128" s="77" t="inlineStr">
        <is>
          <t>E1</t>
        </is>
      </c>
      <c r="E128" s="77" t="inlineStr">
        <is>
          <t>AAHEDC</t>
        </is>
      </c>
      <c r="F128" s="77" t="inlineStr">
        <is>
          <t>3 Network</t>
        </is>
      </c>
      <c r="G128" s="77" t="inlineStr">
        <is>
          <t>network levy (hydro benefit)</t>
        </is>
      </c>
      <c r="H128" s="77" t="inlineStr">
        <is>
          <t>ii (pays cross-subsidy to N Scotland consumers)</t>
        </is>
      </c>
      <c r="I128" s="77">
        <f>IF(ISNUMBER(N128),N128*fx_deflator!$I$20*fx_deflator!$M$20,"")</f>
        <v/>
      </c>
      <c r="J128" s="77" t="inlineStr">
        <is>
          <t>NG/ESO AAHEDC charging statements &amp; final tariff letters</t>
        </is>
      </c>
      <c r="K128" s="77" t="inlineStr">
        <is>
          <t>stage4_uk r31</t>
        </is>
      </c>
      <c r="L128" s="77" t="inlineStr">
        <is>
          <t>2026-07-15</t>
        </is>
      </c>
      <c r="M128" s="77" t="inlineStr">
        <is>
          <t>N</t>
        </is>
      </c>
      <c r="N128" s="136">
        <f>IF(ISNUMBER(timeseries!S9),timeseries!S9,"")</f>
        <v/>
      </c>
      <c r="O128" s="77" t="inlineStr">
        <is>
          <t>GBP/MWh nominal</t>
        </is>
      </c>
      <c r="P128" s="77" t="inlineStr">
        <is>
          <t>not in NCC base (conservative, unverified)</t>
        </is>
      </c>
    </row>
    <row r="129" ht="15" customHeight="1" s="78">
      <c r="A129" s="77" t="inlineStr">
        <is>
          <t>UK</t>
        </is>
      </c>
      <c r="B129" s="77" t="n">
        <v>2025</v>
      </c>
      <c r="C129" s="77" t="inlineStr">
        <is>
          <t>large</t>
        </is>
      </c>
      <c r="D129" s="77" t="inlineStr">
        <is>
          <t>E1</t>
        </is>
      </c>
      <c r="E129" s="77" t="inlineStr">
        <is>
          <t>RO (buy-out x obligation)</t>
        </is>
      </c>
      <c r="F129" s="77" t="inlineStr">
        <is>
          <t>2 Gen capital recovery</t>
        </is>
      </c>
      <c r="G129" s="77" t="inlineStr">
        <is>
          <t>renewables levy</t>
        </is>
      </c>
      <c r="H129" s="77" t="inlineStr">
        <is>
          <t>i</t>
        </is>
      </c>
      <c r="I129" s="77">
        <f>IF(ISNUMBER(N129),N129*fx_deflator!$I$20*fx_deflator!$M$20,"")</f>
        <v/>
      </c>
      <c r="J129" s="77" t="inlineStr">
        <is>
          <t>Ofgem RO guidance OFG1164 Table 1.1 (buy-out x obligation)</t>
        </is>
      </c>
      <c r="K129" s="77" t="inlineStr">
        <is>
          <t>stage4_uk r12-14</t>
        </is>
      </c>
      <c r="L129" s="77" t="inlineStr">
        <is>
          <t>2026-07-15</t>
        </is>
      </c>
      <c r="M129" s="77" t="inlineStr">
        <is>
          <t>Y</t>
        </is>
      </c>
      <c r="N129" s="136">
        <f>IF(ISNUMBER(timeseries!S10),timeseries!S10,"")</f>
        <v/>
      </c>
      <c r="O129" s="77" t="inlineStr">
        <is>
          <t>GBP/MWh nominal</t>
        </is>
      </c>
    </row>
    <row r="130" ht="15" customHeight="1" s="78">
      <c r="A130" s="77" t="inlineStr">
        <is>
          <t>UK</t>
        </is>
      </c>
      <c r="B130" s="77" t="n">
        <v>2025</v>
      </c>
      <c r="C130" s="77" t="inlineStr">
        <is>
          <t>large</t>
        </is>
      </c>
      <c r="D130" s="77" t="inlineStr">
        <is>
          <t>E1</t>
        </is>
      </c>
      <c r="E130" s="77" t="inlineStr">
        <is>
          <t>CfD Interim Levy Rate (annual avg)</t>
        </is>
      </c>
      <c r="F130" s="77" t="inlineStr">
        <is>
          <t>2 Gen capital recovery</t>
        </is>
      </c>
      <c r="G130" s="77" t="inlineStr">
        <is>
          <t>renewables levy</t>
        </is>
      </c>
      <c r="H130" s="77" t="inlineStr">
        <is>
          <t>i</t>
        </is>
      </c>
      <c r="I130" s="77">
        <f>IF(ISNUMBER(N130),N130*fx_deflator!$I$20*fx_deflator!$M$20,"")</f>
        <v/>
      </c>
      <c r="J130" s="77" t="inlineStr">
        <is>
          <t>LCCC Actual ILR Income dataset (quarterly avg)</t>
        </is>
      </c>
      <c r="K130" s="77" t="inlineStr">
        <is>
          <t>stage4_uk r15-19</t>
        </is>
      </c>
      <c r="L130" s="77" t="inlineStr">
        <is>
          <t>2026-07-15</t>
        </is>
      </c>
      <c r="M130" s="77" t="inlineStr">
        <is>
          <t>Y</t>
        </is>
      </c>
      <c r="N130" s="136">
        <f>IF(ISNUMBER(timeseries!S11),timeseries!S11,"")</f>
        <v/>
      </c>
      <c r="O130" s="77" t="inlineStr">
        <is>
          <t>GBP/MWh nominal</t>
        </is>
      </c>
    </row>
    <row r="131" ht="15" customHeight="1" s="78">
      <c r="A131" s="77" t="inlineStr">
        <is>
          <t>UK</t>
        </is>
      </c>
      <c r="B131" s="77" t="n">
        <v>2025</v>
      </c>
      <c r="C131" s="77" t="inlineStr">
        <is>
          <t>large</t>
        </is>
      </c>
      <c r="D131" s="77" t="inlineStr">
        <is>
          <t>E1</t>
        </is>
      </c>
      <c r="E131" s="77" t="inlineStr">
        <is>
          <t>Capacity Market (derived per-MWh)</t>
        </is>
      </c>
      <c r="F131" s="77" t="inlineStr">
        <is>
          <t>2 Gen capital recovery</t>
        </is>
      </c>
      <c r="G131" s="77" t="inlineStr">
        <is>
          <t>capacity market levy</t>
        </is>
      </c>
      <c r="H131" s="77" t="inlineStr">
        <is>
          <t>i</t>
        </is>
      </c>
      <c r="I131" s="77">
        <f>IF(ISNUMBER(N131),N131*fx_deflator!$I$20*fx_deflator!$M$20,"")</f>
        <v/>
      </c>
      <c r="J131" s="77" t="inlineStr">
        <is>
          <t>EMRS Key Figures for Payments (derived per-MWh, D30)</t>
        </is>
      </c>
      <c r="K131" s="77" t="inlineStr">
        <is>
          <t>stage4_uk r21</t>
        </is>
      </c>
      <c r="L131" s="77" t="inlineStr">
        <is>
          <t>2026-07-15</t>
        </is>
      </c>
      <c r="M131" s="77" t="inlineStr">
        <is>
          <t>Y</t>
        </is>
      </c>
      <c r="N131" s="77">
        <f>IF(ISNUMBER(timeseries!S13),timeseries!S13,"")</f>
        <v/>
      </c>
      <c r="O131" s="77" t="inlineStr">
        <is>
          <t>GBP/MWh nominal</t>
        </is>
      </c>
      <c r="P131" s="77" t="inlineStr">
        <is>
          <t>function 2 per D9</t>
        </is>
      </c>
    </row>
    <row r="132" ht="15" customHeight="1" s="78">
      <c r="A132" s="77" t="inlineStr">
        <is>
          <t>UK</t>
        </is>
      </c>
      <c r="B132" s="77" t="n">
        <v>2025</v>
      </c>
      <c r="C132" s="77" t="inlineStr">
        <is>
          <t>large</t>
        </is>
      </c>
      <c r="D132" s="77" t="inlineStr">
        <is>
          <t>E1</t>
        </is>
      </c>
      <c r="E132" s="77" t="inlineStr">
        <is>
          <t>CCL (main rate; CCA discount not modelled)</t>
        </is>
      </c>
      <c r="F132" s="77" t="inlineStr">
        <is>
          <t>5 General taxation &amp; levies</t>
        </is>
      </c>
      <c r="G132" s="77" t="inlineStr">
        <is>
          <t>climate levy (tax)</t>
        </is>
      </c>
      <c r="H132" s="77" t="inlineStr">
        <is>
          <t>i</t>
        </is>
      </c>
      <c r="I132" s="77">
        <f>IF(ISNUMBER(N132),N132*fx_deflator!$I$20*fx_deflator!$M$20,"")</f>
        <v/>
      </c>
      <c r="J132" s="77" t="inlineStr">
        <is>
          <t>HMRC Environmental Taxes Bulletin, historical rates Table 1</t>
        </is>
      </c>
      <c r="K132" s="77" t="inlineStr">
        <is>
          <t>stage4_uk r22</t>
        </is>
      </c>
      <c r="L132" s="77" t="inlineStr">
        <is>
          <t>2026-07-15</t>
        </is>
      </c>
      <c r="M132" s="77" t="inlineStr">
        <is>
          <t>N</t>
        </is>
      </c>
      <c r="N132" s="136">
        <f>IF(ISNUMBER(timeseries!S14),timeseries!S14,"")</f>
        <v/>
      </c>
      <c r="O132" s="77" t="inlineStr">
        <is>
          <t>GBP/MWh nominal</t>
        </is>
      </c>
    </row>
    <row r="133" ht="15" customHeight="1" s="78">
      <c r="A133" s="77" t="inlineStr">
        <is>
          <t>UK</t>
        </is>
      </c>
      <c r="B133" s="77" t="n">
        <v>2025</v>
      </c>
      <c r="C133" s="77" t="inlineStr">
        <is>
          <t>large</t>
        </is>
      </c>
      <c r="D133" s="77" t="inlineStr">
        <is>
          <t>E1</t>
        </is>
      </c>
      <c r="E133" s="77" t="inlineStr">
        <is>
          <t>EII Support Levy (funds NCC relief)</t>
        </is>
      </c>
      <c r="F133" s="77" t="inlineStr">
        <is>
          <t>5 General taxation &amp; levies</t>
        </is>
      </c>
      <c r="G133" s="77" t="inlineStr">
        <is>
          <t>supplier levy (ESL)</t>
        </is>
      </c>
      <c r="H133" s="77" t="inlineStr">
        <is>
          <t>i (payer side of the (ii) cross-subsidy instrument)</t>
        </is>
      </c>
      <c r="I133" s="77">
        <f>IF(ISNUMBER(N133),N133*fx_deflator!$I$20*fx_deflator!$M$20,"")</f>
        <v/>
      </c>
      <c r="J133" s="77" t="inlineStr">
        <is>
          <t>Elexon NCC supplier totals; D31 method</t>
        </is>
      </c>
      <c r="K133" s="77" t="inlineStr">
        <is>
          <t>stage4_uk r53</t>
        </is>
      </c>
      <c r="L133" s="77" t="inlineStr">
        <is>
          <t>2026-07-15</t>
        </is>
      </c>
      <c r="M133" s="77" t="inlineStr">
        <is>
          <t>Y</t>
        </is>
      </c>
      <c r="N133" s="77">
        <f>IF(ISNUMBER(stage4_uk!S53),stage4_uk!S53,"")</f>
        <v/>
      </c>
      <c r="O133" s="77" t="inlineStr">
        <is>
          <t>GBP/MWh nominal</t>
        </is>
      </c>
      <c r="P133" s="77" t="inlineStr">
        <is>
          <t>redistribution levy, not a network cost — tagged function 5 (D41); E2 exempt</t>
        </is>
      </c>
    </row>
    <row r="134" ht="15" customHeight="1" s="78">
      <c r="A134" s="77" t="inlineStr">
        <is>
          <t>UK</t>
        </is>
      </c>
      <c r="B134" s="77" t="n">
        <v>2010</v>
      </c>
      <c r="C134" s="77" t="inlineStr">
        <is>
          <t>large</t>
        </is>
      </c>
      <c r="D134" s="77" t="inlineStr">
        <is>
          <t>E2</t>
        </is>
      </c>
      <c r="E134" s="77" t="inlineStr">
        <is>
          <t>Wholesale (rolling year-ahead baseload; DA proxy &lt;=2021)</t>
        </is>
      </c>
      <c r="F134" s="77" t="inlineStr">
        <is>
          <t>1 Commodity</t>
        </is>
      </c>
      <c r="G134" s="77" t="inlineStr">
        <is>
          <t>wholesale market</t>
        </is>
      </c>
      <c r="H134" s="77" t="inlineStr">
        <is>
          <t>i</t>
        </is>
      </c>
      <c r="I134" s="77">
        <f>IF(ISNUMBER(N134),N134*fx_deflator!$I$5*fx_deflator!$M$5,"")</f>
        <v/>
      </c>
      <c r="J134" s="77" t="inlineStr">
        <is>
          <t>Ofgem data portal — DA baseload monthly avg (proxy &lt;=2021, D22); Forward Delivery Contracts (D21)</t>
        </is>
      </c>
      <c r="K134" s="77" t="inlineStr">
        <is>
          <t>stage4_uk r7-9</t>
        </is>
      </c>
      <c r="L134" s="77" t="inlineStr">
        <is>
          <t>2026-07-15</t>
        </is>
      </c>
      <c r="M134" s="77" t="inlineStr">
        <is>
          <t>Y</t>
        </is>
      </c>
      <c r="N134" s="136">
        <f>IF(ISNUMBER(timeseries!D6),timeseries!D6,"")</f>
        <v/>
      </c>
      <c r="O134" s="77" t="inlineStr">
        <is>
          <t>GBP/MWh nominal</t>
        </is>
      </c>
      <c r="P134" s="77" t="inlineStr">
        <is>
          <t>identical E1/E2; embedded carbon memo inside this item</t>
        </is>
      </c>
    </row>
    <row r="135" ht="15" customHeight="1" s="78">
      <c r="A135" s="77" t="inlineStr">
        <is>
          <t>UK</t>
        </is>
      </c>
      <c r="B135" s="77" t="n">
        <v>2010</v>
      </c>
      <c r="C135" s="77" t="inlineStr">
        <is>
          <t>large</t>
        </is>
      </c>
      <c r="D135" s="77" t="inlineStr">
        <is>
          <t>E2</t>
        </is>
      </c>
      <c r="E135" s="77" t="inlineStr">
        <is>
          <t>TNUoS demand (zone 5; TCR banded residual from 2023)</t>
        </is>
      </c>
      <c r="F135" s="77" t="inlineStr">
        <is>
          <t>3 Network</t>
        </is>
      </c>
      <c r="G135" s="77" t="inlineStr">
        <is>
          <t>transmission network charge</t>
        </is>
      </c>
      <c r="H135" s="77" t="inlineStr">
        <is>
          <t>i (post-NCC relief; relief funded via ESL = ii instrument)</t>
        </is>
      </c>
      <c r="I135" s="77">
        <f>IF(ISNUMBER(N135),N135*fx_deflator!$I$5*fx_deflator!$M$5,"")</f>
        <v/>
      </c>
      <c r="J135" s="77" t="inlineStr">
        <is>
          <t>NESO TNUoS tariff documents (compendium doc 50736; Final TNUoS 2023/24-2026/27 Table 10)</t>
        </is>
      </c>
      <c r="K135" s="77" t="inlineStr">
        <is>
          <t>stage4_uk r25-27</t>
        </is>
      </c>
      <c r="L135" s="77" t="inlineStr">
        <is>
          <t>2026-07-15</t>
        </is>
      </c>
      <c r="M135" s="77" t="inlineStr">
        <is>
          <t>Y</t>
        </is>
      </c>
      <c r="N135" s="77">
        <f>IF(ISNUMBER(timeseries!D7),timeseries!D7*(1-IF(ISNUMBER(stage4_uk!D48),stage4_uk!D48,0)),"")</f>
        <v/>
      </c>
      <c r="O135" s="77" t="inlineStr">
        <is>
          <t>GBP/MWh nominal</t>
        </is>
      </c>
    </row>
    <row r="136" ht="15" customHeight="1" s="78">
      <c r="A136" s="77" t="inlineStr">
        <is>
          <t>UK</t>
        </is>
      </c>
      <c r="B136" s="77" t="n">
        <v>2010</v>
      </c>
      <c r="C136" s="77" t="inlineStr">
        <is>
          <t>large</t>
        </is>
      </c>
      <c r="D136" s="77" t="inlineStr">
        <is>
          <t>E2</t>
        </is>
      </c>
      <c r="E136" s="77" t="inlineStr">
        <is>
          <t>BSUoS (demand-only from 04/2023)</t>
        </is>
      </c>
      <c r="F136" s="77" t="inlineStr">
        <is>
          <t>4 System services &amp; balancing</t>
        </is>
      </c>
      <c r="G136" s="77" t="inlineStr">
        <is>
          <t>balancing charge</t>
        </is>
      </c>
      <c r="H136" s="77" t="inlineStr">
        <is>
          <t>i (post-NCC relief)</t>
        </is>
      </c>
      <c r="I136" s="77">
        <f>IF(ISNUMBER(N136),N136*fx_deflator!$I$5*fx_deflator!$M$5,"")</f>
        <v/>
      </c>
      <c r="J136" s="77" t="inlineStr">
        <is>
          <t>NESO bsuos-fixed-tariffs + HH RF settlement files (own annual avg 2010-22)</t>
        </is>
      </c>
      <c r="K136" s="77" t="inlineStr">
        <is>
          <t>stage4_uk r28-30</t>
        </is>
      </c>
      <c r="L136" s="77" t="inlineStr">
        <is>
          <t>2026-07-15</t>
        </is>
      </c>
      <c r="M136" s="77" t="inlineStr">
        <is>
          <t>Y</t>
        </is>
      </c>
      <c r="N136" s="77">
        <f>IF(ISNUMBER(timeseries!D8),timeseries!D8*(1-IF(ISNUMBER(stage4_uk!D48),stage4_uk!D48,0)),"")</f>
        <v/>
      </c>
      <c r="O136" s="77" t="inlineStr">
        <is>
          <t>GBP/MWh nominal</t>
        </is>
      </c>
    </row>
    <row r="137" ht="15" customHeight="1" s="78">
      <c r="A137" s="77" t="inlineStr">
        <is>
          <t>UK</t>
        </is>
      </c>
      <c r="B137" s="77" t="n">
        <v>2010</v>
      </c>
      <c r="C137" s="77" t="inlineStr">
        <is>
          <t>large</t>
        </is>
      </c>
      <c r="D137" s="77" t="inlineStr">
        <is>
          <t>E2</t>
        </is>
      </c>
      <c r="E137" s="77" t="inlineStr">
        <is>
          <t>AAHEDC</t>
        </is>
      </c>
      <c r="F137" s="77" t="inlineStr">
        <is>
          <t>3 Network</t>
        </is>
      </c>
      <c r="G137" s="77" t="inlineStr">
        <is>
          <t>network levy (hydro benefit)</t>
        </is>
      </c>
      <c r="H137" s="77" t="inlineStr">
        <is>
          <t>ii (pays cross-subsidy to N Scotland consumers)</t>
        </is>
      </c>
      <c r="I137" s="77">
        <f>IF(ISNUMBER(N137),N137*fx_deflator!$I$5*fx_deflator!$M$5,"")</f>
        <v/>
      </c>
      <c r="J137" s="77" t="inlineStr">
        <is>
          <t>NG/ESO AAHEDC charging statements &amp; final tariff letters</t>
        </is>
      </c>
      <c r="K137" s="77" t="inlineStr">
        <is>
          <t>stage4_uk r31</t>
        </is>
      </c>
      <c r="L137" s="77" t="inlineStr">
        <is>
          <t>2026-07-15</t>
        </is>
      </c>
      <c r="M137" s="77" t="inlineStr">
        <is>
          <t>N</t>
        </is>
      </c>
      <c r="N137" s="77">
        <f>IF(ISNUMBER(timeseries!D9),timeseries!D9,"")</f>
        <v/>
      </c>
      <c r="O137" s="77" t="inlineStr">
        <is>
          <t>GBP/MWh nominal</t>
        </is>
      </c>
      <c r="P137" s="77" t="inlineStr">
        <is>
          <t>not in NCC base (conservative, unverified)</t>
        </is>
      </c>
    </row>
    <row r="138" ht="15" customHeight="1" s="78">
      <c r="A138" s="77" t="inlineStr">
        <is>
          <t>UK</t>
        </is>
      </c>
      <c r="B138" s="77" t="n">
        <v>2010</v>
      </c>
      <c r="C138" s="77" t="inlineStr">
        <is>
          <t>large</t>
        </is>
      </c>
      <c r="D138" s="77" t="inlineStr">
        <is>
          <t>E2</t>
        </is>
      </c>
      <c r="E138" s="77" t="inlineStr">
        <is>
          <t>RO (buy-out x obligation)</t>
        </is>
      </c>
      <c r="F138" s="77" t="inlineStr">
        <is>
          <t>2 Gen capital recovery</t>
        </is>
      </c>
      <c r="G138" s="77" t="inlineStr">
        <is>
          <t>renewables levy</t>
        </is>
      </c>
      <c r="H138" s="77" t="inlineStr">
        <is>
          <t>i</t>
        </is>
      </c>
      <c r="I138" s="77">
        <f>IF(ISNUMBER(N138),N138*fx_deflator!$I$5*fx_deflator!$M$5,"")</f>
        <v/>
      </c>
      <c r="J138" s="77" t="inlineStr">
        <is>
          <t>Ofgem RO guidance OFG1164 Table 1.1 (buy-out x obligation)</t>
        </is>
      </c>
      <c r="K138" s="77" t="inlineStr">
        <is>
          <t>stage4_uk r12-14</t>
        </is>
      </c>
      <c r="L138" s="77" t="inlineStr">
        <is>
          <t>2026-07-15</t>
        </is>
      </c>
      <c r="M138" s="77" t="inlineStr">
        <is>
          <t>Y</t>
        </is>
      </c>
      <c r="N138" s="77">
        <f>IF(ISNUMBER(timeseries!D10),timeseries!D10*(1-IF(ISNUMBER(stage4_uk!D45),stage4_uk!D45,0)),"")</f>
        <v/>
      </c>
      <c r="O138" s="77" t="inlineStr">
        <is>
          <t>GBP/MWh nominal</t>
        </is>
      </c>
    </row>
    <row r="139" ht="15" customHeight="1" s="78">
      <c r="A139" s="77" t="inlineStr">
        <is>
          <t>UK</t>
        </is>
      </c>
      <c r="B139" s="77" t="n">
        <v>2010</v>
      </c>
      <c r="C139" s="77" t="inlineStr">
        <is>
          <t>large</t>
        </is>
      </c>
      <c r="D139" s="77" t="inlineStr">
        <is>
          <t>E2</t>
        </is>
      </c>
      <c r="E139" s="77" t="inlineStr">
        <is>
          <t>FiT levelisation</t>
        </is>
      </c>
      <c r="F139" s="77" t="inlineStr">
        <is>
          <t>2 Gen capital recovery</t>
        </is>
      </c>
      <c r="G139" s="77" t="inlineStr">
        <is>
          <t>renewables levy</t>
        </is>
      </c>
      <c r="H139" s="77" t="inlineStr">
        <is>
          <t>i</t>
        </is>
      </c>
      <c r="I139" s="77">
        <f>IF(ISNUMBER(N139),N139*fx_deflator!$I$5*fx_deflator!$M$5,"")</f>
        <v/>
      </c>
      <c r="J139" s="77" t="inlineStr">
        <is>
          <t>Ofgem FIT Annual Reports SY1-SY15; D27 for 2010-14</t>
        </is>
      </c>
      <c r="K139" s="77" t="inlineStr">
        <is>
          <t>stage4_uk r20</t>
        </is>
      </c>
      <c r="L139" s="77" t="inlineStr">
        <is>
          <t>2026-07-15</t>
        </is>
      </c>
      <c r="M139" s="77" t="inlineStr">
        <is>
          <t>Y</t>
        </is>
      </c>
      <c r="N139" s="77">
        <f>IF(ISNUMBER(timeseries!D12),timeseries!D12*(1-IF(ISNUMBER(stage4_uk!D46),stage4_uk!D46,0)),"")</f>
        <v/>
      </c>
      <c r="O139" s="77" t="inlineStr">
        <is>
          <t>GBP/MWh nominal</t>
        </is>
      </c>
      <c r="P139" s="77" t="inlineStr">
        <is>
          <t>2025 unpublished (Q32) — row absent, gap stated</t>
        </is>
      </c>
    </row>
    <row r="140" ht="15" customHeight="1" s="78">
      <c r="A140" s="77" t="inlineStr">
        <is>
          <t>UK</t>
        </is>
      </c>
      <c r="B140" s="77" t="n">
        <v>2010</v>
      </c>
      <c r="C140" s="77" t="inlineStr">
        <is>
          <t>large</t>
        </is>
      </c>
      <c r="D140" s="77" t="inlineStr">
        <is>
          <t>E2</t>
        </is>
      </c>
      <c r="E140" s="77" t="inlineStr">
        <is>
          <t>CCL — EXEMPT for the relieved case (mineralogical/metallurgical, HMRC CCL1/3 s3.14; D71)</t>
        </is>
      </c>
      <c r="F140" s="77" t="inlineStr">
        <is>
          <t>5 General taxation &amp; levies</t>
        </is>
      </c>
      <c r="G140" s="77" t="inlineStr">
        <is>
          <t>climate levy (tax)</t>
        </is>
      </c>
      <c r="H140" s="77" t="inlineStr">
        <is>
          <t>i</t>
        </is>
      </c>
      <c r="I140" s="77">
        <f>IF(ISNUMBER(N140),N140*fx_deflator!$I$5*fx_deflator!$M$5,"")</f>
        <v/>
      </c>
      <c r="J140" s="77" t="inlineStr">
        <is>
          <t>HMRC Excise Notice CCL1/3 s3.14 + Annex A (exemption from 01.04.2014). S209</t>
        </is>
      </c>
      <c r="K140" s="77" t="inlineStr">
        <is>
          <t>stage4_uk r22</t>
        </is>
      </c>
      <c r="L140" s="77" t="inlineStr">
        <is>
          <t>2026-07-15</t>
        </is>
      </c>
      <c r="M140" s="77" t="inlineStr">
        <is>
          <t>N</t>
        </is>
      </c>
      <c r="N140" s="136">
        <f>IF(ISNUMBER(timeseries!D14),0,"")</f>
        <v/>
      </c>
      <c r="O140" s="77" t="inlineStr">
        <is>
          <t>GBP/MWh nominal</t>
        </is>
      </c>
    </row>
    <row r="141" ht="15" customHeight="1" s="78">
      <c r="A141" s="77" t="inlineStr">
        <is>
          <t>UK</t>
        </is>
      </c>
      <c r="B141" s="77" t="n">
        <v>2011</v>
      </c>
      <c r="C141" s="77" t="inlineStr">
        <is>
          <t>large</t>
        </is>
      </c>
      <c r="D141" s="77" t="inlineStr">
        <is>
          <t>E2</t>
        </is>
      </c>
      <c r="E141" s="77" t="inlineStr">
        <is>
          <t>Wholesale (rolling year-ahead baseload; DA proxy &lt;=2021)</t>
        </is>
      </c>
      <c r="F141" s="77" t="inlineStr">
        <is>
          <t>1 Commodity</t>
        </is>
      </c>
      <c r="G141" s="77" t="inlineStr">
        <is>
          <t>wholesale market</t>
        </is>
      </c>
      <c r="H141" s="77" t="inlineStr">
        <is>
          <t>i</t>
        </is>
      </c>
      <c r="I141" s="77">
        <f>IF(ISNUMBER(N141),N141*fx_deflator!$I$6*fx_deflator!$M$6,"")</f>
        <v/>
      </c>
      <c r="J141" s="77" t="inlineStr">
        <is>
          <t>Ofgem data portal — DA baseload monthly avg (proxy &lt;=2021, D22); Forward Delivery Contracts (D21)</t>
        </is>
      </c>
      <c r="K141" s="77" t="inlineStr">
        <is>
          <t>stage4_uk r7-9</t>
        </is>
      </c>
      <c r="L141" s="77" t="inlineStr">
        <is>
          <t>2026-07-15</t>
        </is>
      </c>
      <c r="M141" s="77" t="inlineStr">
        <is>
          <t>Y</t>
        </is>
      </c>
      <c r="N141" s="136">
        <f>IF(ISNUMBER(timeseries!E6),timeseries!E6,"")</f>
        <v/>
      </c>
      <c r="O141" s="77" t="inlineStr">
        <is>
          <t>GBP/MWh nominal</t>
        </is>
      </c>
      <c r="P141" s="77" t="inlineStr">
        <is>
          <t>identical E1/E2; embedded carbon memo inside this item</t>
        </is>
      </c>
    </row>
    <row r="142" ht="15" customHeight="1" s="78">
      <c r="A142" s="77" t="inlineStr">
        <is>
          <t>UK</t>
        </is>
      </c>
      <c r="B142" s="77" t="n">
        <v>2011</v>
      </c>
      <c r="C142" s="77" t="inlineStr">
        <is>
          <t>large</t>
        </is>
      </c>
      <c r="D142" s="77" t="inlineStr">
        <is>
          <t>E2</t>
        </is>
      </c>
      <c r="E142" s="77" t="inlineStr">
        <is>
          <t>TNUoS demand (zone 5; TCR banded residual from 2023)</t>
        </is>
      </c>
      <c r="F142" s="77" t="inlineStr">
        <is>
          <t>3 Network</t>
        </is>
      </c>
      <c r="G142" s="77" t="inlineStr">
        <is>
          <t>transmission network charge</t>
        </is>
      </c>
      <c r="H142" s="77" t="inlineStr">
        <is>
          <t>i (post-NCC relief; relief funded via ESL = ii instrument)</t>
        </is>
      </c>
      <c r="I142" s="77">
        <f>IF(ISNUMBER(N142),N142*fx_deflator!$I$6*fx_deflator!$M$6,"")</f>
        <v/>
      </c>
      <c r="J142" s="77" t="inlineStr">
        <is>
          <t>NESO TNUoS tariff documents (compendium doc 50736; Final TNUoS 2023/24-2026/27 Table 10)</t>
        </is>
      </c>
      <c r="K142" s="77" t="inlineStr">
        <is>
          <t>stage4_uk r25-27</t>
        </is>
      </c>
      <c r="L142" s="77" t="inlineStr">
        <is>
          <t>2026-07-15</t>
        </is>
      </c>
      <c r="M142" s="77" t="inlineStr">
        <is>
          <t>Y</t>
        </is>
      </c>
      <c r="N142" s="77">
        <f>IF(ISNUMBER(timeseries!E7),timeseries!E7*(1-IF(ISNUMBER(stage4_uk!E48),stage4_uk!E48,0)),"")</f>
        <v/>
      </c>
      <c r="O142" s="77" t="inlineStr">
        <is>
          <t>GBP/MWh nominal</t>
        </is>
      </c>
    </row>
    <row r="143" ht="15" customHeight="1" s="78">
      <c r="A143" s="77" t="inlineStr">
        <is>
          <t>UK</t>
        </is>
      </c>
      <c r="B143" s="77" t="n">
        <v>2011</v>
      </c>
      <c r="C143" s="77" t="inlineStr">
        <is>
          <t>large</t>
        </is>
      </c>
      <c r="D143" s="77" t="inlineStr">
        <is>
          <t>E2</t>
        </is>
      </c>
      <c r="E143" s="77" t="inlineStr">
        <is>
          <t>BSUoS (demand-only from 04/2023)</t>
        </is>
      </c>
      <c r="F143" s="77" t="inlineStr">
        <is>
          <t>4 System services &amp; balancing</t>
        </is>
      </c>
      <c r="G143" s="77" t="inlineStr">
        <is>
          <t>balancing charge</t>
        </is>
      </c>
      <c r="H143" s="77" t="inlineStr">
        <is>
          <t>i (post-NCC relief)</t>
        </is>
      </c>
      <c r="I143" s="77">
        <f>IF(ISNUMBER(N143),N143*fx_deflator!$I$6*fx_deflator!$M$6,"")</f>
        <v/>
      </c>
      <c r="J143" s="77" t="inlineStr">
        <is>
          <t>NESO bsuos-fixed-tariffs + HH RF settlement files (own annual avg 2010-22)</t>
        </is>
      </c>
      <c r="K143" s="77" t="inlineStr">
        <is>
          <t>stage4_uk r28-30</t>
        </is>
      </c>
      <c r="L143" s="77" t="inlineStr">
        <is>
          <t>2026-07-15</t>
        </is>
      </c>
      <c r="M143" s="77" t="inlineStr">
        <is>
          <t>Y</t>
        </is>
      </c>
      <c r="N143" s="77">
        <f>IF(ISNUMBER(timeseries!E8),timeseries!E8*(1-IF(ISNUMBER(stage4_uk!E48),stage4_uk!E48,0)),"")</f>
        <v/>
      </c>
      <c r="O143" s="77" t="inlineStr">
        <is>
          <t>GBP/MWh nominal</t>
        </is>
      </c>
    </row>
    <row r="144" ht="15" customHeight="1" s="78">
      <c r="A144" s="77" t="inlineStr">
        <is>
          <t>UK</t>
        </is>
      </c>
      <c r="B144" s="77" t="n">
        <v>2011</v>
      </c>
      <c r="C144" s="77" t="inlineStr">
        <is>
          <t>large</t>
        </is>
      </c>
      <c r="D144" s="77" t="inlineStr">
        <is>
          <t>E2</t>
        </is>
      </c>
      <c r="E144" s="77" t="inlineStr">
        <is>
          <t>AAHEDC</t>
        </is>
      </c>
      <c r="F144" s="77" t="inlineStr">
        <is>
          <t>3 Network</t>
        </is>
      </c>
      <c r="G144" s="77" t="inlineStr">
        <is>
          <t>network levy (hydro benefit)</t>
        </is>
      </c>
      <c r="H144" s="77" t="inlineStr">
        <is>
          <t>ii (pays cross-subsidy to N Scotland consumers)</t>
        </is>
      </c>
      <c r="I144" s="77">
        <f>IF(ISNUMBER(N144),N144*fx_deflator!$I$6*fx_deflator!$M$6,"")</f>
        <v/>
      </c>
      <c r="J144" s="77" t="inlineStr">
        <is>
          <t>NG/ESO AAHEDC charging statements &amp; final tariff letters</t>
        </is>
      </c>
      <c r="K144" s="77" t="inlineStr">
        <is>
          <t>stage4_uk r31</t>
        </is>
      </c>
      <c r="L144" s="77" t="inlineStr">
        <is>
          <t>2026-07-15</t>
        </is>
      </c>
      <c r="M144" s="77" t="inlineStr">
        <is>
          <t>N</t>
        </is>
      </c>
      <c r="N144" s="77">
        <f>IF(ISNUMBER(timeseries!E9),timeseries!E9,"")</f>
        <v/>
      </c>
      <c r="O144" s="77" t="inlineStr">
        <is>
          <t>GBP/MWh nominal</t>
        </is>
      </c>
      <c r="P144" s="77" t="inlineStr">
        <is>
          <t>not in NCC base (conservative, unverified)</t>
        </is>
      </c>
    </row>
    <row r="145" ht="15" customHeight="1" s="78">
      <c r="A145" s="77" t="inlineStr">
        <is>
          <t>UK</t>
        </is>
      </c>
      <c r="B145" s="77" t="n">
        <v>2011</v>
      </c>
      <c r="C145" s="77" t="inlineStr">
        <is>
          <t>large</t>
        </is>
      </c>
      <c r="D145" s="77" t="inlineStr">
        <is>
          <t>E2</t>
        </is>
      </c>
      <c r="E145" s="77" t="inlineStr">
        <is>
          <t>RO (buy-out x obligation)</t>
        </is>
      </c>
      <c r="F145" s="77" t="inlineStr">
        <is>
          <t>2 Gen capital recovery</t>
        </is>
      </c>
      <c r="G145" s="77" t="inlineStr">
        <is>
          <t>renewables levy</t>
        </is>
      </c>
      <c r="H145" s="77" t="inlineStr">
        <is>
          <t>i</t>
        </is>
      </c>
      <c r="I145" s="77">
        <f>IF(ISNUMBER(N145),N145*fx_deflator!$I$6*fx_deflator!$M$6,"")</f>
        <v/>
      </c>
      <c r="J145" s="77" t="inlineStr">
        <is>
          <t>Ofgem RO guidance OFG1164 Table 1.1 (buy-out x obligation)</t>
        </is>
      </c>
      <c r="K145" s="77" t="inlineStr">
        <is>
          <t>stage4_uk r12-14</t>
        </is>
      </c>
      <c r="L145" s="77" t="inlineStr">
        <is>
          <t>2026-07-15</t>
        </is>
      </c>
      <c r="M145" s="77" t="inlineStr">
        <is>
          <t>Y</t>
        </is>
      </c>
      <c r="N145" s="77">
        <f>IF(ISNUMBER(timeseries!E10),timeseries!E10*(1-IF(ISNUMBER(stage4_uk!E45),stage4_uk!E45,0)),"")</f>
        <v/>
      </c>
      <c r="O145" s="77" t="inlineStr">
        <is>
          <t>GBP/MWh nominal</t>
        </is>
      </c>
    </row>
    <row r="146" ht="15" customHeight="1" s="78">
      <c r="A146" s="77" t="inlineStr">
        <is>
          <t>UK</t>
        </is>
      </c>
      <c r="B146" s="77" t="n">
        <v>2011</v>
      </c>
      <c r="C146" s="77" t="inlineStr">
        <is>
          <t>large</t>
        </is>
      </c>
      <c r="D146" s="77" t="inlineStr">
        <is>
          <t>E2</t>
        </is>
      </c>
      <c r="E146" s="77" t="inlineStr">
        <is>
          <t>FiT levelisation</t>
        </is>
      </c>
      <c r="F146" s="77" t="inlineStr">
        <is>
          <t>2 Gen capital recovery</t>
        </is>
      </c>
      <c r="G146" s="77" t="inlineStr">
        <is>
          <t>renewables levy</t>
        </is>
      </c>
      <c r="H146" s="77" t="inlineStr">
        <is>
          <t>i</t>
        </is>
      </c>
      <c r="I146" s="77">
        <f>IF(ISNUMBER(N146),N146*fx_deflator!$I$6*fx_deflator!$M$6,"")</f>
        <v/>
      </c>
      <c r="J146" s="77" t="inlineStr">
        <is>
          <t>Ofgem FIT Annual Reports SY1-SY15; D27 for 2010-14</t>
        </is>
      </c>
      <c r="K146" s="77" t="inlineStr">
        <is>
          <t>stage4_uk r20</t>
        </is>
      </c>
      <c r="L146" s="77" t="inlineStr">
        <is>
          <t>2026-07-15</t>
        </is>
      </c>
      <c r="M146" s="77" t="inlineStr">
        <is>
          <t>Y</t>
        </is>
      </c>
      <c r="N146" s="77">
        <f>IF(ISNUMBER(timeseries!E12),timeseries!E12*(1-IF(ISNUMBER(stage4_uk!E46),stage4_uk!E46,0)),"")</f>
        <v/>
      </c>
      <c r="O146" s="77" t="inlineStr">
        <is>
          <t>GBP/MWh nominal</t>
        </is>
      </c>
      <c r="P146" s="77" t="inlineStr">
        <is>
          <t>2025 unpublished (Q32) — row absent, gap stated</t>
        </is>
      </c>
    </row>
    <row r="147" ht="15" customHeight="1" s="78">
      <c r="A147" s="77" t="inlineStr">
        <is>
          <t>UK</t>
        </is>
      </c>
      <c r="B147" s="77" t="n">
        <v>2011</v>
      </c>
      <c r="C147" s="77" t="inlineStr">
        <is>
          <t>large</t>
        </is>
      </c>
      <c r="D147" s="77" t="inlineStr">
        <is>
          <t>E2</t>
        </is>
      </c>
      <c r="E147" s="77" t="inlineStr">
        <is>
          <t>CCL — EXEMPT for the relieved case (mineralogical/metallurgical, HMRC CCL1/3 s3.14; D71)</t>
        </is>
      </c>
      <c r="F147" s="77" t="inlineStr">
        <is>
          <t>5 General taxation &amp; levies</t>
        </is>
      </c>
      <c r="G147" s="77" t="inlineStr">
        <is>
          <t>climate levy (tax)</t>
        </is>
      </c>
      <c r="H147" s="77" t="inlineStr">
        <is>
          <t>i</t>
        </is>
      </c>
      <c r="I147" s="77">
        <f>IF(ISNUMBER(N147),N147*fx_deflator!$I$6*fx_deflator!$M$6,"")</f>
        <v/>
      </c>
      <c r="J147" s="77" t="inlineStr">
        <is>
          <t>HMRC Excise Notice CCL1/3 s3.14 + Annex A (exemption from 01.04.2014). S209</t>
        </is>
      </c>
      <c r="K147" s="77" t="inlineStr">
        <is>
          <t>stage4_uk r22</t>
        </is>
      </c>
      <c r="L147" s="77" t="inlineStr">
        <is>
          <t>2026-07-15</t>
        </is>
      </c>
      <c r="M147" s="77" t="inlineStr">
        <is>
          <t>N</t>
        </is>
      </c>
      <c r="N147" s="136">
        <f>IF(ISNUMBER(timeseries!E14),0,"")</f>
        <v/>
      </c>
      <c r="O147" s="77" t="inlineStr">
        <is>
          <t>GBP/MWh nominal</t>
        </is>
      </c>
    </row>
    <row r="148" ht="15" customHeight="1" s="78">
      <c r="A148" s="77" t="inlineStr">
        <is>
          <t>UK</t>
        </is>
      </c>
      <c r="B148" s="77" t="n">
        <v>2012</v>
      </c>
      <c r="C148" s="77" t="inlineStr">
        <is>
          <t>large</t>
        </is>
      </c>
      <c r="D148" s="77" t="inlineStr">
        <is>
          <t>E2</t>
        </is>
      </c>
      <c r="E148" s="77" t="inlineStr">
        <is>
          <t>Wholesale (rolling year-ahead baseload; DA proxy &lt;=2021)</t>
        </is>
      </c>
      <c r="F148" s="77" t="inlineStr">
        <is>
          <t>1 Commodity</t>
        </is>
      </c>
      <c r="G148" s="77" t="inlineStr">
        <is>
          <t>wholesale market</t>
        </is>
      </c>
      <c r="H148" s="77" t="inlineStr">
        <is>
          <t>i</t>
        </is>
      </c>
      <c r="I148" s="77">
        <f>IF(ISNUMBER(N148),N148*fx_deflator!$I$7*fx_deflator!$M$7,"")</f>
        <v/>
      </c>
      <c r="J148" s="77" t="inlineStr">
        <is>
          <t>Ofgem data portal — DA baseload monthly avg (proxy &lt;=2021, D22); Forward Delivery Contracts (D21)</t>
        </is>
      </c>
      <c r="K148" s="77" t="inlineStr">
        <is>
          <t>stage4_uk r7-9</t>
        </is>
      </c>
      <c r="L148" s="77" t="inlineStr">
        <is>
          <t>2026-07-15</t>
        </is>
      </c>
      <c r="M148" s="77" t="inlineStr">
        <is>
          <t>Y</t>
        </is>
      </c>
      <c r="N148" s="136">
        <f>IF(ISNUMBER(timeseries!F6),timeseries!F6,"")</f>
        <v/>
      </c>
      <c r="O148" s="77" t="inlineStr">
        <is>
          <t>GBP/MWh nominal</t>
        </is>
      </c>
      <c r="P148" s="77" t="inlineStr">
        <is>
          <t>identical E1/E2; embedded carbon memo inside this item</t>
        </is>
      </c>
    </row>
    <row r="149" ht="15" customHeight="1" s="78">
      <c r="A149" s="77" t="inlineStr">
        <is>
          <t>UK</t>
        </is>
      </c>
      <c r="B149" s="77" t="n">
        <v>2012</v>
      </c>
      <c r="C149" s="77" t="inlineStr">
        <is>
          <t>large</t>
        </is>
      </c>
      <c r="D149" s="77" t="inlineStr">
        <is>
          <t>E2</t>
        </is>
      </c>
      <c r="E149" s="77" t="inlineStr">
        <is>
          <t>TNUoS demand (zone 5; TCR banded residual from 2023)</t>
        </is>
      </c>
      <c r="F149" s="77" t="inlineStr">
        <is>
          <t>3 Network</t>
        </is>
      </c>
      <c r="G149" s="77" t="inlineStr">
        <is>
          <t>transmission network charge</t>
        </is>
      </c>
      <c r="H149" s="77" t="inlineStr">
        <is>
          <t>i (post-NCC relief; relief funded via ESL = ii instrument)</t>
        </is>
      </c>
      <c r="I149" s="77">
        <f>IF(ISNUMBER(N149),N149*fx_deflator!$I$7*fx_deflator!$M$7,"")</f>
        <v/>
      </c>
      <c r="J149" s="77" t="inlineStr">
        <is>
          <t>NESO TNUoS tariff documents (compendium doc 50736; Final TNUoS 2023/24-2026/27 Table 10)</t>
        </is>
      </c>
      <c r="K149" s="77" t="inlineStr">
        <is>
          <t>stage4_uk r25-27</t>
        </is>
      </c>
      <c r="L149" s="77" t="inlineStr">
        <is>
          <t>2026-07-15</t>
        </is>
      </c>
      <c r="M149" s="77" t="inlineStr">
        <is>
          <t>Y</t>
        </is>
      </c>
      <c r="N149" s="77">
        <f>IF(ISNUMBER(timeseries!F7),timeseries!F7*(1-IF(ISNUMBER(stage4_uk!F48),stage4_uk!F48,0)),"")</f>
        <v/>
      </c>
      <c r="O149" s="77" t="inlineStr">
        <is>
          <t>GBP/MWh nominal</t>
        </is>
      </c>
    </row>
    <row r="150" ht="15" customHeight="1" s="78">
      <c r="A150" s="77" t="inlineStr">
        <is>
          <t>UK</t>
        </is>
      </c>
      <c r="B150" s="77" t="n">
        <v>2012</v>
      </c>
      <c r="C150" s="77" t="inlineStr">
        <is>
          <t>large</t>
        </is>
      </c>
      <c r="D150" s="77" t="inlineStr">
        <is>
          <t>E2</t>
        </is>
      </c>
      <c r="E150" s="77" t="inlineStr">
        <is>
          <t>BSUoS (demand-only from 04/2023)</t>
        </is>
      </c>
      <c r="F150" s="77" t="inlineStr">
        <is>
          <t>4 System services &amp; balancing</t>
        </is>
      </c>
      <c r="G150" s="77" t="inlineStr">
        <is>
          <t>balancing charge</t>
        </is>
      </c>
      <c r="H150" s="77" t="inlineStr">
        <is>
          <t>i (post-NCC relief)</t>
        </is>
      </c>
      <c r="I150" s="77">
        <f>IF(ISNUMBER(N150),N150*fx_deflator!$I$7*fx_deflator!$M$7,"")</f>
        <v/>
      </c>
      <c r="J150" s="77" t="inlineStr">
        <is>
          <t>NESO bsuos-fixed-tariffs + HH RF settlement files (own annual avg 2010-22)</t>
        </is>
      </c>
      <c r="K150" s="77" t="inlineStr">
        <is>
          <t>stage4_uk r28-30</t>
        </is>
      </c>
      <c r="L150" s="77" t="inlineStr">
        <is>
          <t>2026-07-15</t>
        </is>
      </c>
      <c r="M150" s="77" t="inlineStr">
        <is>
          <t>Y</t>
        </is>
      </c>
      <c r="N150" s="77">
        <f>IF(ISNUMBER(timeseries!F8),timeseries!F8*(1-IF(ISNUMBER(stage4_uk!F48),stage4_uk!F48,0)),"")</f>
        <v/>
      </c>
      <c r="O150" s="77" t="inlineStr">
        <is>
          <t>GBP/MWh nominal</t>
        </is>
      </c>
    </row>
    <row r="151" ht="15" customHeight="1" s="78">
      <c r="A151" s="77" t="inlineStr">
        <is>
          <t>UK</t>
        </is>
      </c>
      <c r="B151" s="77" t="n">
        <v>2012</v>
      </c>
      <c r="C151" s="77" t="inlineStr">
        <is>
          <t>large</t>
        </is>
      </c>
      <c r="D151" s="77" t="inlineStr">
        <is>
          <t>E2</t>
        </is>
      </c>
      <c r="E151" s="77" t="inlineStr">
        <is>
          <t>AAHEDC</t>
        </is>
      </c>
      <c r="F151" s="77" t="inlineStr">
        <is>
          <t>3 Network</t>
        </is>
      </c>
      <c r="G151" s="77" t="inlineStr">
        <is>
          <t>network levy (hydro benefit)</t>
        </is>
      </c>
      <c r="H151" s="77" t="inlineStr">
        <is>
          <t>ii (pays cross-subsidy to N Scotland consumers)</t>
        </is>
      </c>
      <c r="I151" s="77">
        <f>IF(ISNUMBER(N151),N151*fx_deflator!$I$7*fx_deflator!$M$7,"")</f>
        <v/>
      </c>
      <c r="J151" s="77" t="inlineStr">
        <is>
          <t>NG/ESO AAHEDC charging statements &amp; final tariff letters</t>
        </is>
      </c>
      <c r="K151" s="77" t="inlineStr">
        <is>
          <t>stage4_uk r31</t>
        </is>
      </c>
      <c r="L151" s="77" t="inlineStr">
        <is>
          <t>2026-07-15</t>
        </is>
      </c>
      <c r="M151" s="77" t="inlineStr">
        <is>
          <t>N</t>
        </is>
      </c>
      <c r="N151" s="77">
        <f>IF(ISNUMBER(timeseries!F9),timeseries!F9,"")</f>
        <v/>
      </c>
      <c r="O151" s="77" t="inlineStr">
        <is>
          <t>GBP/MWh nominal</t>
        </is>
      </c>
      <c r="P151" s="77" t="inlineStr">
        <is>
          <t>not in NCC base (conservative, unverified)</t>
        </is>
      </c>
    </row>
    <row r="152" ht="15" customHeight="1" s="78">
      <c r="A152" s="77" t="inlineStr">
        <is>
          <t>UK</t>
        </is>
      </c>
      <c r="B152" s="77" t="n">
        <v>2012</v>
      </c>
      <c r="C152" s="77" t="inlineStr">
        <is>
          <t>large</t>
        </is>
      </c>
      <c r="D152" s="77" t="inlineStr">
        <is>
          <t>E2</t>
        </is>
      </c>
      <c r="E152" s="77" t="inlineStr">
        <is>
          <t>RO (buy-out x obligation)</t>
        </is>
      </c>
      <c r="F152" s="77" t="inlineStr">
        <is>
          <t>2 Gen capital recovery</t>
        </is>
      </c>
      <c r="G152" s="77" t="inlineStr">
        <is>
          <t>renewables levy</t>
        </is>
      </c>
      <c r="H152" s="77" t="inlineStr">
        <is>
          <t>i</t>
        </is>
      </c>
      <c r="I152" s="77">
        <f>IF(ISNUMBER(N152),N152*fx_deflator!$I$7*fx_deflator!$M$7,"")</f>
        <v/>
      </c>
      <c r="J152" s="77" t="inlineStr">
        <is>
          <t>Ofgem RO guidance OFG1164 Table 1.1 (buy-out x obligation)</t>
        </is>
      </c>
      <c r="K152" s="77" t="inlineStr">
        <is>
          <t>stage4_uk r12-14</t>
        </is>
      </c>
      <c r="L152" s="77" t="inlineStr">
        <is>
          <t>2026-07-15</t>
        </is>
      </c>
      <c r="M152" s="77" t="inlineStr">
        <is>
          <t>Y</t>
        </is>
      </c>
      <c r="N152" s="77">
        <f>IF(ISNUMBER(timeseries!F10),timeseries!F10*(1-IF(ISNUMBER(stage4_uk!F45),stage4_uk!F45,0)),"")</f>
        <v/>
      </c>
      <c r="O152" s="77" t="inlineStr">
        <is>
          <t>GBP/MWh nominal</t>
        </is>
      </c>
    </row>
    <row r="153" ht="15" customHeight="1" s="78">
      <c r="A153" s="77" t="inlineStr">
        <is>
          <t>UK</t>
        </is>
      </c>
      <c r="B153" s="77" t="n">
        <v>2012</v>
      </c>
      <c r="C153" s="77" t="inlineStr">
        <is>
          <t>large</t>
        </is>
      </c>
      <c r="D153" s="77" t="inlineStr">
        <is>
          <t>E2</t>
        </is>
      </c>
      <c r="E153" s="77" t="inlineStr">
        <is>
          <t>FiT levelisation</t>
        </is>
      </c>
      <c r="F153" s="77" t="inlineStr">
        <is>
          <t>2 Gen capital recovery</t>
        </is>
      </c>
      <c r="G153" s="77" t="inlineStr">
        <is>
          <t>renewables levy</t>
        </is>
      </c>
      <c r="H153" s="77" t="inlineStr">
        <is>
          <t>i</t>
        </is>
      </c>
      <c r="I153" s="77">
        <f>IF(ISNUMBER(N153),N153*fx_deflator!$I$7*fx_deflator!$M$7,"")</f>
        <v/>
      </c>
      <c r="J153" s="77" t="inlineStr">
        <is>
          <t>Ofgem FIT Annual Reports SY1-SY15; D27 for 2010-14</t>
        </is>
      </c>
      <c r="K153" s="77" t="inlineStr">
        <is>
          <t>stage4_uk r20</t>
        </is>
      </c>
      <c r="L153" s="77" t="inlineStr">
        <is>
          <t>2026-07-15</t>
        </is>
      </c>
      <c r="M153" s="77" t="inlineStr">
        <is>
          <t>Y</t>
        </is>
      </c>
      <c r="N153" s="77">
        <f>IF(ISNUMBER(timeseries!F12),timeseries!F12*(1-IF(ISNUMBER(stage4_uk!F46),stage4_uk!F46,0)),"")</f>
        <v/>
      </c>
      <c r="O153" s="77" t="inlineStr">
        <is>
          <t>GBP/MWh nominal</t>
        </is>
      </c>
      <c r="P153" s="77" t="inlineStr">
        <is>
          <t>2025 unpublished (Q32) — row absent, gap stated</t>
        </is>
      </c>
    </row>
    <row r="154" ht="15" customHeight="1" s="78">
      <c r="A154" s="77" t="inlineStr">
        <is>
          <t>UK</t>
        </is>
      </c>
      <c r="B154" s="77" t="n">
        <v>2012</v>
      </c>
      <c r="C154" s="77" t="inlineStr">
        <is>
          <t>large</t>
        </is>
      </c>
      <c r="D154" s="77" t="inlineStr">
        <is>
          <t>E2</t>
        </is>
      </c>
      <c r="E154" s="77" t="inlineStr">
        <is>
          <t>CCL — EXEMPT for the relieved case (mineralogical/metallurgical, HMRC CCL1/3 s3.14; D71)</t>
        </is>
      </c>
      <c r="F154" s="77" t="inlineStr">
        <is>
          <t>5 General taxation &amp; levies</t>
        </is>
      </c>
      <c r="G154" s="77" t="inlineStr">
        <is>
          <t>climate levy (tax)</t>
        </is>
      </c>
      <c r="H154" s="77" t="inlineStr">
        <is>
          <t>i</t>
        </is>
      </c>
      <c r="I154" s="77">
        <f>IF(ISNUMBER(N154),N154*fx_deflator!$I$7*fx_deflator!$M$7,"")</f>
        <v/>
      </c>
      <c r="J154" s="77" t="inlineStr">
        <is>
          <t>HMRC Excise Notice CCL1/3 s3.14 + Annex A (exemption from 01.04.2014). S209</t>
        </is>
      </c>
      <c r="K154" s="77" t="inlineStr">
        <is>
          <t>stage4_uk r22</t>
        </is>
      </c>
      <c r="L154" s="77" t="inlineStr">
        <is>
          <t>2026-07-15</t>
        </is>
      </c>
      <c r="M154" s="77" t="inlineStr">
        <is>
          <t>N</t>
        </is>
      </c>
      <c r="N154" s="136">
        <f>IF(ISNUMBER(timeseries!F14),0,"")</f>
        <v/>
      </c>
      <c r="O154" s="77" t="inlineStr">
        <is>
          <t>GBP/MWh nominal</t>
        </is>
      </c>
    </row>
    <row r="155" ht="15" customHeight="1" s="78">
      <c r="A155" s="77" t="inlineStr">
        <is>
          <t>UK</t>
        </is>
      </c>
      <c r="B155" s="77" t="n">
        <v>2013</v>
      </c>
      <c r="C155" s="77" t="inlineStr">
        <is>
          <t>large</t>
        </is>
      </c>
      <c r="D155" s="77" t="inlineStr">
        <is>
          <t>E2</t>
        </is>
      </c>
      <c r="E155" s="77" t="inlineStr">
        <is>
          <t>Wholesale (rolling year-ahead baseload; DA proxy &lt;=2021)</t>
        </is>
      </c>
      <c r="F155" s="77" t="inlineStr">
        <is>
          <t>1 Commodity</t>
        </is>
      </c>
      <c r="G155" s="77" t="inlineStr">
        <is>
          <t>wholesale market</t>
        </is>
      </c>
      <c r="H155" s="77" t="inlineStr">
        <is>
          <t>i</t>
        </is>
      </c>
      <c r="I155" s="77">
        <f>IF(ISNUMBER(N155),N155*fx_deflator!$I$8*fx_deflator!$M$8,"")</f>
        <v/>
      </c>
      <c r="J155" s="77" t="inlineStr">
        <is>
          <t>Ofgem data portal — DA baseload monthly avg (proxy &lt;=2021, D22); Forward Delivery Contracts (D21)</t>
        </is>
      </c>
      <c r="K155" s="77" t="inlineStr">
        <is>
          <t>stage4_uk r7-9</t>
        </is>
      </c>
      <c r="L155" s="77" t="inlineStr">
        <is>
          <t>2026-07-15</t>
        </is>
      </c>
      <c r="M155" s="77" t="inlineStr">
        <is>
          <t>Y</t>
        </is>
      </c>
      <c r="N155" s="136">
        <f>IF(ISNUMBER(timeseries!G6),timeseries!G6,"")</f>
        <v/>
      </c>
      <c r="O155" s="77" t="inlineStr">
        <is>
          <t>GBP/MWh nominal</t>
        </is>
      </c>
      <c r="P155" s="77" t="inlineStr">
        <is>
          <t>identical E1/E2; embedded carbon memo inside this item</t>
        </is>
      </c>
    </row>
    <row r="156" ht="15" customHeight="1" s="78">
      <c r="A156" s="77" t="inlineStr">
        <is>
          <t>UK</t>
        </is>
      </c>
      <c r="B156" s="77" t="n">
        <v>2013</v>
      </c>
      <c r="C156" s="77" t="inlineStr">
        <is>
          <t>large</t>
        </is>
      </c>
      <c r="D156" s="77" t="inlineStr">
        <is>
          <t>E2</t>
        </is>
      </c>
      <c r="E156" s="77" t="inlineStr">
        <is>
          <t>TNUoS demand (zone 5; TCR banded residual from 2023)</t>
        </is>
      </c>
      <c r="F156" s="77" t="inlineStr">
        <is>
          <t>3 Network</t>
        </is>
      </c>
      <c r="G156" s="77" t="inlineStr">
        <is>
          <t>transmission network charge</t>
        </is>
      </c>
      <c r="H156" s="77" t="inlineStr">
        <is>
          <t>i (post-NCC relief; relief funded via ESL = ii instrument)</t>
        </is>
      </c>
      <c r="I156" s="77">
        <f>IF(ISNUMBER(N156),N156*fx_deflator!$I$8*fx_deflator!$M$8,"")</f>
        <v/>
      </c>
      <c r="J156" s="77" t="inlineStr">
        <is>
          <t>NESO TNUoS tariff documents (compendium doc 50736; Final TNUoS 2023/24-2026/27 Table 10)</t>
        </is>
      </c>
      <c r="K156" s="77" t="inlineStr">
        <is>
          <t>stage4_uk r25-27</t>
        </is>
      </c>
      <c r="L156" s="77" t="inlineStr">
        <is>
          <t>2026-07-15</t>
        </is>
      </c>
      <c r="M156" s="77" t="inlineStr">
        <is>
          <t>Y</t>
        </is>
      </c>
      <c r="N156" s="77">
        <f>IF(ISNUMBER(timeseries!G7),timeseries!G7*(1-IF(ISNUMBER(stage4_uk!G48),stage4_uk!G48,0)),"")</f>
        <v/>
      </c>
      <c r="O156" s="77" t="inlineStr">
        <is>
          <t>GBP/MWh nominal</t>
        </is>
      </c>
    </row>
    <row r="157" ht="15" customHeight="1" s="78">
      <c r="A157" s="77" t="inlineStr">
        <is>
          <t>UK</t>
        </is>
      </c>
      <c r="B157" s="77" t="n">
        <v>2013</v>
      </c>
      <c r="C157" s="77" t="inlineStr">
        <is>
          <t>large</t>
        </is>
      </c>
      <c r="D157" s="77" t="inlineStr">
        <is>
          <t>E2</t>
        </is>
      </c>
      <c r="E157" s="77" t="inlineStr">
        <is>
          <t>BSUoS (demand-only from 04/2023)</t>
        </is>
      </c>
      <c r="F157" s="77" t="inlineStr">
        <is>
          <t>4 System services &amp; balancing</t>
        </is>
      </c>
      <c r="G157" s="77" t="inlineStr">
        <is>
          <t>balancing charge</t>
        </is>
      </c>
      <c r="H157" s="77" t="inlineStr">
        <is>
          <t>i (post-NCC relief)</t>
        </is>
      </c>
      <c r="I157" s="77">
        <f>IF(ISNUMBER(N157),N157*fx_deflator!$I$8*fx_deflator!$M$8,"")</f>
        <v/>
      </c>
      <c r="J157" s="77" t="inlineStr">
        <is>
          <t>NESO bsuos-fixed-tariffs + HH RF settlement files (own annual avg 2010-22)</t>
        </is>
      </c>
      <c r="K157" s="77" t="inlineStr">
        <is>
          <t>stage4_uk r28-30</t>
        </is>
      </c>
      <c r="L157" s="77" t="inlineStr">
        <is>
          <t>2026-07-15</t>
        </is>
      </c>
      <c r="M157" s="77" t="inlineStr">
        <is>
          <t>Y</t>
        </is>
      </c>
      <c r="N157" s="77">
        <f>IF(ISNUMBER(timeseries!G8),timeseries!G8*(1-IF(ISNUMBER(stage4_uk!G48),stage4_uk!G48,0)),"")</f>
        <v/>
      </c>
      <c r="O157" s="77" t="inlineStr">
        <is>
          <t>GBP/MWh nominal</t>
        </is>
      </c>
    </row>
    <row r="158" ht="15" customHeight="1" s="78">
      <c r="A158" s="77" t="inlineStr">
        <is>
          <t>UK</t>
        </is>
      </c>
      <c r="B158" s="77" t="n">
        <v>2013</v>
      </c>
      <c r="C158" s="77" t="inlineStr">
        <is>
          <t>large</t>
        </is>
      </c>
      <c r="D158" s="77" t="inlineStr">
        <is>
          <t>E2</t>
        </is>
      </c>
      <c r="E158" s="77" t="inlineStr">
        <is>
          <t>AAHEDC</t>
        </is>
      </c>
      <c r="F158" s="77" t="inlineStr">
        <is>
          <t>3 Network</t>
        </is>
      </c>
      <c r="G158" s="77" t="inlineStr">
        <is>
          <t>network levy (hydro benefit)</t>
        </is>
      </c>
      <c r="H158" s="77" t="inlineStr">
        <is>
          <t>ii (pays cross-subsidy to N Scotland consumers)</t>
        </is>
      </c>
      <c r="I158" s="77">
        <f>IF(ISNUMBER(N158),N158*fx_deflator!$I$8*fx_deflator!$M$8,"")</f>
        <v/>
      </c>
      <c r="J158" s="77" t="inlineStr">
        <is>
          <t>NG/ESO AAHEDC charging statements &amp; final tariff letters</t>
        </is>
      </c>
      <c r="K158" s="77" t="inlineStr">
        <is>
          <t>stage4_uk r31</t>
        </is>
      </c>
      <c r="L158" s="77" t="inlineStr">
        <is>
          <t>2026-07-15</t>
        </is>
      </c>
      <c r="M158" s="77" t="inlineStr">
        <is>
          <t>N</t>
        </is>
      </c>
      <c r="N158" s="77">
        <f>IF(ISNUMBER(timeseries!G9),timeseries!G9,"")</f>
        <v/>
      </c>
      <c r="O158" s="77" t="inlineStr">
        <is>
          <t>GBP/MWh nominal</t>
        </is>
      </c>
      <c r="P158" s="77" t="inlineStr">
        <is>
          <t>not in NCC base (conservative, unverified)</t>
        </is>
      </c>
    </row>
    <row r="159" ht="15" customHeight="1" s="78">
      <c r="A159" s="77" t="inlineStr">
        <is>
          <t>UK</t>
        </is>
      </c>
      <c r="B159" s="77" t="n">
        <v>2013</v>
      </c>
      <c r="C159" s="77" t="inlineStr">
        <is>
          <t>large</t>
        </is>
      </c>
      <c r="D159" s="77" t="inlineStr">
        <is>
          <t>E2</t>
        </is>
      </c>
      <c r="E159" s="77" t="inlineStr">
        <is>
          <t>RO (buy-out x obligation)</t>
        </is>
      </c>
      <c r="F159" s="77" t="inlineStr">
        <is>
          <t>2 Gen capital recovery</t>
        </is>
      </c>
      <c r="G159" s="77" t="inlineStr">
        <is>
          <t>renewables levy</t>
        </is>
      </c>
      <c r="H159" s="77" t="inlineStr">
        <is>
          <t>i</t>
        </is>
      </c>
      <c r="I159" s="77">
        <f>IF(ISNUMBER(N159),N159*fx_deflator!$I$8*fx_deflator!$M$8,"")</f>
        <v/>
      </c>
      <c r="J159" s="77" t="inlineStr">
        <is>
          <t>Ofgem RO guidance OFG1164 Table 1.1 (buy-out x obligation)</t>
        </is>
      </c>
      <c r="K159" s="77" t="inlineStr">
        <is>
          <t>stage4_uk r12-14</t>
        </is>
      </c>
      <c r="L159" s="77" t="inlineStr">
        <is>
          <t>2026-07-15</t>
        </is>
      </c>
      <c r="M159" s="77" t="inlineStr">
        <is>
          <t>Y</t>
        </is>
      </c>
      <c r="N159" s="77">
        <f>IF(ISNUMBER(timeseries!G10),timeseries!G10*(1-IF(ISNUMBER(stage4_uk!G45),stage4_uk!G45,0)),"")</f>
        <v/>
      </c>
      <c r="O159" s="77" t="inlineStr">
        <is>
          <t>GBP/MWh nominal</t>
        </is>
      </c>
    </row>
    <row r="160" ht="15" customHeight="1" s="78">
      <c r="A160" s="77" t="inlineStr">
        <is>
          <t>UK</t>
        </is>
      </c>
      <c r="B160" s="77" t="n">
        <v>2013</v>
      </c>
      <c r="C160" s="77" t="inlineStr">
        <is>
          <t>large</t>
        </is>
      </c>
      <c r="D160" s="77" t="inlineStr">
        <is>
          <t>E2</t>
        </is>
      </c>
      <c r="E160" s="77" t="inlineStr">
        <is>
          <t>FiT levelisation</t>
        </is>
      </c>
      <c r="F160" s="77" t="inlineStr">
        <is>
          <t>2 Gen capital recovery</t>
        </is>
      </c>
      <c r="G160" s="77" t="inlineStr">
        <is>
          <t>renewables levy</t>
        </is>
      </c>
      <c r="H160" s="77" t="inlineStr">
        <is>
          <t>i</t>
        </is>
      </c>
      <c r="I160" s="77">
        <f>IF(ISNUMBER(N160),N160*fx_deflator!$I$8*fx_deflator!$M$8,"")</f>
        <v/>
      </c>
      <c r="J160" s="77" t="inlineStr">
        <is>
          <t>Ofgem FIT Annual Reports SY1-SY15; D27 for 2010-14</t>
        </is>
      </c>
      <c r="K160" s="77" t="inlineStr">
        <is>
          <t>stage4_uk r20</t>
        </is>
      </c>
      <c r="L160" s="77" t="inlineStr">
        <is>
          <t>2026-07-15</t>
        </is>
      </c>
      <c r="M160" s="77" t="inlineStr">
        <is>
          <t>Y</t>
        </is>
      </c>
      <c r="N160" s="77">
        <f>IF(ISNUMBER(timeseries!G12),timeseries!G12*(1-IF(ISNUMBER(stage4_uk!G46),stage4_uk!G46,0)),"")</f>
        <v/>
      </c>
      <c r="O160" s="77" t="inlineStr">
        <is>
          <t>GBP/MWh nominal</t>
        </is>
      </c>
      <c r="P160" s="77" t="inlineStr">
        <is>
          <t>2025 unpublished (Q32) — row absent, gap stated</t>
        </is>
      </c>
    </row>
    <row r="161" ht="15" customHeight="1" s="78">
      <c r="A161" s="77" t="inlineStr">
        <is>
          <t>UK</t>
        </is>
      </c>
      <c r="B161" s="77" t="n">
        <v>2013</v>
      </c>
      <c r="C161" s="77" t="inlineStr">
        <is>
          <t>large</t>
        </is>
      </c>
      <c r="D161" s="77" t="inlineStr">
        <is>
          <t>E2</t>
        </is>
      </c>
      <c r="E161" s="77" t="inlineStr">
        <is>
          <t>CCL — EXEMPT for the relieved case (mineralogical/metallurgical, HMRC CCL1/3 s3.14; D71)</t>
        </is>
      </c>
      <c r="F161" s="77" t="inlineStr">
        <is>
          <t>5 General taxation &amp; levies</t>
        </is>
      </c>
      <c r="G161" s="77" t="inlineStr">
        <is>
          <t>climate levy (tax)</t>
        </is>
      </c>
      <c r="H161" s="77" t="inlineStr">
        <is>
          <t>i</t>
        </is>
      </c>
      <c r="I161" s="77">
        <f>IF(ISNUMBER(N161),N161*fx_deflator!$I$8*fx_deflator!$M$8,"")</f>
        <v/>
      </c>
      <c r="J161" s="77" t="inlineStr">
        <is>
          <t>HMRC Excise Notice CCL1/3 s3.14 + Annex A (exemption from 01.04.2014). S209</t>
        </is>
      </c>
      <c r="K161" s="77" t="inlineStr">
        <is>
          <t>stage4_uk r22</t>
        </is>
      </c>
      <c r="L161" s="77" t="inlineStr">
        <is>
          <t>2026-07-15</t>
        </is>
      </c>
      <c r="M161" s="77" t="inlineStr">
        <is>
          <t>N</t>
        </is>
      </c>
      <c r="N161" s="136">
        <f>IF(ISNUMBER(timeseries!G14),0,"")</f>
        <v/>
      </c>
      <c r="O161" s="77" t="inlineStr">
        <is>
          <t>GBP/MWh nominal</t>
        </is>
      </c>
    </row>
    <row r="162" ht="15" customHeight="1" s="78">
      <c r="A162" s="77" t="inlineStr">
        <is>
          <t>UK</t>
        </is>
      </c>
      <c r="B162" s="77" t="n">
        <v>2014</v>
      </c>
      <c r="C162" s="77" t="inlineStr">
        <is>
          <t>large</t>
        </is>
      </c>
      <c r="D162" s="77" t="inlineStr">
        <is>
          <t>E2</t>
        </is>
      </c>
      <c r="E162" s="77" t="inlineStr">
        <is>
          <t>Wholesale (rolling year-ahead baseload; DA proxy &lt;=2021)</t>
        </is>
      </c>
      <c r="F162" s="77" t="inlineStr">
        <is>
          <t>1 Commodity</t>
        </is>
      </c>
      <c r="G162" s="77" t="inlineStr">
        <is>
          <t>wholesale market</t>
        </is>
      </c>
      <c r="H162" s="77" t="inlineStr">
        <is>
          <t>i</t>
        </is>
      </c>
      <c r="I162" s="77">
        <f>IF(ISNUMBER(N162),N162*fx_deflator!$I$9*fx_deflator!$M$9,"")</f>
        <v/>
      </c>
      <c r="J162" s="77" t="inlineStr">
        <is>
          <t>Ofgem data portal — DA baseload monthly avg (proxy &lt;=2021, D22); Forward Delivery Contracts (D21)</t>
        </is>
      </c>
      <c r="K162" s="77" t="inlineStr">
        <is>
          <t>stage4_uk r7-9</t>
        </is>
      </c>
      <c r="L162" s="77" t="inlineStr">
        <is>
          <t>2026-07-15</t>
        </is>
      </c>
      <c r="M162" s="77" t="inlineStr">
        <is>
          <t>Y</t>
        </is>
      </c>
      <c r="N162" s="136">
        <f>IF(ISNUMBER(timeseries!H6),timeseries!H6,"")</f>
        <v/>
      </c>
      <c r="O162" s="77" t="inlineStr">
        <is>
          <t>GBP/MWh nominal</t>
        </is>
      </c>
      <c r="P162" s="77" t="inlineStr">
        <is>
          <t>identical E1/E2; embedded carbon memo inside this item</t>
        </is>
      </c>
    </row>
    <row r="163" ht="15" customHeight="1" s="78">
      <c r="A163" s="77" t="inlineStr">
        <is>
          <t>UK</t>
        </is>
      </c>
      <c r="B163" s="77" t="n">
        <v>2014</v>
      </c>
      <c r="C163" s="77" t="inlineStr">
        <is>
          <t>large</t>
        </is>
      </c>
      <c r="D163" s="77" t="inlineStr">
        <is>
          <t>E2</t>
        </is>
      </c>
      <c r="E163" s="77" t="inlineStr">
        <is>
          <t>TNUoS demand (zone 5; TCR banded residual from 2023)</t>
        </is>
      </c>
      <c r="F163" s="77" t="inlineStr">
        <is>
          <t>3 Network</t>
        </is>
      </c>
      <c r="G163" s="77" t="inlineStr">
        <is>
          <t>transmission network charge</t>
        </is>
      </c>
      <c r="H163" s="77" t="inlineStr">
        <is>
          <t>i (post-NCC relief; relief funded via ESL = ii instrument)</t>
        </is>
      </c>
      <c r="I163" s="77">
        <f>IF(ISNUMBER(N163),N163*fx_deflator!$I$9*fx_deflator!$M$9,"")</f>
        <v/>
      </c>
      <c r="J163" s="77" t="inlineStr">
        <is>
          <t>NESO TNUoS tariff documents (compendium doc 50736; Final TNUoS 2023/24-2026/27 Table 10)</t>
        </is>
      </c>
      <c r="K163" s="77" t="inlineStr">
        <is>
          <t>stage4_uk r25-27</t>
        </is>
      </c>
      <c r="L163" s="77" t="inlineStr">
        <is>
          <t>2026-07-15</t>
        </is>
      </c>
      <c r="M163" s="77" t="inlineStr">
        <is>
          <t>Y</t>
        </is>
      </c>
      <c r="N163" s="77">
        <f>IF(ISNUMBER(timeseries!H7),timeseries!H7*(1-IF(ISNUMBER(stage4_uk!H48),stage4_uk!H48,0)),"")</f>
        <v/>
      </c>
      <c r="O163" s="77" t="inlineStr">
        <is>
          <t>GBP/MWh nominal</t>
        </is>
      </c>
    </row>
    <row r="164" ht="15" customHeight="1" s="78">
      <c r="A164" s="77" t="inlineStr">
        <is>
          <t>UK</t>
        </is>
      </c>
      <c r="B164" s="77" t="n">
        <v>2014</v>
      </c>
      <c r="C164" s="77" t="inlineStr">
        <is>
          <t>large</t>
        </is>
      </c>
      <c r="D164" s="77" t="inlineStr">
        <is>
          <t>E2</t>
        </is>
      </c>
      <c r="E164" s="77" t="inlineStr">
        <is>
          <t>BSUoS (demand-only from 04/2023)</t>
        </is>
      </c>
      <c r="F164" s="77" t="inlineStr">
        <is>
          <t>4 System services &amp; balancing</t>
        </is>
      </c>
      <c r="G164" s="77" t="inlineStr">
        <is>
          <t>balancing charge</t>
        </is>
      </c>
      <c r="H164" s="77" t="inlineStr">
        <is>
          <t>i (post-NCC relief)</t>
        </is>
      </c>
      <c r="I164" s="77">
        <f>IF(ISNUMBER(N164),N164*fx_deflator!$I$9*fx_deflator!$M$9,"")</f>
        <v/>
      </c>
      <c r="J164" s="77" t="inlineStr">
        <is>
          <t>NESO bsuos-fixed-tariffs + HH RF settlement files (own annual avg 2010-22)</t>
        </is>
      </c>
      <c r="K164" s="77" t="inlineStr">
        <is>
          <t>stage4_uk r28-30</t>
        </is>
      </c>
      <c r="L164" s="77" t="inlineStr">
        <is>
          <t>2026-07-15</t>
        </is>
      </c>
      <c r="M164" s="77" t="inlineStr">
        <is>
          <t>Y</t>
        </is>
      </c>
      <c r="N164" s="77">
        <f>IF(ISNUMBER(timeseries!H8),timeseries!H8*(1-IF(ISNUMBER(stage4_uk!H48),stage4_uk!H48,0)),"")</f>
        <v/>
      </c>
      <c r="O164" s="77" t="inlineStr">
        <is>
          <t>GBP/MWh nominal</t>
        </is>
      </c>
    </row>
    <row r="165" ht="15" customHeight="1" s="78">
      <c r="A165" s="77" t="inlineStr">
        <is>
          <t>UK</t>
        </is>
      </c>
      <c r="B165" s="77" t="n">
        <v>2014</v>
      </c>
      <c r="C165" s="77" t="inlineStr">
        <is>
          <t>large</t>
        </is>
      </c>
      <c r="D165" s="77" t="inlineStr">
        <is>
          <t>E2</t>
        </is>
      </c>
      <c r="E165" s="77" t="inlineStr">
        <is>
          <t>AAHEDC</t>
        </is>
      </c>
      <c r="F165" s="77" t="inlineStr">
        <is>
          <t>3 Network</t>
        </is>
      </c>
      <c r="G165" s="77" t="inlineStr">
        <is>
          <t>network levy (hydro benefit)</t>
        </is>
      </c>
      <c r="H165" s="77" t="inlineStr">
        <is>
          <t>ii (pays cross-subsidy to N Scotland consumers)</t>
        </is>
      </c>
      <c r="I165" s="77">
        <f>IF(ISNUMBER(N165),N165*fx_deflator!$I$9*fx_deflator!$M$9,"")</f>
        <v/>
      </c>
      <c r="J165" s="77" t="inlineStr">
        <is>
          <t>NG/ESO AAHEDC charging statements &amp; final tariff letters</t>
        </is>
      </c>
      <c r="K165" s="77" t="inlineStr">
        <is>
          <t>stage4_uk r31</t>
        </is>
      </c>
      <c r="L165" s="77" t="inlineStr">
        <is>
          <t>2026-07-15</t>
        </is>
      </c>
      <c r="M165" s="77" t="inlineStr">
        <is>
          <t>N</t>
        </is>
      </c>
      <c r="N165" s="77">
        <f>IF(ISNUMBER(timeseries!H9),timeseries!H9,"")</f>
        <v/>
      </c>
      <c r="O165" s="77" t="inlineStr">
        <is>
          <t>GBP/MWh nominal</t>
        </is>
      </c>
      <c r="P165" s="77" t="inlineStr">
        <is>
          <t>not in NCC base (conservative, unverified)</t>
        </is>
      </c>
    </row>
    <row r="166" ht="15" customHeight="1" s="78">
      <c r="A166" s="77" t="inlineStr">
        <is>
          <t>UK</t>
        </is>
      </c>
      <c r="B166" s="77" t="n">
        <v>2014</v>
      </c>
      <c r="C166" s="77" t="inlineStr">
        <is>
          <t>large</t>
        </is>
      </c>
      <c r="D166" s="77" t="inlineStr">
        <is>
          <t>E2</t>
        </is>
      </c>
      <c r="E166" s="77" t="inlineStr">
        <is>
          <t>RO (buy-out x obligation)</t>
        </is>
      </c>
      <c r="F166" s="77" t="inlineStr">
        <is>
          <t>2 Gen capital recovery</t>
        </is>
      </c>
      <c r="G166" s="77" t="inlineStr">
        <is>
          <t>renewables levy</t>
        </is>
      </c>
      <c r="H166" s="77" t="inlineStr">
        <is>
          <t>i</t>
        </is>
      </c>
      <c r="I166" s="77">
        <f>IF(ISNUMBER(N166),N166*fx_deflator!$I$9*fx_deflator!$M$9,"")</f>
        <v/>
      </c>
      <c r="J166" s="77" t="inlineStr">
        <is>
          <t>Ofgem RO guidance OFG1164 Table 1.1 (buy-out x obligation)</t>
        </is>
      </c>
      <c r="K166" s="77" t="inlineStr">
        <is>
          <t>stage4_uk r12-14</t>
        </is>
      </c>
      <c r="L166" s="77" t="inlineStr">
        <is>
          <t>2026-07-15</t>
        </is>
      </c>
      <c r="M166" s="77" t="inlineStr">
        <is>
          <t>Y</t>
        </is>
      </c>
      <c r="N166" s="77">
        <f>IF(ISNUMBER(timeseries!H10),timeseries!H10*(1-IF(ISNUMBER(stage4_uk!H45),stage4_uk!H45,0)),"")</f>
        <v/>
      </c>
      <c r="O166" s="77" t="inlineStr">
        <is>
          <t>GBP/MWh nominal</t>
        </is>
      </c>
    </row>
    <row r="167" ht="15" customHeight="1" s="78">
      <c r="A167" s="77" t="inlineStr">
        <is>
          <t>UK</t>
        </is>
      </c>
      <c r="B167" s="77" t="n">
        <v>2014</v>
      </c>
      <c r="C167" s="77" t="inlineStr">
        <is>
          <t>large</t>
        </is>
      </c>
      <c r="D167" s="77" t="inlineStr">
        <is>
          <t>E2</t>
        </is>
      </c>
      <c r="E167" s="77" t="inlineStr">
        <is>
          <t>FiT levelisation</t>
        </is>
      </c>
      <c r="F167" s="77" t="inlineStr">
        <is>
          <t>2 Gen capital recovery</t>
        </is>
      </c>
      <c r="G167" s="77" t="inlineStr">
        <is>
          <t>renewables levy</t>
        </is>
      </c>
      <c r="H167" s="77" t="inlineStr">
        <is>
          <t>i</t>
        </is>
      </c>
      <c r="I167" s="77">
        <f>IF(ISNUMBER(N167),N167*fx_deflator!$I$9*fx_deflator!$M$9,"")</f>
        <v/>
      </c>
      <c r="J167" s="77" t="inlineStr">
        <is>
          <t>Ofgem FIT Annual Reports SY1-SY15; D27 for 2010-14</t>
        </is>
      </c>
      <c r="K167" s="77" t="inlineStr">
        <is>
          <t>stage4_uk r20</t>
        </is>
      </c>
      <c r="L167" s="77" t="inlineStr">
        <is>
          <t>2026-07-15</t>
        </is>
      </c>
      <c r="M167" s="77" t="inlineStr">
        <is>
          <t>Y</t>
        </is>
      </c>
      <c r="N167" s="77">
        <f>IF(ISNUMBER(timeseries!H12),timeseries!H12*(1-IF(ISNUMBER(stage4_uk!H46),stage4_uk!H46,0)),"")</f>
        <v/>
      </c>
      <c r="O167" s="77" t="inlineStr">
        <is>
          <t>GBP/MWh nominal</t>
        </is>
      </c>
      <c r="P167" s="77" t="inlineStr">
        <is>
          <t>2025 unpublished (Q32) — row absent, gap stated</t>
        </is>
      </c>
    </row>
    <row r="168" ht="15" customHeight="1" s="78">
      <c r="A168" s="77" t="inlineStr">
        <is>
          <t>UK</t>
        </is>
      </c>
      <c r="B168" s="77" t="n">
        <v>2014</v>
      </c>
      <c r="C168" s="77" t="inlineStr">
        <is>
          <t>large</t>
        </is>
      </c>
      <c r="D168" s="77" t="inlineStr">
        <is>
          <t>E2</t>
        </is>
      </c>
      <c r="E168" s="77" t="inlineStr">
        <is>
          <t>CCL — EXEMPT for the relieved case (mineralogical/metallurgical, HMRC CCL1/3 s3.14; D71)</t>
        </is>
      </c>
      <c r="F168" s="77" t="inlineStr">
        <is>
          <t>5 General taxation &amp; levies</t>
        </is>
      </c>
      <c r="G168" s="77" t="inlineStr">
        <is>
          <t>climate levy (tax)</t>
        </is>
      </c>
      <c r="H168" s="77" t="inlineStr">
        <is>
          <t>i</t>
        </is>
      </c>
      <c r="I168" s="77">
        <f>IF(ISNUMBER(N168),N168*fx_deflator!$I$9*fx_deflator!$M$9,"")</f>
        <v/>
      </c>
      <c r="J168" s="77" t="inlineStr">
        <is>
          <t>HMRC Excise Notice CCL1/3 s3.14 + Annex A (exemption from 01.04.2014). S209</t>
        </is>
      </c>
      <c r="K168" s="77" t="inlineStr">
        <is>
          <t>stage4_uk r22</t>
        </is>
      </c>
      <c r="L168" s="77" t="inlineStr">
        <is>
          <t>2026-07-15</t>
        </is>
      </c>
      <c r="M168" s="77" t="inlineStr">
        <is>
          <t>N</t>
        </is>
      </c>
      <c r="N168" s="136">
        <f>IF(ISNUMBER(timeseries!H14),0,"")</f>
        <v/>
      </c>
      <c r="O168" s="77" t="inlineStr">
        <is>
          <t>GBP/MWh nominal</t>
        </is>
      </c>
    </row>
    <row r="169" ht="15" customHeight="1" s="78">
      <c r="A169" s="77" t="inlineStr">
        <is>
          <t>UK</t>
        </is>
      </c>
      <c r="B169" s="77" t="n">
        <v>2015</v>
      </c>
      <c r="C169" s="77" t="inlineStr">
        <is>
          <t>large</t>
        </is>
      </c>
      <c r="D169" s="77" t="inlineStr">
        <is>
          <t>E2</t>
        </is>
      </c>
      <c r="E169" s="77" t="inlineStr">
        <is>
          <t>Wholesale (rolling year-ahead baseload; DA proxy &lt;=2021)</t>
        </is>
      </c>
      <c r="F169" s="77" t="inlineStr">
        <is>
          <t>1 Commodity</t>
        </is>
      </c>
      <c r="G169" s="77" t="inlineStr">
        <is>
          <t>wholesale market</t>
        </is>
      </c>
      <c r="H169" s="77" t="inlineStr">
        <is>
          <t>i</t>
        </is>
      </c>
      <c r="I169" s="77">
        <f>IF(ISNUMBER(N169),N169*fx_deflator!$I$10*fx_deflator!$M$10,"")</f>
        <v/>
      </c>
      <c r="J169" s="77" t="inlineStr">
        <is>
          <t>Ofgem data portal — DA baseload monthly avg (proxy &lt;=2021, D22); Forward Delivery Contracts (D21)</t>
        </is>
      </c>
      <c r="K169" s="77" t="inlineStr">
        <is>
          <t>stage4_uk r7-9</t>
        </is>
      </c>
      <c r="L169" s="77" t="inlineStr">
        <is>
          <t>2026-07-15</t>
        </is>
      </c>
      <c r="M169" s="77" t="inlineStr">
        <is>
          <t>Y</t>
        </is>
      </c>
      <c r="N169" s="136">
        <f>IF(ISNUMBER(timeseries!I6),timeseries!I6,"")</f>
        <v/>
      </c>
      <c r="O169" s="77" t="inlineStr">
        <is>
          <t>GBP/MWh nominal</t>
        </is>
      </c>
      <c r="P169" s="77" t="inlineStr">
        <is>
          <t>identical E1/E2; embedded carbon memo inside this item</t>
        </is>
      </c>
    </row>
    <row r="170" ht="15" customHeight="1" s="78">
      <c r="A170" s="77" t="inlineStr">
        <is>
          <t>UK</t>
        </is>
      </c>
      <c r="B170" s="77" t="n">
        <v>2015</v>
      </c>
      <c r="C170" s="77" t="inlineStr">
        <is>
          <t>large</t>
        </is>
      </c>
      <c r="D170" s="77" t="inlineStr">
        <is>
          <t>E2</t>
        </is>
      </c>
      <c r="E170" s="77" t="inlineStr">
        <is>
          <t>TNUoS demand (zone 5; TCR banded residual from 2023)</t>
        </is>
      </c>
      <c r="F170" s="77" t="inlineStr">
        <is>
          <t>3 Network</t>
        </is>
      </c>
      <c r="G170" s="77" t="inlineStr">
        <is>
          <t>transmission network charge</t>
        </is>
      </c>
      <c r="H170" s="77" t="inlineStr">
        <is>
          <t>i (post-NCC relief; relief funded via ESL = ii instrument)</t>
        </is>
      </c>
      <c r="I170" s="77">
        <f>IF(ISNUMBER(N170),N170*fx_deflator!$I$10*fx_deflator!$M$10,"")</f>
        <v/>
      </c>
      <c r="J170" s="77" t="inlineStr">
        <is>
          <t>NESO TNUoS tariff documents (compendium doc 50736; Final TNUoS 2023/24-2026/27 Table 10)</t>
        </is>
      </c>
      <c r="K170" s="77" t="inlineStr">
        <is>
          <t>stage4_uk r25-27</t>
        </is>
      </c>
      <c r="L170" s="77" t="inlineStr">
        <is>
          <t>2026-07-15</t>
        </is>
      </c>
      <c r="M170" s="77" t="inlineStr">
        <is>
          <t>Y</t>
        </is>
      </c>
      <c r="N170" s="77">
        <f>IF(ISNUMBER(timeseries!I7),timeseries!I7*(1-IF(ISNUMBER(stage4_uk!I48),stage4_uk!I48,0)),"")</f>
        <v/>
      </c>
      <c r="O170" s="77" t="inlineStr">
        <is>
          <t>GBP/MWh nominal</t>
        </is>
      </c>
    </row>
    <row r="171" ht="15" customHeight="1" s="78">
      <c r="A171" s="77" t="inlineStr">
        <is>
          <t>UK</t>
        </is>
      </c>
      <c r="B171" s="77" t="n">
        <v>2015</v>
      </c>
      <c r="C171" s="77" t="inlineStr">
        <is>
          <t>large</t>
        </is>
      </c>
      <c r="D171" s="77" t="inlineStr">
        <is>
          <t>E2</t>
        </is>
      </c>
      <c r="E171" s="77" t="inlineStr">
        <is>
          <t>BSUoS (demand-only from 04/2023)</t>
        </is>
      </c>
      <c r="F171" s="77" t="inlineStr">
        <is>
          <t>4 System services &amp; balancing</t>
        </is>
      </c>
      <c r="G171" s="77" t="inlineStr">
        <is>
          <t>balancing charge</t>
        </is>
      </c>
      <c r="H171" s="77" t="inlineStr">
        <is>
          <t>i (post-NCC relief)</t>
        </is>
      </c>
      <c r="I171" s="77">
        <f>IF(ISNUMBER(N171),N171*fx_deflator!$I$10*fx_deflator!$M$10,"")</f>
        <v/>
      </c>
      <c r="J171" s="77" t="inlineStr">
        <is>
          <t>NESO bsuos-fixed-tariffs + HH RF settlement files (own annual avg 2010-22)</t>
        </is>
      </c>
      <c r="K171" s="77" t="inlineStr">
        <is>
          <t>stage4_uk r28-30</t>
        </is>
      </c>
      <c r="L171" s="77" t="inlineStr">
        <is>
          <t>2026-07-15</t>
        </is>
      </c>
      <c r="M171" s="77" t="inlineStr">
        <is>
          <t>Y</t>
        </is>
      </c>
      <c r="N171" s="77">
        <f>IF(ISNUMBER(timeseries!I8),timeseries!I8*(1-IF(ISNUMBER(stage4_uk!I48),stage4_uk!I48,0)),"")</f>
        <v/>
      </c>
      <c r="O171" s="77" t="inlineStr">
        <is>
          <t>GBP/MWh nominal</t>
        </is>
      </c>
    </row>
    <row r="172" ht="15" customHeight="1" s="78">
      <c r="A172" s="77" t="inlineStr">
        <is>
          <t>UK</t>
        </is>
      </c>
      <c r="B172" s="77" t="n">
        <v>2015</v>
      </c>
      <c r="C172" s="77" t="inlineStr">
        <is>
          <t>large</t>
        </is>
      </c>
      <c r="D172" s="77" t="inlineStr">
        <is>
          <t>E2</t>
        </is>
      </c>
      <c r="E172" s="77" t="inlineStr">
        <is>
          <t>AAHEDC</t>
        </is>
      </c>
      <c r="F172" s="77" t="inlineStr">
        <is>
          <t>3 Network</t>
        </is>
      </c>
      <c r="G172" s="77" t="inlineStr">
        <is>
          <t>network levy (hydro benefit)</t>
        </is>
      </c>
      <c r="H172" s="77" t="inlineStr">
        <is>
          <t>ii (pays cross-subsidy to N Scotland consumers)</t>
        </is>
      </c>
      <c r="I172" s="77">
        <f>IF(ISNUMBER(N172),N172*fx_deflator!$I$10*fx_deflator!$M$10,"")</f>
        <v/>
      </c>
      <c r="J172" s="77" t="inlineStr">
        <is>
          <t>NG/ESO AAHEDC charging statements &amp; final tariff letters</t>
        </is>
      </c>
      <c r="K172" s="77" t="inlineStr">
        <is>
          <t>stage4_uk r31</t>
        </is>
      </c>
      <c r="L172" s="77" t="inlineStr">
        <is>
          <t>2026-07-15</t>
        </is>
      </c>
      <c r="M172" s="77" t="inlineStr">
        <is>
          <t>N</t>
        </is>
      </c>
      <c r="N172" s="77">
        <f>IF(ISNUMBER(timeseries!I9),timeseries!I9,"")</f>
        <v/>
      </c>
      <c r="O172" s="77" t="inlineStr">
        <is>
          <t>GBP/MWh nominal</t>
        </is>
      </c>
      <c r="P172" s="77" t="inlineStr">
        <is>
          <t>not in NCC base (conservative, unverified)</t>
        </is>
      </c>
    </row>
    <row r="173" ht="15" customHeight="1" s="78">
      <c r="A173" s="77" t="inlineStr">
        <is>
          <t>UK</t>
        </is>
      </c>
      <c r="B173" s="77" t="n">
        <v>2015</v>
      </c>
      <c r="C173" s="77" t="inlineStr">
        <is>
          <t>large</t>
        </is>
      </c>
      <c r="D173" s="77" t="inlineStr">
        <is>
          <t>E2</t>
        </is>
      </c>
      <c r="E173" s="77" t="inlineStr">
        <is>
          <t>RO (buy-out x obligation)</t>
        </is>
      </c>
      <c r="F173" s="77" t="inlineStr">
        <is>
          <t>2 Gen capital recovery</t>
        </is>
      </c>
      <c r="G173" s="77" t="inlineStr">
        <is>
          <t>renewables levy</t>
        </is>
      </c>
      <c r="H173" s="77" t="inlineStr">
        <is>
          <t>i</t>
        </is>
      </c>
      <c r="I173" s="77">
        <f>IF(ISNUMBER(N173),N173*fx_deflator!$I$10*fx_deflator!$M$10,"")</f>
        <v/>
      </c>
      <c r="J173" s="77" t="inlineStr">
        <is>
          <t>Ofgem RO guidance OFG1164 Table 1.1 (buy-out x obligation)</t>
        </is>
      </c>
      <c r="K173" s="77" t="inlineStr">
        <is>
          <t>stage4_uk r12-14</t>
        </is>
      </c>
      <c r="L173" s="77" t="inlineStr">
        <is>
          <t>2026-07-15</t>
        </is>
      </c>
      <c r="M173" s="77" t="inlineStr">
        <is>
          <t>Y</t>
        </is>
      </c>
      <c r="N173" s="77">
        <f>IF(ISNUMBER(timeseries!I10),timeseries!I10*(1-IF(ISNUMBER(stage4_uk!I45),stage4_uk!I45,0)),"")</f>
        <v/>
      </c>
      <c r="O173" s="77" t="inlineStr">
        <is>
          <t>GBP/MWh nominal</t>
        </is>
      </c>
    </row>
    <row r="174" ht="15" customHeight="1" s="78">
      <c r="A174" s="77" t="inlineStr">
        <is>
          <t>UK</t>
        </is>
      </c>
      <c r="B174" s="77" t="n">
        <v>2015</v>
      </c>
      <c r="C174" s="77" t="inlineStr">
        <is>
          <t>large</t>
        </is>
      </c>
      <c r="D174" s="77" t="inlineStr">
        <is>
          <t>E2</t>
        </is>
      </c>
      <c r="E174" s="77" t="inlineStr">
        <is>
          <t>FiT levelisation</t>
        </is>
      </c>
      <c r="F174" s="77" t="inlineStr">
        <is>
          <t>2 Gen capital recovery</t>
        </is>
      </c>
      <c r="G174" s="77" t="inlineStr">
        <is>
          <t>renewables levy</t>
        </is>
      </c>
      <c r="H174" s="77" t="inlineStr">
        <is>
          <t>i</t>
        </is>
      </c>
      <c r="I174" s="77">
        <f>IF(ISNUMBER(N174),N174*fx_deflator!$I$10*fx_deflator!$M$10,"")</f>
        <v/>
      </c>
      <c r="J174" s="77" t="inlineStr">
        <is>
          <t>Ofgem FIT Annual Reports SY1-SY15; D27 for 2010-14</t>
        </is>
      </c>
      <c r="K174" s="77" t="inlineStr">
        <is>
          <t>stage4_uk r20</t>
        </is>
      </c>
      <c r="L174" s="77" t="inlineStr">
        <is>
          <t>2026-07-15</t>
        </is>
      </c>
      <c r="M174" s="77" t="inlineStr">
        <is>
          <t>Y</t>
        </is>
      </c>
      <c r="N174" s="77">
        <f>IF(ISNUMBER(timeseries!I12),timeseries!I12*(1-IF(ISNUMBER(stage4_uk!I46),stage4_uk!I46,0)),"")</f>
        <v/>
      </c>
      <c r="O174" s="77" t="inlineStr">
        <is>
          <t>GBP/MWh nominal</t>
        </is>
      </c>
      <c r="P174" s="77" t="inlineStr">
        <is>
          <t>2025 unpublished (Q32) — row absent, gap stated</t>
        </is>
      </c>
    </row>
    <row r="175" ht="15" customHeight="1" s="78">
      <c r="A175" s="77" t="inlineStr">
        <is>
          <t>UK</t>
        </is>
      </c>
      <c r="B175" s="77" t="n">
        <v>2015</v>
      </c>
      <c r="C175" s="77" t="inlineStr">
        <is>
          <t>large</t>
        </is>
      </c>
      <c r="D175" s="77" t="inlineStr">
        <is>
          <t>E2</t>
        </is>
      </c>
      <c r="E175" s="77" t="inlineStr">
        <is>
          <t>CCL — EXEMPT for the relieved case (mineralogical/metallurgical, HMRC CCL1/3 s3.14; D71)</t>
        </is>
      </c>
      <c r="F175" s="77" t="inlineStr">
        <is>
          <t>5 General taxation &amp; levies</t>
        </is>
      </c>
      <c r="G175" s="77" t="inlineStr">
        <is>
          <t>climate levy (tax)</t>
        </is>
      </c>
      <c r="H175" s="77" t="inlineStr">
        <is>
          <t>i</t>
        </is>
      </c>
      <c r="I175" s="77">
        <f>IF(ISNUMBER(N175),N175*fx_deflator!$I$10*fx_deflator!$M$10,"")</f>
        <v/>
      </c>
      <c r="J175" s="77" t="inlineStr">
        <is>
          <t>HMRC Excise Notice CCL1/3 s3.14 + Annex A (exemption from 01.04.2014). S209</t>
        </is>
      </c>
      <c r="K175" s="77" t="inlineStr">
        <is>
          <t>stage4_uk r22</t>
        </is>
      </c>
      <c r="L175" s="77" t="inlineStr">
        <is>
          <t>2026-07-15</t>
        </is>
      </c>
      <c r="M175" s="77" t="inlineStr">
        <is>
          <t>N</t>
        </is>
      </c>
      <c r="N175" s="136">
        <f>IF(ISNUMBER(timeseries!I14),0,"")</f>
        <v/>
      </c>
      <c r="O175" s="77" t="inlineStr">
        <is>
          <t>GBP/MWh nominal</t>
        </is>
      </c>
    </row>
    <row r="176" ht="15" customHeight="1" s="78">
      <c r="A176" s="77" t="inlineStr">
        <is>
          <t>UK</t>
        </is>
      </c>
      <c r="B176" s="77" t="n">
        <v>2016</v>
      </c>
      <c r="C176" s="77" t="inlineStr">
        <is>
          <t>large</t>
        </is>
      </c>
      <c r="D176" s="77" t="inlineStr">
        <is>
          <t>E2</t>
        </is>
      </c>
      <c r="E176" s="77" t="inlineStr">
        <is>
          <t>Wholesale (rolling year-ahead baseload; DA proxy &lt;=2021)</t>
        </is>
      </c>
      <c r="F176" s="77" t="inlineStr">
        <is>
          <t>1 Commodity</t>
        </is>
      </c>
      <c r="G176" s="77" t="inlineStr">
        <is>
          <t>wholesale market</t>
        </is>
      </c>
      <c r="H176" s="77" t="inlineStr">
        <is>
          <t>i</t>
        </is>
      </c>
      <c r="I176" s="77">
        <f>IF(ISNUMBER(N176),N176*fx_deflator!$I$11*fx_deflator!$M$11,"")</f>
        <v/>
      </c>
      <c r="J176" s="77" t="inlineStr">
        <is>
          <t>Ofgem data portal — DA baseload monthly avg (proxy &lt;=2021, D22); Forward Delivery Contracts (D21)</t>
        </is>
      </c>
      <c r="K176" s="77" t="inlineStr">
        <is>
          <t>stage4_uk r7-9</t>
        </is>
      </c>
      <c r="L176" s="77" t="inlineStr">
        <is>
          <t>2026-07-15</t>
        </is>
      </c>
      <c r="M176" s="77" t="inlineStr">
        <is>
          <t>Y</t>
        </is>
      </c>
      <c r="N176" s="136">
        <f>IF(ISNUMBER(timeseries!J6),timeseries!J6,"")</f>
        <v/>
      </c>
      <c r="O176" s="77" t="inlineStr">
        <is>
          <t>GBP/MWh nominal</t>
        </is>
      </c>
      <c r="P176" s="77" t="inlineStr">
        <is>
          <t>identical E1/E2; embedded carbon memo inside this item</t>
        </is>
      </c>
    </row>
    <row r="177" ht="15" customHeight="1" s="78">
      <c r="A177" s="77" t="inlineStr">
        <is>
          <t>UK</t>
        </is>
      </c>
      <c r="B177" s="77" t="n">
        <v>2016</v>
      </c>
      <c r="C177" s="77" t="inlineStr">
        <is>
          <t>large</t>
        </is>
      </c>
      <c r="D177" s="77" t="inlineStr">
        <is>
          <t>E2</t>
        </is>
      </c>
      <c r="E177" s="77" t="inlineStr">
        <is>
          <t>TNUoS demand (zone 5; TCR banded residual from 2023)</t>
        </is>
      </c>
      <c r="F177" s="77" t="inlineStr">
        <is>
          <t>3 Network</t>
        </is>
      </c>
      <c r="G177" s="77" t="inlineStr">
        <is>
          <t>transmission network charge</t>
        </is>
      </c>
      <c r="H177" s="77" t="inlineStr">
        <is>
          <t>i (post-NCC relief; relief funded via ESL = ii instrument)</t>
        </is>
      </c>
      <c r="I177" s="77">
        <f>IF(ISNUMBER(N177),N177*fx_deflator!$I$11*fx_deflator!$M$11,"")</f>
        <v/>
      </c>
      <c r="J177" s="77" t="inlineStr">
        <is>
          <t>NESO TNUoS tariff documents (compendium doc 50736; Final TNUoS 2023/24-2026/27 Table 10)</t>
        </is>
      </c>
      <c r="K177" s="77" t="inlineStr">
        <is>
          <t>stage4_uk r25-27</t>
        </is>
      </c>
      <c r="L177" s="77" t="inlineStr">
        <is>
          <t>2026-07-15</t>
        </is>
      </c>
      <c r="M177" s="77" t="inlineStr">
        <is>
          <t>Y</t>
        </is>
      </c>
      <c r="N177" s="77">
        <f>IF(ISNUMBER(timeseries!J7),timeseries!J7*(1-IF(ISNUMBER(stage4_uk!J48),stage4_uk!J48,0)),"")</f>
        <v/>
      </c>
      <c r="O177" s="77" t="inlineStr">
        <is>
          <t>GBP/MWh nominal</t>
        </is>
      </c>
    </row>
    <row r="178" ht="15" customHeight="1" s="78">
      <c r="A178" s="77" t="inlineStr">
        <is>
          <t>UK</t>
        </is>
      </c>
      <c r="B178" s="77" t="n">
        <v>2016</v>
      </c>
      <c r="C178" s="77" t="inlineStr">
        <is>
          <t>large</t>
        </is>
      </c>
      <c r="D178" s="77" t="inlineStr">
        <is>
          <t>E2</t>
        </is>
      </c>
      <c r="E178" s="77" t="inlineStr">
        <is>
          <t>BSUoS (demand-only from 04/2023)</t>
        </is>
      </c>
      <c r="F178" s="77" t="inlineStr">
        <is>
          <t>4 System services &amp; balancing</t>
        </is>
      </c>
      <c r="G178" s="77" t="inlineStr">
        <is>
          <t>balancing charge</t>
        </is>
      </c>
      <c r="H178" s="77" t="inlineStr">
        <is>
          <t>i (post-NCC relief)</t>
        </is>
      </c>
      <c r="I178" s="77">
        <f>IF(ISNUMBER(N178),N178*fx_deflator!$I$11*fx_deflator!$M$11,"")</f>
        <v/>
      </c>
      <c r="J178" s="77" t="inlineStr">
        <is>
          <t>NESO bsuos-fixed-tariffs + HH RF settlement files (own annual avg 2010-22)</t>
        </is>
      </c>
      <c r="K178" s="77" t="inlineStr">
        <is>
          <t>stage4_uk r28-30</t>
        </is>
      </c>
      <c r="L178" s="77" t="inlineStr">
        <is>
          <t>2026-07-15</t>
        </is>
      </c>
      <c r="M178" s="77" t="inlineStr">
        <is>
          <t>Y</t>
        </is>
      </c>
      <c r="N178" s="77">
        <f>IF(ISNUMBER(timeseries!J8),timeseries!J8*(1-IF(ISNUMBER(stage4_uk!J48),stage4_uk!J48,0)),"")</f>
        <v/>
      </c>
      <c r="O178" s="77" t="inlineStr">
        <is>
          <t>GBP/MWh nominal</t>
        </is>
      </c>
    </row>
    <row r="179" ht="15" customHeight="1" s="78">
      <c r="A179" s="77" t="inlineStr">
        <is>
          <t>UK</t>
        </is>
      </c>
      <c r="B179" s="77" t="n">
        <v>2016</v>
      </c>
      <c r="C179" s="77" t="inlineStr">
        <is>
          <t>large</t>
        </is>
      </c>
      <c r="D179" s="77" t="inlineStr">
        <is>
          <t>E2</t>
        </is>
      </c>
      <c r="E179" s="77" t="inlineStr">
        <is>
          <t>AAHEDC</t>
        </is>
      </c>
      <c r="F179" s="77" t="inlineStr">
        <is>
          <t>3 Network</t>
        </is>
      </c>
      <c r="G179" s="77" t="inlineStr">
        <is>
          <t>network levy (hydro benefit)</t>
        </is>
      </c>
      <c r="H179" s="77" t="inlineStr">
        <is>
          <t>ii (pays cross-subsidy to N Scotland consumers)</t>
        </is>
      </c>
      <c r="I179" s="77">
        <f>IF(ISNUMBER(N179),N179*fx_deflator!$I$11*fx_deflator!$M$11,"")</f>
        <v/>
      </c>
      <c r="J179" s="77" t="inlineStr">
        <is>
          <t>NG/ESO AAHEDC charging statements &amp; final tariff letters</t>
        </is>
      </c>
      <c r="K179" s="77" t="inlineStr">
        <is>
          <t>stage4_uk r31</t>
        </is>
      </c>
      <c r="L179" s="77" t="inlineStr">
        <is>
          <t>2026-07-15</t>
        </is>
      </c>
      <c r="M179" s="77" t="inlineStr">
        <is>
          <t>N</t>
        </is>
      </c>
      <c r="N179" s="77">
        <f>IF(ISNUMBER(timeseries!J9),timeseries!J9,"")</f>
        <v/>
      </c>
      <c r="O179" s="77" t="inlineStr">
        <is>
          <t>GBP/MWh nominal</t>
        </is>
      </c>
      <c r="P179" s="77" t="inlineStr">
        <is>
          <t>not in NCC base (conservative, unverified)</t>
        </is>
      </c>
    </row>
    <row r="180" ht="15" customHeight="1" s="78">
      <c r="A180" s="77" t="inlineStr">
        <is>
          <t>UK</t>
        </is>
      </c>
      <c r="B180" s="77" t="n">
        <v>2016</v>
      </c>
      <c r="C180" s="77" t="inlineStr">
        <is>
          <t>large</t>
        </is>
      </c>
      <c r="D180" s="77" t="inlineStr">
        <is>
          <t>E2</t>
        </is>
      </c>
      <c r="E180" s="77" t="inlineStr">
        <is>
          <t>RO (buy-out x obligation)</t>
        </is>
      </c>
      <c r="F180" s="77" t="inlineStr">
        <is>
          <t>2 Gen capital recovery</t>
        </is>
      </c>
      <c r="G180" s="77" t="inlineStr">
        <is>
          <t>renewables levy</t>
        </is>
      </c>
      <c r="H180" s="77" t="inlineStr">
        <is>
          <t>i</t>
        </is>
      </c>
      <c r="I180" s="77">
        <f>IF(ISNUMBER(N180),N180*fx_deflator!$I$11*fx_deflator!$M$11,"")</f>
        <v/>
      </c>
      <c r="J180" s="77" t="inlineStr">
        <is>
          <t>Ofgem RO guidance OFG1164 Table 1.1 (buy-out x obligation)</t>
        </is>
      </c>
      <c r="K180" s="77" t="inlineStr">
        <is>
          <t>stage4_uk r12-14</t>
        </is>
      </c>
      <c r="L180" s="77" t="inlineStr">
        <is>
          <t>2026-07-15</t>
        </is>
      </c>
      <c r="M180" s="77" t="inlineStr">
        <is>
          <t>Y</t>
        </is>
      </c>
      <c r="N180" s="77">
        <f>IF(ISNUMBER(timeseries!J10),timeseries!J10*(1-IF(ISNUMBER(stage4_uk!J45),stage4_uk!J45,0)),"")</f>
        <v/>
      </c>
      <c r="O180" s="77" t="inlineStr">
        <is>
          <t>GBP/MWh nominal</t>
        </is>
      </c>
    </row>
    <row r="181" ht="15" customHeight="1" s="78">
      <c r="A181" s="77" t="inlineStr">
        <is>
          <t>UK</t>
        </is>
      </c>
      <c r="B181" s="77" t="n">
        <v>2016</v>
      </c>
      <c r="C181" s="77" t="inlineStr">
        <is>
          <t>large</t>
        </is>
      </c>
      <c r="D181" s="77" t="inlineStr">
        <is>
          <t>E2</t>
        </is>
      </c>
      <c r="E181" s="77" t="inlineStr">
        <is>
          <t>CfD Interim Levy Rate (annual avg)</t>
        </is>
      </c>
      <c r="F181" s="77" t="inlineStr">
        <is>
          <t>2 Gen capital recovery</t>
        </is>
      </c>
      <c r="G181" s="77" t="inlineStr">
        <is>
          <t>renewables levy</t>
        </is>
      </c>
      <c r="H181" s="77" t="inlineStr">
        <is>
          <t>i</t>
        </is>
      </c>
      <c r="I181" s="77">
        <f>IF(ISNUMBER(N181),N181*fx_deflator!$I$11*fx_deflator!$M$11,"")</f>
        <v/>
      </c>
      <c r="J181" s="77" t="inlineStr">
        <is>
          <t>LCCC Actual ILR Income dataset (quarterly avg)</t>
        </is>
      </c>
      <c r="K181" s="77" t="inlineStr">
        <is>
          <t>stage4_uk r15-19</t>
        </is>
      </c>
      <c r="L181" s="77" t="inlineStr">
        <is>
          <t>2026-07-15</t>
        </is>
      </c>
      <c r="M181" s="77" t="inlineStr">
        <is>
          <t>Y</t>
        </is>
      </c>
      <c r="N181" s="77">
        <f>IF(ISNUMBER(timeseries!J11),timeseries!J11*(1-IF(ISNUMBER(stage4_uk!J44),stage4_uk!J44,0)),"")</f>
        <v/>
      </c>
      <c r="O181" s="77" t="inlineStr">
        <is>
          <t>GBP/MWh nominal</t>
        </is>
      </c>
    </row>
    <row r="182" ht="15" customHeight="1" s="78">
      <c r="A182" s="77" t="inlineStr">
        <is>
          <t>UK</t>
        </is>
      </c>
      <c r="B182" s="77" t="n">
        <v>2016</v>
      </c>
      <c r="C182" s="77" t="inlineStr">
        <is>
          <t>large</t>
        </is>
      </c>
      <c r="D182" s="77" t="inlineStr">
        <is>
          <t>E2</t>
        </is>
      </c>
      <c r="E182" s="77" t="inlineStr">
        <is>
          <t>FiT levelisation</t>
        </is>
      </c>
      <c r="F182" s="77" t="inlineStr">
        <is>
          <t>2 Gen capital recovery</t>
        </is>
      </c>
      <c r="G182" s="77" t="inlineStr">
        <is>
          <t>renewables levy</t>
        </is>
      </c>
      <c r="H182" s="77" t="inlineStr">
        <is>
          <t>i</t>
        </is>
      </c>
      <c r="I182" s="77">
        <f>IF(ISNUMBER(N182),N182*fx_deflator!$I$11*fx_deflator!$M$11,"")</f>
        <v/>
      </c>
      <c r="J182" s="77" t="inlineStr">
        <is>
          <t>Ofgem FIT Annual Reports SY1-SY15; D27 for 2010-14</t>
        </is>
      </c>
      <c r="K182" s="77" t="inlineStr">
        <is>
          <t>stage4_uk r20</t>
        </is>
      </c>
      <c r="L182" s="77" t="inlineStr">
        <is>
          <t>2026-07-15</t>
        </is>
      </c>
      <c r="M182" s="77" t="inlineStr">
        <is>
          <t>Y</t>
        </is>
      </c>
      <c r="N182" s="77">
        <f>IF(ISNUMBER(timeseries!J12),timeseries!J12*(1-IF(ISNUMBER(stage4_uk!J46),stage4_uk!J46,0)),"")</f>
        <v/>
      </c>
      <c r="O182" s="77" t="inlineStr">
        <is>
          <t>GBP/MWh nominal</t>
        </is>
      </c>
      <c r="P182" s="77" t="inlineStr">
        <is>
          <t>2025 unpublished (Q32) — row absent, gap stated</t>
        </is>
      </c>
    </row>
    <row r="183" ht="15" customHeight="1" s="78">
      <c r="A183" s="77" t="inlineStr">
        <is>
          <t>UK</t>
        </is>
      </c>
      <c r="B183" s="77" t="n">
        <v>2016</v>
      </c>
      <c r="C183" s="77" t="inlineStr">
        <is>
          <t>large</t>
        </is>
      </c>
      <c r="D183" s="77" t="inlineStr">
        <is>
          <t>E2</t>
        </is>
      </c>
      <c r="E183" s="77" t="inlineStr">
        <is>
          <t>CCL — EXEMPT for the relieved case (mineralogical/metallurgical, HMRC CCL1/3 s3.14; D71)</t>
        </is>
      </c>
      <c r="F183" s="77" t="inlineStr">
        <is>
          <t>5 General taxation &amp; levies</t>
        </is>
      </c>
      <c r="G183" s="77" t="inlineStr">
        <is>
          <t>climate levy (tax)</t>
        </is>
      </c>
      <c r="H183" s="77" t="inlineStr">
        <is>
          <t>i</t>
        </is>
      </c>
      <c r="I183" s="77">
        <f>IF(ISNUMBER(N183),N183*fx_deflator!$I$11*fx_deflator!$M$11,"")</f>
        <v/>
      </c>
      <c r="J183" s="77" t="inlineStr">
        <is>
          <t>HMRC Excise Notice CCL1/3 s3.14 + Annex A (exemption from 01.04.2014). S209</t>
        </is>
      </c>
      <c r="K183" s="77" t="inlineStr">
        <is>
          <t>stage4_uk r22</t>
        </is>
      </c>
      <c r="L183" s="77" t="inlineStr">
        <is>
          <t>2026-07-15</t>
        </is>
      </c>
      <c r="M183" s="77" t="inlineStr">
        <is>
          <t>N</t>
        </is>
      </c>
      <c r="N183" s="136">
        <f>IF(ISNUMBER(timeseries!J14),0,"")</f>
        <v/>
      </c>
      <c r="O183" s="77" t="inlineStr">
        <is>
          <t>GBP/MWh nominal</t>
        </is>
      </c>
    </row>
    <row r="184" ht="15" customHeight="1" s="78">
      <c r="A184" s="77" t="inlineStr">
        <is>
          <t>UK</t>
        </is>
      </c>
      <c r="B184" s="77" t="n">
        <v>2017</v>
      </c>
      <c r="C184" s="77" t="inlineStr">
        <is>
          <t>large</t>
        </is>
      </c>
      <c r="D184" s="77" t="inlineStr">
        <is>
          <t>E2</t>
        </is>
      </c>
      <c r="E184" s="77" t="inlineStr">
        <is>
          <t>Wholesale (rolling year-ahead baseload; DA proxy &lt;=2021)</t>
        </is>
      </c>
      <c r="F184" s="77" t="inlineStr">
        <is>
          <t>1 Commodity</t>
        </is>
      </c>
      <c r="G184" s="77" t="inlineStr">
        <is>
          <t>wholesale market</t>
        </is>
      </c>
      <c r="H184" s="77" t="inlineStr">
        <is>
          <t>i</t>
        </is>
      </c>
      <c r="I184" s="77">
        <f>IF(ISNUMBER(N184),N184*fx_deflator!$I$12*fx_deflator!$M$12,"")</f>
        <v/>
      </c>
      <c r="J184" s="77" t="inlineStr">
        <is>
          <t>Ofgem data portal — DA baseload monthly avg (proxy &lt;=2021, D22); Forward Delivery Contracts (D21)</t>
        </is>
      </c>
      <c r="K184" s="77" t="inlineStr">
        <is>
          <t>stage4_uk r7-9</t>
        </is>
      </c>
      <c r="L184" s="77" t="inlineStr">
        <is>
          <t>2026-07-15</t>
        </is>
      </c>
      <c r="M184" s="77" t="inlineStr">
        <is>
          <t>Y</t>
        </is>
      </c>
      <c r="N184" s="136">
        <f>IF(ISNUMBER(timeseries!K6),timeseries!K6,"")</f>
        <v/>
      </c>
      <c r="O184" s="77" t="inlineStr">
        <is>
          <t>GBP/MWh nominal</t>
        </is>
      </c>
      <c r="P184" s="77" t="inlineStr">
        <is>
          <t>identical E1/E2; embedded carbon memo inside this item</t>
        </is>
      </c>
    </row>
    <row r="185" ht="15" customHeight="1" s="78">
      <c r="A185" s="77" t="inlineStr">
        <is>
          <t>UK</t>
        </is>
      </c>
      <c r="B185" s="77" t="n">
        <v>2017</v>
      </c>
      <c r="C185" s="77" t="inlineStr">
        <is>
          <t>large</t>
        </is>
      </c>
      <c r="D185" s="77" t="inlineStr">
        <is>
          <t>E2</t>
        </is>
      </c>
      <c r="E185" s="77" t="inlineStr">
        <is>
          <t>TNUoS demand (zone 5; TCR banded residual from 2023)</t>
        </is>
      </c>
      <c r="F185" s="77" t="inlineStr">
        <is>
          <t>3 Network</t>
        </is>
      </c>
      <c r="G185" s="77" t="inlineStr">
        <is>
          <t>transmission network charge</t>
        </is>
      </c>
      <c r="H185" s="77" t="inlineStr">
        <is>
          <t>i (post-NCC relief; relief funded via ESL = ii instrument)</t>
        </is>
      </c>
      <c r="I185" s="77">
        <f>IF(ISNUMBER(N185),N185*fx_deflator!$I$12*fx_deflator!$M$12,"")</f>
        <v/>
      </c>
      <c r="J185" s="77" t="inlineStr">
        <is>
          <t>NESO TNUoS tariff documents (compendium doc 50736; Final TNUoS 2023/24-2026/27 Table 10)</t>
        </is>
      </c>
      <c r="K185" s="77" t="inlineStr">
        <is>
          <t>stage4_uk r25-27</t>
        </is>
      </c>
      <c r="L185" s="77" t="inlineStr">
        <is>
          <t>2026-07-15</t>
        </is>
      </c>
      <c r="M185" s="77" t="inlineStr">
        <is>
          <t>Y</t>
        </is>
      </c>
      <c r="N185" s="77">
        <f>IF(ISNUMBER(timeseries!K7),timeseries!K7*(1-IF(ISNUMBER(stage4_uk!K48),stage4_uk!K48,0)),"")</f>
        <v/>
      </c>
      <c r="O185" s="77" t="inlineStr">
        <is>
          <t>GBP/MWh nominal</t>
        </is>
      </c>
    </row>
    <row r="186" ht="15" customHeight="1" s="78">
      <c r="A186" s="77" t="inlineStr">
        <is>
          <t>UK</t>
        </is>
      </c>
      <c r="B186" s="77" t="n">
        <v>2017</v>
      </c>
      <c r="C186" s="77" t="inlineStr">
        <is>
          <t>large</t>
        </is>
      </c>
      <c r="D186" s="77" t="inlineStr">
        <is>
          <t>E2</t>
        </is>
      </c>
      <c r="E186" s="77" t="inlineStr">
        <is>
          <t>BSUoS (demand-only from 04/2023)</t>
        </is>
      </c>
      <c r="F186" s="77" t="inlineStr">
        <is>
          <t>4 System services &amp; balancing</t>
        </is>
      </c>
      <c r="G186" s="77" t="inlineStr">
        <is>
          <t>balancing charge</t>
        </is>
      </c>
      <c r="H186" s="77" t="inlineStr">
        <is>
          <t>i (post-NCC relief)</t>
        </is>
      </c>
      <c r="I186" s="77">
        <f>IF(ISNUMBER(N186),N186*fx_deflator!$I$12*fx_deflator!$M$12,"")</f>
        <v/>
      </c>
      <c r="J186" s="77" t="inlineStr">
        <is>
          <t>NESO bsuos-fixed-tariffs + HH RF settlement files (own annual avg 2010-22)</t>
        </is>
      </c>
      <c r="K186" s="77" t="inlineStr">
        <is>
          <t>stage4_uk r28-30</t>
        </is>
      </c>
      <c r="L186" s="77" t="inlineStr">
        <is>
          <t>2026-07-15</t>
        </is>
      </c>
      <c r="M186" s="77" t="inlineStr">
        <is>
          <t>Y</t>
        </is>
      </c>
      <c r="N186" s="77">
        <f>IF(ISNUMBER(timeseries!K8),timeseries!K8*(1-IF(ISNUMBER(stage4_uk!K48),stage4_uk!K48,0)),"")</f>
        <v/>
      </c>
      <c r="O186" s="77" t="inlineStr">
        <is>
          <t>GBP/MWh nominal</t>
        </is>
      </c>
    </row>
    <row r="187" ht="15" customHeight="1" s="78">
      <c r="A187" s="77" t="inlineStr">
        <is>
          <t>UK</t>
        </is>
      </c>
      <c r="B187" s="77" t="n">
        <v>2017</v>
      </c>
      <c r="C187" s="77" t="inlineStr">
        <is>
          <t>large</t>
        </is>
      </c>
      <c r="D187" s="77" t="inlineStr">
        <is>
          <t>E2</t>
        </is>
      </c>
      <c r="E187" s="77" t="inlineStr">
        <is>
          <t>AAHEDC</t>
        </is>
      </c>
      <c r="F187" s="77" t="inlineStr">
        <is>
          <t>3 Network</t>
        </is>
      </c>
      <c r="G187" s="77" t="inlineStr">
        <is>
          <t>network levy (hydro benefit)</t>
        </is>
      </c>
      <c r="H187" s="77" t="inlineStr">
        <is>
          <t>ii (pays cross-subsidy to N Scotland consumers)</t>
        </is>
      </c>
      <c r="I187" s="77">
        <f>IF(ISNUMBER(N187),N187*fx_deflator!$I$12*fx_deflator!$M$12,"")</f>
        <v/>
      </c>
      <c r="J187" s="77" t="inlineStr">
        <is>
          <t>NG/ESO AAHEDC charging statements &amp; final tariff letters</t>
        </is>
      </c>
      <c r="K187" s="77" t="inlineStr">
        <is>
          <t>stage4_uk r31</t>
        </is>
      </c>
      <c r="L187" s="77" t="inlineStr">
        <is>
          <t>2026-07-15</t>
        </is>
      </c>
      <c r="M187" s="77" t="inlineStr">
        <is>
          <t>N</t>
        </is>
      </c>
      <c r="N187" s="77">
        <f>IF(ISNUMBER(timeseries!K9),timeseries!K9,"")</f>
        <v/>
      </c>
      <c r="O187" s="77" t="inlineStr">
        <is>
          <t>GBP/MWh nominal</t>
        </is>
      </c>
      <c r="P187" s="77" t="inlineStr">
        <is>
          <t>not in NCC base (conservative, unverified)</t>
        </is>
      </c>
    </row>
    <row r="188" ht="15" customHeight="1" s="78">
      <c r="A188" s="77" t="inlineStr">
        <is>
          <t>UK</t>
        </is>
      </c>
      <c r="B188" s="77" t="n">
        <v>2017</v>
      </c>
      <c r="C188" s="77" t="inlineStr">
        <is>
          <t>large</t>
        </is>
      </c>
      <c r="D188" s="77" t="inlineStr">
        <is>
          <t>E2</t>
        </is>
      </c>
      <c r="E188" s="77" t="inlineStr">
        <is>
          <t>RO (buy-out x obligation)</t>
        </is>
      </c>
      <c r="F188" s="77" t="inlineStr">
        <is>
          <t>2 Gen capital recovery</t>
        </is>
      </c>
      <c r="G188" s="77" t="inlineStr">
        <is>
          <t>renewables levy</t>
        </is>
      </c>
      <c r="H188" s="77" t="inlineStr">
        <is>
          <t>i</t>
        </is>
      </c>
      <c r="I188" s="77">
        <f>IF(ISNUMBER(N188),N188*fx_deflator!$I$12*fx_deflator!$M$12,"")</f>
        <v/>
      </c>
      <c r="J188" s="77" t="inlineStr">
        <is>
          <t>Ofgem RO guidance OFG1164 Table 1.1 (buy-out x obligation)</t>
        </is>
      </c>
      <c r="K188" s="77" t="inlineStr">
        <is>
          <t>stage4_uk r12-14</t>
        </is>
      </c>
      <c r="L188" s="77" t="inlineStr">
        <is>
          <t>2026-07-15</t>
        </is>
      </c>
      <c r="M188" s="77" t="inlineStr">
        <is>
          <t>Y</t>
        </is>
      </c>
      <c r="N188" s="77">
        <f>IF(ISNUMBER(timeseries!K10),timeseries!K10*(1-IF(ISNUMBER(stage4_uk!K45),stage4_uk!K45,0)),"")</f>
        <v/>
      </c>
      <c r="O188" s="77" t="inlineStr">
        <is>
          <t>GBP/MWh nominal</t>
        </is>
      </c>
    </row>
    <row r="189" ht="15" customHeight="1" s="78">
      <c r="A189" s="77" t="inlineStr">
        <is>
          <t>UK</t>
        </is>
      </c>
      <c r="B189" s="77" t="n">
        <v>2017</v>
      </c>
      <c r="C189" s="77" t="inlineStr">
        <is>
          <t>large</t>
        </is>
      </c>
      <c r="D189" s="77" t="inlineStr">
        <is>
          <t>E2</t>
        </is>
      </c>
      <c r="E189" s="77" t="inlineStr">
        <is>
          <t>CfD Interim Levy Rate (annual avg)</t>
        </is>
      </c>
      <c r="F189" s="77" t="inlineStr">
        <is>
          <t>2 Gen capital recovery</t>
        </is>
      </c>
      <c r="G189" s="77" t="inlineStr">
        <is>
          <t>renewables levy</t>
        </is>
      </c>
      <c r="H189" s="77" t="inlineStr">
        <is>
          <t>i</t>
        </is>
      </c>
      <c r="I189" s="77">
        <f>IF(ISNUMBER(N189),N189*fx_deflator!$I$12*fx_deflator!$M$12,"")</f>
        <v/>
      </c>
      <c r="J189" s="77" t="inlineStr">
        <is>
          <t>LCCC Actual ILR Income dataset (quarterly avg)</t>
        </is>
      </c>
      <c r="K189" s="77" t="inlineStr">
        <is>
          <t>stage4_uk r15-19</t>
        </is>
      </c>
      <c r="L189" s="77" t="inlineStr">
        <is>
          <t>2026-07-15</t>
        </is>
      </c>
      <c r="M189" s="77" t="inlineStr">
        <is>
          <t>Y</t>
        </is>
      </c>
      <c r="N189" s="77">
        <f>IF(ISNUMBER(timeseries!K11),timeseries!K11*(1-IF(ISNUMBER(stage4_uk!K44),stage4_uk!K44,0)),"")</f>
        <v/>
      </c>
      <c r="O189" s="77" t="inlineStr">
        <is>
          <t>GBP/MWh nominal</t>
        </is>
      </c>
    </row>
    <row r="190" ht="15" customHeight="1" s="78">
      <c r="A190" s="77" t="inlineStr">
        <is>
          <t>UK</t>
        </is>
      </c>
      <c r="B190" s="77" t="n">
        <v>2017</v>
      </c>
      <c r="C190" s="77" t="inlineStr">
        <is>
          <t>large</t>
        </is>
      </c>
      <c r="D190" s="77" t="inlineStr">
        <is>
          <t>E2</t>
        </is>
      </c>
      <c r="E190" s="77" t="inlineStr">
        <is>
          <t>FiT levelisation</t>
        </is>
      </c>
      <c r="F190" s="77" t="inlineStr">
        <is>
          <t>2 Gen capital recovery</t>
        </is>
      </c>
      <c r="G190" s="77" t="inlineStr">
        <is>
          <t>renewables levy</t>
        </is>
      </c>
      <c r="H190" s="77" t="inlineStr">
        <is>
          <t>i</t>
        </is>
      </c>
      <c r="I190" s="77">
        <f>IF(ISNUMBER(N190),N190*fx_deflator!$I$12*fx_deflator!$M$12,"")</f>
        <v/>
      </c>
      <c r="J190" s="77" t="inlineStr">
        <is>
          <t>Ofgem FIT Annual Reports SY1-SY15; D27 for 2010-14</t>
        </is>
      </c>
      <c r="K190" s="77" t="inlineStr">
        <is>
          <t>stage4_uk r20</t>
        </is>
      </c>
      <c r="L190" s="77" t="inlineStr">
        <is>
          <t>2026-07-15</t>
        </is>
      </c>
      <c r="M190" s="77" t="inlineStr">
        <is>
          <t>Y</t>
        </is>
      </c>
      <c r="N190" s="77">
        <f>IF(ISNUMBER(timeseries!K12),timeseries!K12*(1-IF(ISNUMBER(stage4_uk!K46),stage4_uk!K46,0)),"")</f>
        <v/>
      </c>
      <c r="O190" s="77" t="inlineStr">
        <is>
          <t>GBP/MWh nominal</t>
        </is>
      </c>
      <c r="P190" s="77" t="inlineStr">
        <is>
          <t>2025 unpublished (Q32) — row absent, gap stated</t>
        </is>
      </c>
    </row>
    <row r="191" ht="15" customHeight="1" s="78">
      <c r="A191" s="77" t="inlineStr">
        <is>
          <t>UK</t>
        </is>
      </c>
      <c r="B191" s="77" t="n">
        <v>2017</v>
      </c>
      <c r="C191" s="77" t="inlineStr">
        <is>
          <t>large</t>
        </is>
      </c>
      <c r="D191" s="77" t="inlineStr">
        <is>
          <t>E2</t>
        </is>
      </c>
      <c r="E191" s="77" t="inlineStr">
        <is>
          <t>Capacity Market (derived per-MWh)</t>
        </is>
      </c>
      <c r="F191" s="77" t="inlineStr">
        <is>
          <t>2 Gen capital recovery</t>
        </is>
      </c>
      <c r="G191" s="77" t="inlineStr">
        <is>
          <t>capacity market levy</t>
        </is>
      </c>
      <c r="H191" s="77" t="inlineStr">
        <is>
          <t>i</t>
        </is>
      </c>
      <c r="I191" s="77">
        <f>IF(ISNUMBER(N191),N191*fx_deflator!$I$12*fx_deflator!$M$12,"")</f>
        <v/>
      </c>
      <c r="J191" s="77" t="inlineStr">
        <is>
          <t>EMRS Key Figures for Payments (derived per-MWh, D30)</t>
        </is>
      </c>
      <c r="K191" s="77" t="inlineStr">
        <is>
          <t>stage4_uk r21</t>
        </is>
      </c>
      <c r="L191" s="77" t="inlineStr">
        <is>
          <t>2026-07-15</t>
        </is>
      </c>
      <c r="M191" s="77" t="inlineStr">
        <is>
          <t>Y</t>
        </is>
      </c>
      <c r="N191" s="77">
        <f>IF(ISNUMBER(timeseries!K13),timeseries!K13*(1-IF(ISNUMBER(stage4_uk!K47),stage4_uk!K47,0)),"")</f>
        <v/>
      </c>
      <c r="O191" s="77" t="inlineStr">
        <is>
          <t>GBP/MWh nominal</t>
        </is>
      </c>
      <c r="P191" s="77" t="inlineStr">
        <is>
          <t>function 2 per D9</t>
        </is>
      </c>
    </row>
    <row r="192" ht="15" customHeight="1" s="78">
      <c r="A192" s="77" t="inlineStr">
        <is>
          <t>UK</t>
        </is>
      </c>
      <c r="B192" s="77" t="n">
        <v>2017</v>
      </c>
      <c r="C192" s="77" t="inlineStr">
        <is>
          <t>large</t>
        </is>
      </c>
      <c r="D192" s="77" t="inlineStr">
        <is>
          <t>E2</t>
        </is>
      </c>
      <c r="E192" s="77" t="inlineStr">
        <is>
          <t>CCL — EXEMPT for the relieved case (mineralogical/metallurgical, HMRC CCL1/3 s3.14; D71)</t>
        </is>
      </c>
      <c r="F192" s="77" t="inlineStr">
        <is>
          <t>5 General taxation &amp; levies</t>
        </is>
      </c>
      <c r="G192" s="77" t="inlineStr">
        <is>
          <t>climate levy (tax)</t>
        </is>
      </c>
      <c r="H192" s="77" t="inlineStr">
        <is>
          <t>i</t>
        </is>
      </c>
      <c r="I192" s="77">
        <f>IF(ISNUMBER(N192),N192*fx_deflator!$I$12*fx_deflator!$M$12,"")</f>
        <v/>
      </c>
      <c r="J192" s="77" t="inlineStr">
        <is>
          <t>HMRC Excise Notice CCL1/3 s3.14 + Annex A (exemption from 01.04.2014). S209</t>
        </is>
      </c>
      <c r="K192" s="77" t="inlineStr">
        <is>
          <t>stage4_uk r22</t>
        </is>
      </c>
      <c r="L192" s="77" t="inlineStr">
        <is>
          <t>2026-07-15</t>
        </is>
      </c>
      <c r="M192" s="77" t="inlineStr">
        <is>
          <t>N</t>
        </is>
      </c>
      <c r="N192" s="136">
        <f>IF(ISNUMBER(timeseries!K14),0,"")</f>
        <v/>
      </c>
      <c r="O192" s="77" t="inlineStr">
        <is>
          <t>GBP/MWh nominal</t>
        </is>
      </c>
    </row>
    <row r="193" ht="15" customHeight="1" s="78">
      <c r="A193" s="77" t="inlineStr">
        <is>
          <t>UK</t>
        </is>
      </c>
      <c r="B193" s="77" t="n">
        <v>2018</v>
      </c>
      <c r="C193" s="77" t="inlineStr">
        <is>
          <t>large</t>
        </is>
      </c>
      <c r="D193" s="77" t="inlineStr">
        <is>
          <t>E2</t>
        </is>
      </c>
      <c r="E193" s="77" t="inlineStr">
        <is>
          <t>Wholesale (rolling year-ahead baseload; DA proxy &lt;=2021)</t>
        </is>
      </c>
      <c r="F193" s="77" t="inlineStr">
        <is>
          <t>1 Commodity</t>
        </is>
      </c>
      <c r="G193" s="77" t="inlineStr">
        <is>
          <t>wholesale market</t>
        </is>
      </c>
      <c r="H193" s="77" t="inlineStr">
        <is>
          <t>i</t>
        </is>
      </c>
      <c r="I193" s="77">
        <f>IF(ISNUMBER(N193),N193*fx_deflator!$I$13*fx_deflator!$M$13,"")</f>
        <v/>
      </c>
      <c r="J193" s="77" t="inlineStr">
        <is>
          <t>Ofgem data portal — DA baseload monthly avg (proxy &lt;=2021, D22); Forward Delivery Contracts (D21)</t>
        </is>
      </c>
      <c r="K193" s="77" t="inlineStr">
        <is>
          <t>stage4_uk r7-9</t>
        </is>
      </c>
      <c r="L193" s="77" t="inlineStr">
        <is>
          <t>2026-07-15</t>
        </is>
      </c>
      <c r="M193" s="77" t="inlineStr">
        <is>
          <t>Y</t>
        </is>
      </c>
      <c r="N193" s="136">
        <f>IF(ISNUMBER(timeseries!L6),timeseries!L6,"")</f>
        <v/>
      </c>
      <c r="O193" s="77" t="inlineStr">
        <is>
          <t>GBP/MWh nominal</t>
        </is>
      </c>
      <c r="P193" s="77" t="inlineStr">
        <is>
          <t>identical E1/E2; embedded carbon memo inside this item</t>
        </is>
      </c>
    </row>
    <row r="194" ht="15" customHeight="1" s="78">
      <c r="A194" s="77" t="inlineStr">
        <is>
          <t>UK</t>
        </is>
      </c>
      <c r="B194" s="77" t="n">
        <v>2018</v>
      </c>
      <c r="C194" s="77" t="inlineStr">
        <is>
          <t>large</t>
        </is>
      </c>
      <c r="D194" s="77" t="inlineStr">
        <is>
          <t>E2</t>
        </is>
      </c>
      <c r="E194" s="77" t="inlineStr">
        <is>
          <t>TNUoS demand (zone 5; TCR banded residual from 2023)</t>
        </is>
      </c>
      <c r="F194" s="77" t="inlineStr">
        <is>
          <t>3 Network</t>
        </is>
      </c>
      <c r="G194" s="77" t="inlineStr">
        <is>
          <t>transmission network charge</t>
        </is>
      </c>
      <c r="H194" s="77" t="inlineStr">
        <is>
          <t>i (post-NCC relief; relief funded via ESL = ii instrument)</t>
        </is>
      </c>
      <c r="I194" s="77">
        <f>IF(ISNUMBER(N194),N194*fx_deflator!$I$13*fx_deflator!$M$13,"")</f>
        <v/>
      </c>
      <c r="J194" s="77" t="inlineStr">
        <is>
          <t>NESO TNUoS tariff documents (compendium doc 50736; Final TNUoS 2023/24-2026/27 Table 10)</t>
        </is>
      </c>
      <c r="K194" s="77" t="inlineStr">
        <is>
          <t>stage4_uk r25-27</t>
        </is>
      </c>
      <c r="L194" s="77" t="inlineStr">
        <is>
          <t>2026-07-15</t>
        </is>
      </c>
      <c r="M194" s="77" t="inlineStr">
        <is>
          <t>Y</t>
        </is>
      </c>
      <c r="N194" s="77">
        <f>IF(ISNUMBER(timeseries!L7),timeseries!L7*(1-IF(ISNUMBER(stage4_uk!L48),stage4_uk!L48,0)),"")</f>
        <v/>
      </c>
      <c r="O194" s="77" t="inlineStr">
        <is>
          <t>GBP/MWh nominal</t>
        </is>
      </c>
    </row>
    <row r="195" ht="15" customHeight="1" s="78">
      <c r="A195" s="77" t="inlineStr">
        <is>
          <t>UK</t>
        </is>
      </c>
      <c r="B195" s="77" t="n">
        <v>2018</v>
      </c>
      <c r="C195" s="77" t="inlineStr">
        <is>
          <t>large</t>
        </is>
      </c>
      <c r="D195" s="77" t="inlineStr">
        <is>
          <t>E2</t>
        </is>
      </c>
      <c r="E195" s="77" t="inlineStr">
        <is>
          <t>BSUoS (demand-only from 04/2023)</t>
        </is>
      </c>
      <c r="F195" s="77" t="inlineStr">
        <is>
          <t>4 System services &amp; balancing</t>
        </is>
      </c>
      <c r="G195" s="77" t="inlineStr">
        <is>
          <t>balancing charge</t>
        </is>
      </c>
      <c r="H195" s="77" t="inlineStr">
        <is>
          <t>i (post-NCC relief)</t>
        </is>
      </c>
      <c r="I195" s="77">
        <f>IF(ISNUMBER(N195),N195*fx_deflator!$I$13*fx_deflator!$M$13,"")</f>
        <v/>
      </c>
      <c r="J195" s="77" t="inlineStr">
        <is>
          <t>NESO bsuos-fixed-tariffs + HH RF settlement files (own annual avg 2010-22)</t>
        </is>
      </c>
      <c r="K195" s="77" t="inlineStr">
        <is>
          <t>stage4_uk r28-30</t>
        </is>
      </c>
      <c r="L195" s="77" t="inlineStr">
        <is>
          <t>2026-07-15</t>
        </is>
      </c>
      <c r="M195" s="77" t="inlineStr">
        <is>
          <t>Y</t>
        </is>
      </c>
      <c r="N195" s="77">
        <f>IF(ISNUMBER(timeseries!L8),timeseries!L8*(1-IF(ISNUMBER(stage4_uk!L48),stage4_uk!L48,0)),"")</f>
        <v/>
      </c>
      <c r="O195" s="77" t="inlineStr">
        <is>
          <t>GBP/MWh nominal</t>
        </is>
      </c>
    </row>
    <row r="196" ht="15" customHeight="1" s="78">
      <c r="A196" s="77" t="inlineStr">
        <is>
          <t>UK</t>
        </is>
      </c>
      <c r="B196" s="77" t="n">
        <v>2018</v>
      </c>
      <c r="C196" s="77" t="inlineStr">
        <is>
          <t>large</t>
        </is>
      </c>
      <c r="D196" s="77" t="inlineStr">
        <is>
          <t>E2</t>
        </is>
      </c>
      <c r="E196" s="77" t="inlineStr">
        <is>
          <t>AAHEDC</t>
        </is>
      </c>
      <c r="F196" s="77" t="inlineStr">
        <is>
          <t>3 Network</t>
        </is>
      </c>
      <c r="G196" s="77" t="inlineStr">
        <is>
          <t>network levy (hydro benefit)</t>
        </is>
      </c>
      <c r="H196" s="77" t="inlineStr">
        <is>
          <t>ii (pays cross-subsidy to N Scotland consumers)</t>
        </is>
      </c>
      <c r="I196" s="77">
        <f>IF(ISNUMBER(N196),N196*fx_deflator!$I$13*fx_deflator!$M$13,"")</f>
        <v/>
      </c>
      <c r="J196" s="77" t="inlineStr">
        <is>
          <t>NG/ESO AAHEDC charging statements &amp; final tariff letters</t>
        </is>
      </c>
      <c r="K196" s="77" t="inlineStr">
        <is>
          <t>stage4_uk r31</t>
        </is>
      </c>
      <c r="L196" s="77" t="inlineStr">
        <is>
          <t>2026-07-15</t>
        </is>
      </c>
      <c r="M196" s="77" t="inlineStr">
        <is>
          <t>N</t>
        </is>
      </c>
      <c r="N196" s="77">
        <f>IF(ISNUMBER(timeseries!L9),timeseries!L9,"")</f>
        <v/>
      </c>
      <c r="O196" s="77" t="inlineStr">
        <is>
          <t>GBP/MWh nominal</t>
        </is>
      </c>
      <c r="P196" s="77" t="inlineStr">
        <is>
          <t>not in NCC base (conservative, unverified)</t>
        </is>
      </c>
    </row>
    <row r="197" ht="15" customHeight="1" s="78">
      <c r="A197" s="77" t="inlineStr">
        <is>
          <t>UK</t>
        </is>
      </c>
      <c r="B197" s="77" t="n">
        <v>2018</v>
      </c>
      <c r="C197" s="77" t="inlineStr">
        <is>
          <t>large</t>
        </is>
      </c>
      <c r="D197" s="77" t="inlineStr">
        <is>
          <t>E2</t>
        </is>
      </c>
      <c r="E197" s="77" t="inlineStr">
        <is>
          <t>RO (buy-out x obligation)</t>
        </is>
      </c>
      <c r="F197" s="77" t="inlineStr">
        <is>
          <t>2 Gen capital recovery</t>
        </is>
      </c>
      <c r="G197" s="77" t="inlineStr">
        <is>
          <t>renewables levy</t>
        </is>
      </c>
      <c r="H197" s="77" t="inlineStr">
        <is>
          <t>i</t>
        </is>
      </c>
      <c r="I197" s="77">
        <f>IF(ISNUMBER(N197),N197*fx_deflator!$I$13*fx_deflator!$M$13,"")</f>
        <v/>
      </c>
      <c r="J197" s="77" t="inlineStr">
        <is>
          <t>Ofgem RO guidance OFG1164 Table 1.1 (buy-out x obligation)</t>
        </is>
      </c>
      <c r="K197" s="77" t="inlineStr">
        <is>
          <t>stage4_uk r12-14</t>
        </is>
      </c>
      <c r="L197" s="77" t="inlineStr">
        <is>
          <t>2026-07-15</t>
        </is>
      </c>
      <c r="M197" s="77" t="inlineStr">
        <is>
          <t>Y</t>
        </is>
      </c>
      <c r="N197" s="77">
        <f>IF(ISNUMBER(timeseries!L10),timeseries!L10*(1-IF(ISNUMBER(stage4_uk!L45),stage4_uk!L45,0)),"")</f>
        <v/>
      </c>
      <c r="O197" s="77" t="inlineStr">
        <is>
          <t>GBP/MWh nominal</t>
        </is>
      </c>
    </row>
    <row r="198" ht="15" customHeight="1" s="78">
      <c r="A198" s="77" t="inlineStr">
        <is>
          <t>UK</t>
        </is>
      </c>
      <c r="B198" s="77" t="n">
        <v>2018</v>
      </c>
      <c r="C198" s="77" t="inlineStr">
        <is>
          <t>large</t>
        </is>
      </c>
      <c r="D198" s="77" t="inlineStr">
        <is>
          <t>E2</t>
        </is>
      </c>
      <c r="E198" s="77" t="inlineStr">
        <is>
          <t>CfD Interim Levy Rate (annual avg)</t>
        </is>
      </c>
      <c r="F198" s="77" t="inlineStr">
        <is>
          <t>2 Gen capital recovery</t>
        </is>
      </c>
      <c r="G198" s="77" t="inlineStr">
        <is>
          <t>renewables levy</t>
        </is>
      </c>
      <c r="H198" s="77" t="inlineStr">
        <is>
          <t>i</t>
        </is>
      </c>
      <c r="I198" s="77">
        <f>IF(ISNUMBER(N198),N198*fx_deflator!$I$13*fx_deflator!$M$13,"")</f>
        <v/>
      </c>
      <c r="J198" s="77" t="inlineStr">
        <is>
          <t>LCCC Actual ILR Income dataset (quarterly avg)</t>
        </is>
      </c>
      <c r="K198" s="77" t="inlineStr">
        <is>
          <t>stage4_uk r15-19</t>
        </is>
      </c>
      <c r="L198" s="77" t="inlineStr">
        <is>
          <t>2026-07-15</t>
        </is>
      </c>
      <c r="M198" s="77" t="inlineStr">
        <is>
          <t>Y</t>
        </is>
      </c>
      <c r="N198" s="77">
        <f>IF(ISNUMBER(timeseries!L11),timeseries!L11*(1-IF(ISNUMBER(stage4_uk!L44),stage4_uk!L44,0)),"")</f>
        <v/>
      </c>
      <c r="O198" s="77" t="inlineStr">
        <is>
          <t>GBP/MWh nominal</t>
        </is>
      </c>
    </row>
    <row r="199" ht="15" customHeight="1" s="78">
      <c r="A199" s="77" t="inlineStr">
        <is>
          <t>UK</t>
        </is>
      </c>
      <c r="B199" s="77" t="n">
        <v>2018</v>
      </c>
      <c r="C199" s="77" t="inlineStr">
        <is>
          <t>large</t>
        </is>
      </c>
      <c r="D199" s="77" t="inlineStr">
        <is>
          <t>E2</t>
        </is>
      </c>
      <c r="E199" s="77" t="inlineStr">
        <is>
          <t>FiT levelisation</t>
        </is>
      </c>
      <c r="F199" s="77" t="inlineStr">
        <is>
          <t>2 Gen capital recovery</t>
        </is>
      </c>
      <c r="G199" s="77" t="inlineStr">
        <is>
          <t>renewables levy</t>
        </is>
      </c>
      <c r="H199" s="77" t="inlineStr">
        <is>
          <t>i</t>
        </is>
      </c>
      <c r="I199" s="77">
        <f>IF(ISNUMBER(N199),N199*fx_deflator!$I$13*fx_deflator!$M$13,"")</f>
        <v/>
      </c>
      <c r="J199" s="77" t="inlineStr">
        <is>
          <t>Ofgem FIT Annual Reports SY1-SY15; D27 for 2010-14</t>
        </is>
      </c>
      <c r="K199" s="77" t="inlineStr">
        <is>
          <t>stage4_uk r20</t>
        </is>
      </c>
      <c r="L199" s="77" t="inlineStr">
        <is>
          <t>2026-07-15</t>
        </is>
      </c>
      <c r="M199" s="77" t="inlineStr">
        <is>
          <t>Y</t>
        </is>
      </c>
      <c r="N199" s="77">
        <f>IF(ISNUMBER(timeseries!L12),timeseries!L12*(1-IF(ISNUMBER(stage4_uk!L46),stage4_uk!L46,0)),"")</f>
        <v/>
      </c>
      <c r="O199" s="77" t="inlineStr">
        <is>
          <t>GBP/MWh nominal</t>
        </is>
      </c>
      <c r="P199" s="77" t="inlineStr">
        <is>
          <t>2025 unpublished (Q32) — row absent, gap stated</t>
        </is>
      </c>
    </row>
    <row r="200" ht="15" customHeight="1" s="78">
      <c r="A200" s="77" t="inlineStr">
        <is>
          <t>UK</t>
        </is>
      </c>
      <c r="B200" s="77" t="n">
        <v>2018</v>
      </c>
      <c r="C200" s="77" t="inlineStr">
        <is>
          <t>large</t>
        </is>
      </c>
      <c r="D200" s="77" t="inlineStr">
        <is>
          <t>E2</t>
        </is>
      </c>
      <c r="E200" s="77" t="inlineStr">
        <is>
          <t>Capacity Market (derived per-MWh)</t>
        </is>
      </c>
      <c r="F200" s="77" t="inlineStr">
        <is>
          <t>2 Gen capital recovery</t>
        </is>
      </c>
      <c r="G200" s="77" t="inlineStr">
        <is>
          <t>capacity market levy</t>
        </is>
      </c>
      <c r="H200" s="77" t="inlineStr">
        <is>
          <t>i</t>
        </is>
      </c>
      <c r="I200" s="77">
        <f>IF(ISNUMBER(N200),N200*fx_deflator!$I$13*fx_deflator!$M$13,"")</f>
        <v/>
      </c>
      <c r="J200" s="77" t="inlineStr">
        <is>
          <t>EMRS Key Figures for Payments (derived per-MWh, D30)</t>
        </is>
      </c>
      <c r="K200" s="77" t="inlineStr">
        <is>
          <t>stage4_uk r21</t>
        </is>
      </c>
      <c r="L200" s="77" t="inlineStr">
        <is>
          <t>2026-07-15</t>
        </is>
      </c>
      <c r="M200" s="77" t="inlineStr">
        <is>
          <t>Y</t>
        </is>
      </c>
      <c r="N200" s="77">
        <f>IF(ISNUMBER(timeseries!L13),timeseries!L13*(1-IF(ISNUMBER(stage4_uk!L47),stage4_uk!L47,0)),"")</f>
        <v/>
      </c>
      <c r="O200" s="77" t="inlineStr">
        <is>
          <t>GBP/MWh nominal</t>
        </is>
      </c>
      <c r="P200" s="77" t="inlineStr">
        <is>
          <t>function 2 per D9</t>
        </is>
      </c>
    </row>
    <row r="201" ht="15" customHeight="1" s="78">
      <c r="A201" s="77" t="inlineStr">
        <is>
          <t>UK</t>
        </is>
      </c>
      <c r="B201" s="77" t="n">
        <v>2018</v>
      </c>
      <c r="C201" s="77" t="inlineStr">
        <is>
          <t>large</t>
        </is>
      </c>
      <c r="D201" s="77" t="inlineStr">
        <is>
          <t>E2</t>
        </is>
      </c>
      <c r="E201" s="77" t="inlineStr">
        <is>
          <t>CCL — EXEMPT for the relieved case (mineralogical/metallurgical, HMRC CCL1/3 s3.14; D71)</t>
        </is>
      </c>
      <c r="F201" s="77" t="inlineStr">
        <is>
          <t>5 General taxation &amp; levies</t>
        </is>
      </c>
      <c r="G201" s="77" t="inlineStr">
        <is>
          <t>climate levy (tax)</t>
        </is>
      </c>
      <c r="H201" s="77" t="inlineStr">
        <is>
          <t>i</t>
        </is>
      </c>
      <c r="I201" s="77">
        <f>IF(ISNUMBER(N201),N201*fx_deflator!$I$13*fx_deflator!$M$13,"")</f>
        <v/>
      </c>
      <c r="J201" s="77" t="inlineStr">
        <is>
          <t>HMRC Excise Notice CCL1/3 s3.14 + Annex A (exemption from 01.04.2014). S209</t>
        </is>
      </c>
      <c r="K201" s="77" t="inlineStr">
        <is>
          <t>stage4_uk r22</t>
        </is>
      </c>
      <c r="L201" s="77" t="inlineStr">
        <is>
          <t>2026-07-15</t>
        </is>
      </c>
      <c r="M201" s="77" t="inlineStr">
        <is>
          <t>N</t>
        </is>
      </c>
      <c r="N201" s="136">
        <f>IF(ISNUMBER(timeseries!L14),0,"")</f>
        <v/>
      </c>
      <c r="O201" s="77" t="inlineStr">
        <is>
          <t>GBP/MWh nominal</t>
        </is>
      </c>
    </row>
    <row r="202" ht="15" customHeight="1" s="78">
      <c r="A202" s="77" t="inlineStr">
        <is>
          <t>UK</t>
        </is>
      </c>
      <c r="B202" s="77" t="n">
        <v>2019</v>
      </c>
      <c r="C202" s="77" t="inlineStr">
        <is>
          <t>large</t>
        </is>
      </c>
      <c r="D202" s="77" t="inlineStr">
        <is>
          <t>E2</t>
        </is>
      </c>
      <c r="E202" s="77" t="inlineStr">
        <is>
          <t>Wholesale (rolling year-ahead baseload; DA proxy &lt;=2021)</t>
        </is>
      </c>
      <c r="F202" s="77" t="inlineStr">
        <is>
          <t>1 Commodity</t>
        </is>
      </c>
      <c r="G202" s="77" t="inlineStr">
        <is>
          <t>wholesale market</t>
        </is>
      </c>
      <c r="H202" s="77" t="inlineStr">
        <is>
          <t>i</t>
        </is>
      </c>
      <c r="I202" s="77">
        <f>IF(ISNUMBER(N202),N202*fx_deflator!$I$14*fx_deflator!$M$14,"")</f>
        <v/>
      </c>
      <c r="J202" s="77" t="inlineStr">
        <is>
          <t>Ofgem data portal — DA baseload monthly avg (proxy &lt;=2021, D22); Forward Delivery Contracts (D21)</t>
        </is>
      </c>
      <c r="K202" s="77" t="inlineStr">
        <is>
          <t>stage4_uk r7-9</t>
        </is>
      </c>
      <c r="L202" s="77" t="inlineStr">
        <is>
          <t>2026-07-15</t>
        </is>
      </c>
      <c r="M202" s="77" t="inlineStr">
        <is>
          <t>Y</t>
        </is>
      </c>
      <c r="N202" s="136">
        <f>IF(ISNUMBER(timeseries!M6),timeseries!M6,"")</f>
        <v/>
      </c>
      <c r="O202" s="77" t="inlineStr">
        <is>
          <t>GBP/MWh nominal</t>
        </is>
      </c>
      <c r="P202" s="77" t="inlineStr">
        <is>
          <t>identical E1/E2; embedded carbon memo inside this item</t>
        </is>
      </c>
    </row>
    <row r="203" ht="15" customHeight="1" s="78">
      <c r="A203" s="77" t="inlineStr">
        <is>
          <t>UK</t>
        </is>
      </c>
      <c r="B203" s="77" t="n">
        <v>2019</v>
      </c>
      <c r="C203" s="77" t="inlineStr">
        <is>
          <t>large</t>
        </is>
      </c>
      <c r="D203" s="77" t="inlineStr">
        <is>
          <t>E2</t>
        </is>
      </c>
      <c r="E203" s="77" t="inlineStr">
        <is>
          <t>TNUoS demand (zone 5; TCR banded residual from 2023)</t>
        </is>
      </c>
      <c r="F203" s="77" t="inlineStr">
        <is>
          <t>3 Network</t>
        </is>
      </c>
      <c r="G203" s="77" t="inlineStr">
        <is>
          <t>transmission network charge</t>
        </is>
      </c>
      <c r="H203" s="77" t="inlineStr">
        <is>
          <t>i (post-NCC relief; relief funded via ESL = ii instrument)</t>
        </is>
      </c>
      <c r="I203" s="77">
        <f>IF(ISNUMBER(N203),N203*fx_deflator!$I$14*fx_deflator!$M$14,"")</f>
        <v/>
      </c>
      <c r="J203" s="77" t="inlineStr">
        <is>
          <t>NESO TNUoS tariff documents (compendium doc 50736; Final TNUoS 2023/24-2026/27 Table 10)</t>
        </is>
      </c>
      <c r="K203" s="77" t="inlineStr">
        <is>
          <t>stage4_uk r25-27</t>
        </is>
      </c>
      <c r="L203" s="77" t="inlineStr">
        <is>
          <t>2026-07-15</t>
        </is>
      </c>
      <c r="M203" s="77" t="inlineStr">
        <is>
          <t>Y</t>
        </is>
      </c>
      <c r="N203" s="77">
        <f>IF(ISNUMBER(timeseries!M7),timeseries!M7*(1-IF(ISNUMBER(stage4_uk!M48),stage4_uk!M48,0)),"")</f>
        <v/>
      </c>
      <c r="O203" s="77" t="inlineStr">
        <is>
          <t>GBP/MWh nominal</t>
        </is>
      </c>
    </row>
    <row r="204" ht="15" customHeight="1" s="78">
      <c r="A204" s="77" t="inlineStr">
        <is>
          <t>UK</t>
        </is>
      </c>
      <c r="B204" s="77" t="n">
        <v>2019</v>
      </c>
      <c r="C204" s="77" t="inlineStr">
        <is>
          <t>large</t>
        </is>
      </c>
      <c r="D204" s="77" t="inlineStr">
        <is>
          <t>E2</t>
        </is>
      </c>
      <c r="E204" s="77" t="inlineStr">
        <is>
          <t>BSUoS (demand-only from 04/2023)</t>
        </is>
      </c>
      <c r="F204" s="77" t="inlineStr">
        <is>
          <t>4 System services &amp; balancing</t>
        </is>
      </c>
      <c r="G204" s="77" t="inlineStr">
        <is>
          <t>balancing charge</t>
        </is>
      </c>
      <c r="H204" s="77" t="inlineStr">
        <is>
          <t>i (post-NCC relief)</t>
        </is>
      </c>
      <c r="I204" s="77">
        <f>IF(ISNUMBER(N204),N204*fx_deflator!$I$14*fx_deflator!$M$14,"")</f>
        <v/>
      </c>
      <c r="J204" s="77" t="inlineStr">
        <is>
          <t>NESO bsuos-fixed-tariffs + HH RF settlement files (own annual avg 2010-22)</t>
        </is>
      </c>
      <c r="K204" s="77" t="inlineStr">
        <is>
          <t>stage4_uk r28-30</t>
        </is>
      </c>
      <c r="L204" s="77" t="inlineStr">
        <is>
          <t>2026-07-15</t>
        </is>
      </c>
      <c r="M204" s="77" t="inlineStr">
        <is>
          <t>Y</t>
        </is>
      </c>
      <c r="N204" s="77">
        <f>IF(ISNUMBER(timeseries!M8),timeseries!M8*(1-IF(ISNUMBER(stage4_uk!M48),stage4_uk!M48,0)),"")</f>
        <v/>
      </c>
      <c r="O204" s="77" t="inlineStr">
        <is>
          <t>GBP/MWh nominal</t>
        </is>
      </c>
    </row>
    <row r="205" ht="15" customHeight="1" s="78">
      <c r="A205" s="77" t="inlineStr">
        <is>
          <t>UK</t>
        </is>
      </c>
      <c r="B205" s="77" t="n">
        <v>2019</v>
      </c>
      <c r="C205" s="77" t="inlineStr">
        <is>
          <t>large</t>
        </is>
      </c>
      <c r="D205" s="77" t="inlineStr">
        <is>
          <t>E2</t>
        </is>
      </c>
      <c r="E205" s="77" t="inlineStr">
        <is>
          <t>AAHEDC</t>
        </is>
      </c>
      <c r="F205" s="77" t="inlineStr">
        <is>
          <t>3 Network</t>
        </is>
      </c>
      <c r="G205" s="77" t="inlineStr">
        <is>
          <t>network levy (hydro benefit)</t>
        </is>
      </c>
      <c r="H205" s="77" t="inlineStr">
        <is>
          <t>ii (pays cross-subsidy to N Scotland consumers)</t>
        </is>
      </c>
      <c r="I205" s="77">
        <f>IF(ISNUMBER(N205),N205*fx_deflator!$I$14*fx_deflator!$M$14,"")</f>
        <v/>
      </c>
      <c r="J205" s="77" t="inlineStr">
        <is>
          <t>NG/ESO AAHEDC charging statements &amp; final tariff letters</t>
        </is>
      </c>
      <c r="K205" s="77" t="inlineStr">
        <is>
          <t>stage4_uk r31</t>
        </is>
      </c>
      <c r="L205" s="77" t="inlineStr">
        <is>
          <t>2026-07-15</t>
        </is>
      </c>
      <c r="M205" s="77" t="inlineStr">
        <is>
          <t>N</t>
        </is>
      </c>
      <c r="N205" s="77">
        <f>IF(ISNUMBER(timeseries!M9),timeseries!M9,"")</f>
        <v/>
      </c>
      <c r="O205" s="77" t="inlineStr">
        <is>
          <t>GBP/MWh nominal</t>
        </is>
      </c>
      <c r="P205" s="77" t="inlineStr">
        <is>
          <t>not in NCC base (conservative, unverified)</t>
        </is>
      </c>
    </row>
    <row r="206" ht="15" customHeight="1" s="78">
      <c r="A206" s="77" t="inlineStr">
        <is>
          <t>UK</t>
        </is>
      </c>
      <c r="B206" s="77" t="n">
        <v>2019</v>
      </c>
      <c r="C206" s="77" t="inlineStr">
        <is>
          <t>large</t>
        </is>
      </c>
      <c r="D206" s="77" t="inlineStr">
        <is>
          <t>E2</t>
        </is>
      </c>
      <c r="E206" s="77" t="inlineStr">
        <is>
          <t>RO (buy-out x obligation)</t>
        </is>
      </c>
      <c r="F206" s="77" t="inlineStr">
        <is>
          <t>2 Gen capital recovery</t>
        </is>
      </c>
      <c r="G206" s="77" t="inlineStr">
        <is>
          <t>renewables levy</t>
        </is>
      </c>
      <c r="H206" s="77" t="inlineStr">
        <is>
          <t>i</t>
        </is>
      </c>
      <c r="I206" s="77">
        <f>IF(ISNUMBER(N206),N206*fx_deflator!$I$14*fx_deflator!$M$14,"")</f>
        <v/>
      </c>
      <c r="J206" s="77" t="inlineStr">
        <is>
          <t>Ofgem RO guidance OFG1164 Table 1.1 (buy-out x obligation)</t>
        </is>
      </c>
      <c r="K206" s="77" t="inlineStr">
        <is>
          <t>stage4_uk r12-14</t>
        </is>
      </c>
      <c r="L206" s="77" t="inlineStr">
        <is>
          <t>2026-07-15</t>
        </is>
      </c>
      <c r="M206" s="77" t="inlineStr">
        <is>
          <t>Y</t>
        </is>
      </c>
      <c r="N206" s="77">
        <f>IF(ISNUMBER(timeseries!M10),timeseries!M10*(1-IF(ISNUMBER(stage4_uk!M45),stage4_uk!M45,0)),"")</f>
        <v/>
      </c>
      <c r="O206" s="77" t="inlineStr">
        <is>
          <t>GBP/MWh nominal</t>
        </is>
      </c>
    </row>
    <row r="207" ht="15" customHeight="1" s="78">
      <c r="A207" s="77" t="inlineStr">
        <is>
          <t>UK</t>
        </is>
      </c>
      <c r="B207" s="77" t="n">
        <v>2019</v>
      </c>
      <c r="C207" s="77" t="inlineStr">
        <is>
          <t>large</t>
        </is>
      </c>
      <c r="D207" s="77" t="inlineStr">
        <is>
          <t>E2</t>
        </is>
      </c>
      <c r="E207" s="77" t="inlineStr">
        <is>
          <t>CfD Interim Levy Rate (annual avg)</t>
        </is>
      </c>
      <c r="F207" s="77" t="inlineStr">
        <is>
          <t>2 Gen capital recovery</t>
        </is>
      </c>
      <c r="G207" s="77" t="inlineStr">
        <is>
          <t>renewables levy</t>
        </is>
      </c>
      <c r="H207" s="77" t="inlineStr">
        <is>
          <t>i</t>
        </is>
      </c>
      <c r="I207" s="77">
        <f>IF(ISNUMBER(N207),N207*fx_deflator!$I$14*fx_deflator!$M$14,"")</f>
        <v/>
      </c>
      <c r="J207" s="77" t="inlineStr">
        <is>
          <t>LCCC Actual ILR Income dataset (quarterly avg)</t>
        </is>
      </c>
      <c r="K207" s="77" t="inlineStr">
        <is>
          <t>stage4_uk r15-19</t>
        </is>
      </c>
      <c r="L207" s="77" t="inlineStr">
        <is>
          <t>2026-07-15</t>
        </is>
      </c>
      <c r="M207" s="77" t="inlineStr">
        <is>
          <t>Y</t>
        </is>
      </c>
      <c r="N207" s="77">
        <f>IF(ISNUMBER(timeseries!M11),timeseries!M11*(1-IF(ISNUMBER(stage4_uk!M44),stage4_uk!M44,0)),"")</f>
        <v/>
      </c>
      <c r="O207" s="77" t="inlineStr">
        <is>
          <t>GBP/MWh nominal</t>
        </is>
      </c>
    </row>
    <row r="208" ht="15" customHeight="1" s="78">
      <c r="A208" s="77" t="inlineStr">
        <is>
          <t>UK</t>
        </is>
      </c>
      <c r="B208" s="77" t="n">
        <v>2019</v>
      </c>
      <c r="C208" s="77" t="inlineStr">
        <is>
          <t>large</t>
        </is>
      </c>
      <c r="D208" s="77" t="inlineStr">
        <is>
          <t>E2</t>
        </is>
      </c>
      <c r="E208" s="77" t="inlineStr">
        <is>
          <t>FiT levelisation</t>
        </is>
      </c>
      <c r="F208" s="77" t="inlineStr">
        <is>
          <t>2 Gen capital recovery</t>
        </is>
      </c>
      <c r="G208" s="77" t="inlineStr">
        <is>
          <t>renewables levy</t>
        </is>
      </c>
      <c r="H208" s="77" t="inlineStr">
        <is>
          <t>i</t>
        </is>
      </c>
      <c r="I208" s="77">
        <f>IF(ISNUMBER(N208),N208*fx_deflator!$I$14*fx_deflator!$M$14,"")</f>
        <v/>
      </c>
      <c r="J208" s="77" t="inlineStr">
        <is>
          <t>Ofgem FIT Annual Reports SY1-SY15; D27 for 2010-14</t>
        </is>
      </c>
      <c r="K208" s="77" t="inlineStr">
        <is>
          <t>stage4_uk r20</t>
        </is>
      </c>
      <c r="L208" s="77" t="inlineStr">
        <is>
          <t>2026-07-15</t>
        </is>
      </c>
      <c r="M208" s="77" t="inlineStr">
        <is>
          <t>Y</t>
        </is>
      </c>
      <c r="N208" s="77">
        <f>IF(ISNUMBER(timeseries!M12),timeseries!M12*(1-IF(ISNUMBER(stage4_uk!M46),stage4_uk!M46,0)),"")</f>
        <v/>
      </c>
      <c r="O208" s="77" t="inlineStr">
        <is>
          <t>GBP/MWh nominal</t>
        </is>
      </c>
      <c r="P208" s="77" t="inlineStr">
        <is>
          <t>2025 unpublished (Q32) — row absent, gap stated</t>
        </is>
      </c>
    </row>
    <row r="209" ht="15" customHeight="1" s="78">
      <c r="A209" s="77" t="inlineStr">
        <is>
          <t>UK</t>
        </is>
      </c>
      <c r="B209" s="77" t="n">
        <v>2019</v>
      </c>
      <c r="C209" s="77" t="inlineStr">
        <is>
          <t>large</t>
        </is>
      </c>
      <c r="D209" s="77" t="inlineStr">
        <is>
          <t>E2</t>
        </is>
      </c>
      <c r="E209" s="77" t="inlineStr">
        <is>
          <t>Capacity Market (derived per-MWh)</t>
        </is>
      </c>
      <c r="F209" s="77" t="inlineStr">
        <is>
          <t>2 Gen capital recovery</t>
        </is>
      </c>
      <c r="G209" s="77" t="inlineStr">
        <is>
          <t>capacity market levy</t>
        </is>
      </c>
      <c r="H209" s="77" t="inlineStr">
        <is>
          <t>i</t>
        </is>
      </c>
      <c r="I209" s="77">
        <f>IF(ISNUMBER(N209),N209*fx_deflator!$I$14*fx_deflator!$M$14,"")</f>
        <v/>
      </c>
      <c r="J209" s="77" t="inlineStr">
        <is>
          <t>EMRS Key Figures for Payments (derived per-MWh, D30)</t>
        </is>
      </c>
      <c r="K209" s="77" t="inlineStr">
        <is>
          <t>stage4_uk r21</t>
        </is>
      </c>
      <c r="L209" s="77" t="inlineStr">
        <is>
          <t>2026-07-15</t>
        </is>
      </c>
      <c r="M209" s="77" t="inlineStr">
        <is>
          <t>Y</t>
        </is>
      </c>
      <c r="N209" s="77">
        <f>IF(ISNUMBER(timeseries!M13),timeseries!M13*(1-IF(ISNUMBER(stage4_uk!M47),stage4_uk!M47,0)),"")</f>
        <v/>
      </c>
      <c r="O209" s="77" t="inlineStr">
        <is>
          <t>GBP/MWh nominal</t>
        </is>
      </c>
      <c r="P209" s="77" t="inlineStr">
        <is>
          <t>function 2 per D9</t>
        </is>
      </c>
    </row>
    <row r="210" ht="15" customHeight="1" s="78">
      <c r="A210" s="77" t="inlineStr">
        <is>
          <t>UK</t>
        </is>
      </c>
      <c r="B210" s="77" t="n">
        <v>2019</v>
      </c>
      <c r="C210" s="77" t="inlineStr">
        <is>
          <t>large</t>
        </is>
      </c>
      <c r="D210" s="77" t="inlineStr">
        <is>
          <t>E2</t>
        </is>
      </c>
      <c r="E210" s="77" t="inlineStr">
        <is>
          <t>CCL — EXEMPT for the relieved case (mineralogical/metallurgical, HMRC CCL1/3 s3.14; D71)</t>
        </is>
      </c>
      <c r="F210" s="77" t="inlineStr">
        <is>
          <t>5 General taxation &amp; levies</t>
        </is>
      </c>
      <c r="G210" s="77" t="inlineStr">
        <is>
          <t>climate levy (tax)</t>
        </is>
      </c>
      <c r="H210" s="77" t="inlineStr">
        <is>
          <t>i</t>
        </is>
      </c>
      <c r="I210" s="77">
        <f>IF(ISNUMBER(N210),N210*fx_deflator!$I$14*fx_deflator!$M$14,"")</f>
        <v/>
      </c>
      <c r="J210" s="77" t="inlineStr">
        <is>
          <t>HMRC Excise Notice CCL1/3 s3.14 + Annex A (exemption from 01.04.2014). S209</t>
        </is>
      </c>
      <c r="K210" s="77" t="inlineStr">
        <is>
          <t>stage4_uk r22</t>
        </is>
      </c>
      <c r="L210" s="77" t="inlineStr">
        <is>
          <t>2026-07-15</t>
        </is>
      </c>
      <c r="M210" s="77" t="inlineStr">
        <is>
          <t>N</t>
        </is>
      </c>
      <c r="N210" s="136">
        <f>IF(ISNUMBER(timeseries!M14),0,"")</f>
        <v/>
      </c>
      <c r="O210" s="77" t="inlineStr">
        <is>
          <t>GBP/MWh nominal</t>
        </is>
      </c>
    </row>
    <row r="211" ht="15" customHeight="1" s="78">
      <c r="A211" s="77" t="inlineStr">
        <is>
          <t>UK</t>
        </is>
      </c>
      <c r="B211" s="77" t="n">
        <v>2020</v>
      </c>
      <c r="C211" s="77" t="inlineStr">
        <is>
          <t>large</t>
        </is>
      </c>
      <c r="D211" s="77" t="inlineStr">
        <is>
          <t>E2</t>
        </is>
      </c>
      <c r="E211" s="77" t="inlineStr">
        <is>
          <t>Wholesale (rolling year-ahead baseload; DA proxy &lt;=2021)</t>
        </is>
      </c>
      <c r="F211" s="77" t="inlineStr">
        <is>
          <t>1 Commodity</t>
        </is>
      </c>
      <c r="G211" s="77" t="inlineStr">
        <is>
          <t>wholesale market</t>
        </is>
      </c>
      <c r="H211" s="77" t="inlineStr">
        <is>
          <t>i</t>
        </is>
      </c>
      <c r="I211" s="77">
        <f>IF(ISNUMBER(N211),N211*fx_deflator!$I$15*fx_deflator!$M$15,"")</f>
        <v/>
      </c>
      <c r="J211" s="77" t="inlineStr">
        <is>
          <t>Ofgem data portal — DA baseload monthly avg (proxy &lt;=2021, D22); Forward Delivery Contracts (D21)</t>
        </is>
      </c>
      <c r="K211" s="77" t="inlineStr">
        <is>
          <t>stage4_uk r7-9</t>
        </is>
      </c>
      <c r="L211" s="77" t="inlineStr">
        <is>
          <t>2026-07-15</t>
        </is>
      </c>
      <c r="M211" s="77" t="inlineStr">
        <is>
          <t>Y</t>
        </is>
      </c>
      <c r="N211" s="136">
        <f>IF(ISNUMBER(timeseries!N6),timeseries!N6,"")</f>
        <v/>
      </c>
      <c r="O211" s="77" t="inlineStr">
        <is>
          <t>GBP/MWh nominal</t>
        </is>
      </c>
      <c r="P211" s="77" t="inlineStr">
        <is>
          <t>identical E1/E2; embedded carbon memo inside this item</t>
        </is>
      </c>
    </row>
    <row r="212" ht="15" customHeight="1" s="78">
      <c r="A212" s="77" t="inlineStr">
        <is>
          <t>UK</t>
        </is>
      </c>
      <c r="B212" s="77" t="n">
        <v>2020</v>
      </c>
      <c r="C212" s="77" t="inlineStr">
        <is>
          <t>large</t>
        </is>
      </c>
      <c r="D212" s="77" t="inlineStr">
        <is>
          <t>E2</t>
        </is>
      </c>
      <c r="E212" s="77" t="inlineStr">
        <is>
          <t>TNUoS demand (zone 5; TCR banded residual from 2023)</t>
        </is>
      </c>
      <c r="F212" s="77" t="inlineStr">
        <is>
          <t>3 Network</t>
        </is>
      </c>
      <c r="G212" s="77" t="inlineStr">
        <is>
          <t>transmission network charge</t>
        </is>
      </c>
      <c r="H212" s="77" t="inlineStr">
        <is>
          <t>i (post-NCC relief; relief funded via ESL = ii instrument)</t>
        </is>
      </c>
      <c r="I212" s="77">
        <f>IF(ISNUMBER(N212),N212*fx_deflator!$I$15*fx_deflator!$M$15,"")</f>
        <v/>
      </c>
      <c r="J212" s="77" t="inlineStr">
        <is>
          <t>NESO TNUoS tariff documents (compendium doc 50736; Final TNUoS 2023/24-2026/27 Table 10)</t>
        </is>
      </c>
      <c r="K212" s="77" t="inlineStr">
        <is>
          <t>stage4_uk r25-27</t>
        </is>
      </c>
      <c r="L212" s="77" t="inlineStr">
        <is>
          <t>2026-07-15</t>
        </is>
      </c>
      <c r="M212" s="77" t="inlineStr">
        <is>
          <t>Y</t>
        </is>
      </c>
      <c r="N212" s="77">
        <f>IF(ISNUMBER(timeseries!N7),timeseries!N7*(1-IF(ISNUMBER(stage4_uk!N48),stage4_uk!N48,0)),"")</f>
        <v/>
      </c>
      <c r="O212" s="77" t="inlineStr">
        <is>
          <t>GBP/MWh nominal</t>
        </is>
      </c>
    </row>
    <row r="213" ht="15" customHeight="1" s="78">
      <c r="A213" s="77" t="inlineStr">
        <is>
          <t>UK</t>
        </is>
      </c>
      <c r="B213" s="77" t="n">
        <v>2020</v>
      </c>
      <c r="C213" s="77" t="inlineStr">
        <is>
          <t>large</t>
        </is>
      </c>
      <c r="D213" s="77" t="inlineStr">
        <is>
          <t>E2</t>
        </is>
      </c>
      <c r="E213" s="77" t="inlineStr">
        <is>
          <t>BSUoS (demand-only from 04/2023)</t>
        </is>
      </c>
      <c r="F213" s="77" t="inlineStr">
        <is>
          <t>4 System services &amp; balancing</t>
        </is>
      </c>
      <c r="G213" s="77" t="inlineStr">
        <is>
          <t>balancing charge</t>
        </is>
      </c>
      <c r="H213" s="77" t="inlineStr">
        <is>
          <t>i (post-NCC relief)</t>
        </is>
      </c>
      <c r="I213" s="77">
        <f>IF(ISNUMBER(N213),N213*fx_deflator!$I$15*fx_deflator!$M$15,"")</f>
        <v/>
      </c>
      <c r="J213" s="77" t="inlineStr">
        <is>
          <t>NESO bsuos-fixed-tariffs + HH RF settlement files (own annual avg 2010-22)</t>
        </is>
      </c>
      <c r="K213" s="77" t="inlineStr">
        <is>
          <t>stage4_uk r28-30</t>
        </is>
      </c>
      <c r="L213" s="77" t="inlineStr">
        <is>
          <t>2026-07-15</t>
        </is>
      </c>
      <c r="M213" s="77" t="inlineStr">
        <is>
          <t>Y</t>
        </is>
      </c>
      <c r="N213" s="77">
        <f>IF(ISNUMBER(timeseries!N8),timeseries!N8*(1-IF(ISNUMBER(stage4_uk!N48),stage4_uk!N48,0)),"")</f>
        <v/>
      </c>
      <c r="O213" s="77" t="inlineStr">
        <is>
          <t>GBP/MWh nominal</t>
        </is>
      </c>
    </row>
    <row r="214" ht="15" customHeight="1" s="78">
      <c r="A214" s="77" t="inlineStr">
        <is>
          <t>UK</t>
        </is>
      </c>
      <c r="B214" s="77" t="n">
        <v>2020</v>
      </c>
      <c r="C214" s="77" t="inlineStr">
        <is>
          <t>large</t>
        </is>
      </c>
      <c r="D214" s="77" t="inlineStr">
        <is>
          <t>E2</t>
        </is>
      </c>
      <c r="E214" s="77" t="inlineStr">
        <is>
          <t>AAHEDC</t>
        </is>
      </c>
      <c r="F214" s="77" t="inlineStr">
        <is>
          <t>3 Network</t>
        </is>
      </c>
      <c r="G214" s="77" t="inlineStr">
        <is>
          <t>network levy (hydro benefit)</t>
        </is>
      </c>
      <c r="H214" s="77" t="inlineStr">
        <is>
          <t>ii (pays cross-subsidy to N Scotland consumers)</t>
        </is>
      </c>
      <c r="I214" s="77">
        <f>IF(ISNUMBER(N214),N214*fx_deflator!$I$15*fx_deflator!$M$15,"")</f>
        <v/>
      </c>
      <c r="J214" s="77" t="inlineStr">
        <is>
          <t>NG/ESO AAHEDC charging statements &amp; final tariff letters</t>
        </is>
      </c>
      <c r="K214" s="77" t="inlineStr">
        <is>
          <t>stage4_uk r31</t>
        </is>
      </c>
      <c r="L214" s="77" t="inlineStr">
        <is>
          <t>2026-07-15</t>
        </is>
      </c>
      <c r="M214" s="77" t="inlineStr">
        <is>
          <t>N</t>
        </is>
      </c>
      <c r="N214" s="77">
        <f>IF(ISNUMBER(timeseries!N9),timeseries!N9,"")</f>
        <v/>
      </c>
      <c r="O214" s="77" t="inlineStr">
        <is>
          <t>GBP/MWh nominal</t>
        </is>
      </c>
      <c r="P214" s="77" t="inlineStr">
        <is>
          <t>not in NCC base (conservative, unverified)</t>
        </is>
      </c>
    </row>
    <row r="215" ht="15" customHeight="1" s="78">
      <c r="A215" s="77" t="inlineStr">
        <is>
          <t>UK</t>
        </is>
      </c>
      <c r="B215" s="77" t="n">
        <v>2020</v>
      </c>
      <c r="C215" s="77" t="inlineStr">
        <is>
          <t>large</t>
        </is>
      </c>
      <c r="D215" s="77" t="inlineStr">
        <is>
          <t>E2</t>
        </is>
      </c>
      <c r="E215" s="77" t="inlineStr">
        <is>
          <t>RO (buy-out x obligation)</t>
        </is>
      </c>
      <c r="F215" s="77" t="inlineStr">
        <is>
          <t>2 Gen capital recovery</t>
        </is>
      </c>
      <c r="G215" s="77" t="inlineStr">
        <is>
          <t>renewables levy</t>
        </is>
      </c>
      <c r="H215" s="77" t="inlineStr">
        <is>
          <t>i</t>
        </is>
      </c>
      <c r="I215" s="77">
        <f>IF(ISNUMBER(N215),N215*fx_deflator!$I$15*fx_deflator!$M$15,"")</f>
        <v/>
      </c>
      <c r="J215" s="77" t="inlineStr">
        <is>
          <t>Ofgem RO guidance OFG1164 Table 1.1 (buy-out x obligation)</t>
        </is>
      </c>
      <c r="K215" s="77" t="inlineStr">
        <is>
          <t>stage4_uk r12-14</t>
        </is>
      </c>
      <c r="L215" s="77" t="inlineStr">
        <is>
          <t>2026-07-15</t>
        </is>
      </c>
      <c r="M215" s="77" t="inlineStr">
        <is>
          <t>Y</t>
        </is>
      </c>
      <c r="N215" s="77">
        <f>IF(ISNUMBER(timeseries!N10),timeseries!N10*(1-IF(ISNUMBER(stage4_uk!N45),stage4_uk!N45,0)),"")</f>
        <v/>
      </c>
      <c r="O215" s="77" t="inlineStr">
        <is>
          <t>GBP/MWh nominal</t>
        </is>
      </c>
    </row>
    <row r="216" ht="15" customHeight="1" s="78">
      <c r="A216" s="77" t="inlineStr">
        <is>
          <t>UK</t>
        </is>
      </c>
      <c r="B216" s="77" t="n">
        <v>2020</v>
      </c>
      <c r="C216" s="77" t="inlineStr">
        <is>
          <t>large</t>
        </is>
      </c>
      <c r="D216" s="77" t="inlineStr">
        <is>
          <t>E2</t>
        </is>
      </c>
      <c r="E216" s="77" t="inlineStr">
        <is>
          <t>CfD Interim Levy Rate (annual avg)</t>
        </is>
      </c>
      <c r="F216" s="77" t="inlineStr">
        <is>
          <t>2 Gen capital recovery</t>
        </is>
      </c>
      <c r="G216" s="77" t="inlineStr">
        <is>
          <t>renewables levy</t>
        </is>
      </c>
      <c r="H216" s="77" t="inlineStr">
        <is>
          <t>i</t>
        </is>
      </c>
      <c r="I216" s="77">
        <f>IF(ISNUMBER(N216),N216*fx_deflator!$I$15*fx_deflator!$M$15,"")</f>
        <v/>
      </c>
      <c r="J216" s="77" t="inlineStr">
        <is>
          <t>LCCC Actual ILR Income dataset (quarterly avg)</t>
        </is>
      </c>
      <c r="K216" s="77" t="inlineStr">
        <is>
          <t>stage4_uk r15-19</t>
        </is>
      </c>
      <c r="L216" s="77" t="inlineStr">
        <is>
          <t>2026-07-15</t>
        </is>
      </c>
      <c r="M216" s="77" t="inlineStr">
        <is>
          <t>Y</t>
        </is>
      </c>
      <c r="N216" s="77">
        <f>IF(ISNUMBER(timeseries!N11),timeseries!N11*(1-IF(ISNUMBER(stage4_uk!N44),stage4_uk!N44,0)),"")</f>
        <v/>
      </c>
      <c r="O216" s="77" t="inlineStr">
        <is>
          <t>GBP/MWh nominal</t>
        </is>
      </c>
    </row>
    <row r="217" ht="15" customHeight="1" s="78">
      <c r="A217" s="77" t="inlineStr">
        <is>
          <t>UK</t>
        </is>
      </c>
      <c r="B217" s="77" t="n">
        <v>2020</v>
      </c>
      <c r="C217" s="77" t="inlineStr">
        <is>
          <t>large</t>
        </is>
      </c>
      <c r="D217" s="77" t="inlineStr">
        <is>
          <t>E2</t>
        </is>
      </c>
      <c r="E217" s="77" t="inlineStr">
        <is>
          <t>FiT levelisation</t>
        </is>
      </c>
      <c r="F217" s="77" t="inlineStr">
        <is>
          <t>2 Gen capital recovery</t>
        </is>
      </c>
      <c r="G217" s="77" t="inlineStr">
        <is>
          <t>renewables levy</t>
        </is>
      </c>
      <c r="H217" s="77" t="inlineStr">
        <is>
          <t>i</t>
        </is>
      </c>
      <c r="I217" s="77">
        <f>IF(ISNUMBER(N217),N217*fx_deflator!$I$15*fx_deflator!$M$15,"")</f>
        <v/>
      </c>
      <c r="J217" s="77" t="inlineStr">
        <is>
          <t>Ofgem FIT Annual Reports SY1-SY15; D27 for 2010-14</t>
        </is>
      </c>
      <c r="K217" s="77" t="inlineStr">
        <is>
          <t>stage4_uk r20</t>
        </is>
      </c>
      <c r="L217" s="77" t="inlineStr">
        <is>
          <t>2026-07-15</t>
        </is>
      </c>
      <c r="M217" s="77" t="inlineStr">
        <is>
          <t>Y</t>
        </is>
      </c>
      <c r="N217" s="77">
        <f>IF(ISNUMBER(timeseries!N12),timeseries!N12*(1-IF(ISNUMBER(stage4_uk!N46),stage4_uk!N46,0)),"")</f>
        <v/>
      </c>
      <c r="O217" s="77" t="inlineStr">
        <is>
          <t>GBP/MWh nominal</t>
        </is>
      </c>
      <c r="P217" s="77" t="inlineStr">
        <is>
          <t>2025 unpublished (Q32) — row absent, gap stated</t>
        </is>
      </c>
    </row>
    <row r="218" ht="15" customHeight="1" s="78">
      <c r="A218" s="77" t="inlineStr">
        <is>
          <t>UK</t>
        </is>
      </c>
      <c r="B218" s="77" t="n">
        <v>2020</v>
      </c>
      <c r="C218" s="77" t="inlineStr">
        <is>
          <t>large</t>
        </is>
      </c>
      <c r="D218" s="77" t="inlineStr">
        <is>
          <t>E2</t>
        </is>
      </c>
      <c r="E218" s="77" t="inlineStr">
        <is>
          <t>Capacity Market (derived per-MWh)</t>
        </is>
      </c>
      <c r="F218" s="77" t="inlineStr">
        <is>
          <t>2 Gen capital recovery</t>
        </is>
      </c>
      <c r="G218" s="77" t="inlineStr">
        <is>
          <t>capacity market levy</t>
        </is>
      </c>
      <c r="H218" s="77" t="inlineStr">
        <is>
          <t>i</t>
        </is>
      </c>
      <c r="I218" s="77">
        <f>IF(ISNUMBER(N218),N218*fx_deflator!$I$15*fx_deflator!$M$15,"")</f>
        <v/>
      </c>
      <c r="J218" s="77" t="inlineStr">
        <is>
          <t>EMRS Key Figures for Payments (derived per-MWh, D30)</t>
        </is>
      </c>
      <c r="K218" s="77" t="inlineStr">
        <is>
          <t>stage4_uk r21</t>
        </is>
      </c>
      <c r="L218" s="77" t="inlineStr">
        <is>
          <t>2026-07-15</t>
        </is>
      </c>
      <c r="M218" s="77" t="inlineStr">
        <is>
          <t>Y</t>
        </is>
      </c>
      <c r="N218" s="77">
        <f>IF(ISNUMBER(timeseries!N13),timeseries!N13*(1-IF(ISNUMBER(stage4_uk!N47),stage4_uk!N47,0)),"")</f>
        <v/>
      </c>
      <c r="O218" s="77" t="inlineStr">
        <is>
          <t>GBP/MWh nominal</t>
        </is>
      </c>
      <c r="P218" s="77" t="inlineStr">
        <is>
          <t>function 2 per D9</t>
        </is>
      </c>
    </row>
    <row r="219" ht="15" customHeight="1" s="78">
      <c r="A219" s="77" t="inlineStr">
        <is>
          <t>UK</t>
        </is>
      </c>
      <c r="B219" s="77" t="n">
        <v>2020</v>
      </c>
      <c r="C219" s="77" t="inlineStr">
        <is>
          <t>large</t>
        </is>
      </c>
      <c r="D219" s="77" t="inlineStr">
        <is>
          <t>E2</t>
        </is>
      </c>
      <c r="E219" s="77" t="inlineStr">
        <is>
          <t>CCL — EXEMPT for the relieved case (mineralogical/metallurgical, HMRC CCL1/3 s3.14; D71)</t>
        </is>
      </c>
      <c r="F219" s="77" t="inlineStr">
        <is>
          <t>5 General taxation &amp; levies</t>
        </is>
      </c>
      <c r="G219" s="77" t="inlineStr">
        <is>
          <t>climate levy (tax)</t>
        </is>
      </c>
      <c r="H219" s="77" t="inlineStr">
        <is>
          <t>i</t>
        </is>
      </c>
      <c r="I219" s="77">
        <f>IF(ISNUMBER(N219),N219*fx_deflator!$I$15*fx_deflator!$M$15,"")</f>
        <v/>
      </c>
      <c r="J219" s="77" t="inlineStr">
        <is>
          <t>HMRC Excise Notice CCL1/3 s3.14 + Annex A (exemption from 01.04.2014). S209</t>
        </is>
      </c>
      <c r="K219" s="77" t="inlineStr">
        <is>
          <t>stage4_uk r22</t>
        </is>
      </c>
      <c r="L219" s="77" t="inlineStr">
        <is>
          <t>2026-07-15</t>
        </is>
      </c>
      <c r="M219" s="77" t="inlineStr">
        <is>
          <t>N</t>
        </is>
      </c>
      <c r="N219" s="136">
        <f>IF(ISNUMBER(timeseries!N14),0,"")</f>
        <v/>
      </c>
      <c r="O219" s="77" t="inlineStr">
        <is>
          <t>GBP/MWh nominal</t>
        </is>
      </c>
    </row>
    <row r="220" ht="15" customHeight="1" s="78">
      <c r="A220" s="77" t="inlineStr">
        <is>
          <t>UK</t>
        </is>
      </c>
      <c r="B220" s="77" t="n">
        <v>2021</v>
      </c>
      <c r="C220" s="77" t="inlineStr">
        <is>
          <t>large</t>
        </is>
      </c>
      <c r="D220" s="77" t="inlineStr">
        <is>
          <t>E2</t>
        </is>
      </c>
      <c r="E220" s="77" t="inlineStr">
        <is>
          <t>Wholesale (rolling year-ahead baseload; DA proxy &lt;=2021)</t>
        </is>
      </c>
      <c r="F220" s="77" t="inlineStr">
        <is>
          <t>1 Commodity</t>
        </is>
      </c>
      <c r="G220" s="77" t="inlineStr">
        <is>
          <t>wholesale market</t>
        </is>
      </c>
      <c r="H220" s="77" t="inlineStr">
        <is>
          <t>i</t>
        </is>
      </c>
      <c r="I220" s="77">
        <f>IF(ISNUMBER(N220),N220*fx_deflator!$I$16*fx_deflator!$M$16,"")</f>
        <v/>
      </c>
      <c r="J220" s="77" t="inlineStr">
        <is>
          <t>Ofgem data portal — DA baseload monthly avg (proxy &lt;=2021, D22); Forward Delivery Contracts (D21)</t>
        </is>
      </c>
      <c r="K220" s="77" t="inlineStr">
        <is>
          <t>stage4_uk r7-9</t>
        </is>
      </c>
      <c r="L220" s="77" t="inlineStr">
        <is>
          <t>2026-07-15</t>
        </is>
      </c>
      <c r="M220" s="77" t="inlineStr">
        <is>
          <t>Y</t>
        </is>
      </c>
      <c r="N220" s="136">
        <f>IF(ISNUMBER(timeseries!O6),timeseries!O6,"")</f>
        <v/>
      </c>
      <c r="O220" s="77" t="inlineStr">
        <is>
          <t>GBP/MWh nominal</t>
        </is>
      </c>
      <c r="P220" s="77" t="inlineStr">
        <is>
          <t>identical E1/E2; embedded carbon memo inside this item</t>
        </is>
      </c>
    </row>
    <row r="221" ht="15" customHeight="1" s="78">
      <c r="A221" s="77" t="inlineStr">
        <is>
          <t>UK</t>
        </is>
      </c>
      <c r="B221" s="77" t="n">
        <v>2021</v>
      </c>
      <c r="C221" s="77" t="inlineStr">
        <is>
          <t>large</t>
        </is>
      </c>
      <c r="D221" s="77" t="inlineStr">
        <is>
          <t>E2</t>
        </is>
      </c>
      <c r="E221" s="77" t="inlineStr">
        <is>
          <t>TNUoS demand (zone 5; TCR banded residual from 2023)</t>
        </is>
      </c>
      <c r="F221" s="77" t="inlineStr">
        <is>
          <t>3 Network</t>
        </is>
      </c>
      <c r="G221" s="77" t="inlineStr">
        <is>
          <t>transmission network charge</t>
        </is>
      </c>
      <c r="H221" s="77" t="inlineStr">
        <is>
          <t>i (post-NCC relief; relief funded via ESL = ii instrument)</t>
        </is>
      </c>
      <c r="I221" s="77">
        <f>IF(ISNUMBER(N221),N221*fx_deflator!$I$16*fx_deflator!$M$16,"")</f>
        <v/>
      </c>
      <c r="J221" s="77" t="inlineStr">
        <is>
          <t>NESO TNUoS tariff documents (compendium doc 50736; Final TNUoS 2023/24-2026/27 Table 10)</t>
        </is>
      </c>
      <c r="K221" s="77" t="inlineStr">
        <is>
          <t>stage4_uk r25-27</t>
        </is>
      </c>
      <c r="L221" s="77" t="inlineStr">
        <is>
          <t>2026-07-15</t>
        </is>
      </c>
      <c r="M221" s="77" t="inlineStr">
        <is>
          <t>Y</t>
        </is>
      </c>
      <c r="N221" s="77">
        <f>IF(ISNUMBER(timeseries!O7),timeseries!O7*(1-IF(ISNUMBER(stage4_uk!O48),stage4_uk!O48,0)),"")</f>
        <v/>
      </c>
      <c r="O221" s="77" t="inlineStr">
        <is>
          <t>GBP/MWh nominal</t>
        </is>
      </c>
    </row>
    <row r="222" ht="15" customHeight="1" s="78">
      <c r="A222" s="77" t="inlineStr">
        <is>
          <t>UK</t>
        </is>
      </c>
      <c r="B222" s="77" t="n">
        <v>2021</v>
      </c>
      <c r="C222" s="77" t="inlineStr">
        <is>
          <t>large</t>
        </is>
      </c>
      <c r="D222" s="77" t="inlineStr">
        <is>
          <t>E2</t>
        </is>
      </c>
      <c r="E222" s="77" t="inlineStr">
        <is>
          <t>BSUoS (demand-only from 04/2023)</t>
        </is>
      </c>
      <c r="F222" s="77" t="inlineStr">
        <is>
          <t>4 System services &amp; balancing</t>
        </is>
      </c>
      <c r="G222" s="77" t="inlineStr">
        <is>
          <t>balancing charge</t>
        </is>
      </c>
      <c r="H222" s="77" t="inlineStr">
        <is>
          <t>i (post-NCC relief)</t>
        </is>
      </c>
      <c r="I222" s="77">
        <f>IF(ISNUMBER(N222),N222*fx_deflator!$I$16*fx_deflator!$M$16,"")</f>
        <v/>
      </c>
      <c r="J222" s="77" t="inlineStr">
        <is>
          <t>NESO bsuos-fixed-tariffs + HH RF settlement files (own annual avg 2010-22)</t>
        </is>
      </c>
      <c r="K222" s="77" t="inlineStr">
        <is>
          <t>stage4_uk r28-30</t>
        </is>
      </c>
      <c r="L222" s="77" t="inlineStr">
        <is>
          <t>2026-07-15</t>
        </is>
      </c>
      <c r="M222" s="77" t="inlineStr">
        <is>
          <t>Y</t>
        </is>
      </c>
      <c r="N222" s="77">
        <f>IF(ISNUMBER(timeseries!O8),timeseries!O8*(1-IF(ISNUMBER(stage4_uk!O48),stage4_uk!O48,0)),"")</f>
        <v/>
      </c>
      <c r="O222" s="77" t="inlineStr">
        <is>
          <t>GBP/MWh nominal</t>
        </is>
      </c>
    </row>
    <row r="223" ht="15" customHeight="1" s="78">
      <c r="A223" s="77" t="inlineStr">
        <is>
          <t>UK</t>
        </is>
      </c>
      <c r="B223" s="77" t="n">
        <v>2021</v>
      </c>
      <c r="C223" s="77" t="inlineStr">
        <is>
          <t>large</t>
        </is>
      </c>
      <c r="D223" s="77" t="inlineStr">
        <is>
          <t>E2</t>
        </is>
      </c>
      <c r="E223" s="77" t="inlineStr">
        <is>
          <t>AAHEDC</t>
        </is>
      </c>
      <c r="F223" s="77" t="inlineStr">
        <is>
          <t>3 Network</t>
        </is>
      </c>
      <c r="G223" s="77" t="inlineStr">
        <is>
          <t>network levy (hydro benefit)</t>
        </is>
      </c>
      <c r="H223" s="77" t="inlineStr">
        <is>
          <t>ii (pays cross-subsidy to N Scotland consumers)</t>
        </is>
      </c>
      <c r="I223" s="77">
        <f>IF(ISNUMBER(N223),N223*fx_deflator!$I$16*fx_deflator!$M$16,"")</f>
        <v/>
      </c>
      <c r="J223" s="77" t="inlineStr">
        <is>
          <t>NG/ESO AAHEDC charging statements &amp; final tariff letters</t>
        </is>
      </c>
      <c r="K223" s="77" t="inlineStr">
        <is>
          <t>stage4_uk r31</t>
        </is>
      </c>
      <c r="L223" s="77" t="inlineStr">
        <is>
          <t>2026-07-15</t>
        </is>
      </c>
      <c r="M223" s="77" t="inlineStr">
        <is>
          <t>N</t>
        </is>
      </c>
      <c r="N223" s="136">
        <f>IF(ISNUMBER(timeseries!O9),timeseries!O9,"")</f>
        <v/>
      </c>
      <c r="O223" s="77" t="inlineStr">
        <is>
          <t>GBP/MWh nominal</t>
        </is>
      </c>
      <c r="P223" s="77" t="inlineStr">
        <is>
          <t>not in NCC base (conservative, unverified)</t>
        </is>
      </c>
    </row>
    <row r="224" ht="15" customHeight="1" s="78">
      <c r="A224" s="77" t="inlineStr">
        <is>
          <t>UK</t>
        </is>
      </c>
      <c r="B224" s="77" t="n">
        <v>2021</v>
      </c>
      <c r="C224" s="77" t="inlineStr">
        <is>
          <t>large</t>
        </is>
      </c>
      <c r="D224" s="77" t="inlineStr">
        <is>
          <t>E2</t>
        </is>
      </c>
      <c r="E224" s="77" t="inlineStr">
        <is>
          <t>RO (buy-out x obligation)</t>
        </is>
      </c>
      <c r="F224" s="77" t="inlineStr">
        <is>
          <t>2 Gen capital recovery</t>
        </is>
      </c>
      <c r="G224" s="77" t="inlineStr">
        <is>
          <t>renewables levy</t>
        </is>
      </c>
      <c r="H224" s="77" t="inlineStr">
        <is>
          <t>i</t>
        </is>
      </c>
      <c r="I224" s="77">
        <f>IF(ISNUMBER(N224),N224*fx_deflator!$I$16*fx_deflator!$M$16,"")</f>
        <v/>
      </c>
      <c r="J224" s="77" t="inlineStr">
        <is>
          <t>Ofgem RO guidance OFG1164 Table 1.1 (buy-out x obligation)</t>
        </is>
      </c>
      <c r="K224" s="77" t="inlineStr">
        <is>
          <t>stage4_uk r12-14</t>
        </is>
      </c>
      <c r="L224" s="77" t="inlineStr">
        <is>
          <t>2026-07-15</t>
        </is>
      </c>
      <c r="M224" s="77" t="inlineStr">
        <is>
          <t>Y</t>
        </is>
      </c>
      <c r="N224" s="77">
        <f>IF(ISNUMBER(timeseries!O10),timeseries!O10*(1-IF(ISNUMBER(stage4_uk!O45),stage4_uk!O45,0)),"")</f>
        <v/>
      </c>
      <c r="O224" s="77" t="inlineStr">
        <is>
          <t>GBP/MWh nominal</t>
        </is>
      </c>
    </row>
    <row r="225" ht="15" customHeight="1" s="78">
      <c r="A225" s="77" t="inlineStr">
        <is>
          <t>UK</t>
        </is>
      </c>
      <c r="B225" s="77" t="n">
        <v>2021</v>
      </c>
      <c r="C225" s="77" t="inlineStr">
        <is>
          <t>large</t>
        </is>
      </c>
      <c r="D225" s="77" t="inlineStr">
        <is>
          <t>E2</t>
        </is>
      </c>
      <c r="E225" s="77" t="inlineStr">
        <is>
          <t>CfD Interim Levy Rate (annual avg)</t>
        </is>
      </c>
      <c r="F225" s="77" t="inlineStr">
        <is>
          <t>2 Gen capital recovery</t>
        </is>
      </c>
      <c r="G225" s="77" t="inlineStr">
        <is>
          <t>renewables levy</t>
        </is>
      </c>
      <c r="H225" s="77" t="inlineStr">
        <is>
          <t>i</t>
        </is>
      </c>
      <c r="I225" s="77">
        <f>IF(ISNUMBER(N225),N225*fx_deflator!$I$16*fx_deflator!$M$16,"")</f>
        <v/>
      </c>
      <c r="J225" s="77" t="inlineStr">
        <is>
          <t>LCCC Actual ILR Income dataset (quarterly avg)</t>
        </is>
      </c>
      <c r="K225" s="77" t="inlineStr">
        <is>
          <t>stage4_uk r15-19</t>
        </is>
      </c>
      <c r="L225" s="77" t="inlineStr">
        <is>
          <t>2026-07-15</t>
        </is>
      </c>
      <c r="M225" s="77" t="inlineStr">
        <is>
          <t>Y</t>
        </is>
      </c>
      <c r="N225" s="77">
        <f>IF(ISNUMBER(timeseries!O11),timeseries!O11*(1-IF(ISNUMBER(stage4_uk!O44),stage4_uk!O44,0)),"")</f>
        <v/>
      </c>
      <c r="O225" s="77" t="inlineStr">
        <is>
          <t>GBP/MWh nominal</t>
        </is>
      </c>
    </row>
    <row r="226" ht="15" customHeight="1" s="78">
      <c r="A226" s="77" t="inlineStr">
        <is>
          <t>UK</t>
        </is>
      </c>
      <c r="B226" s="77" t="n">
        <v>2021</v>
      </c>
      <c r="C226" s="77" t="inlineStr">
        <is>
          <t>large</t>
        </is>
      </c>
      <c r="D226" s="77" t="inlineStr">
        <is>
          <t>E2</t>
        </is>
      </c>
      <c r="E226" s="77" t="inlineStr">
        <is>
          <t>FiT levelisation</t>
        </is>
      </c>
      <c r="F226" s="77" t="inlineStr">
        <is>
          <t>2 Gen capital recovery</t>
        </is>
      </c>
      <c r="G226" s="77" t="inlineStr">
        <is>
          <t>renewables levy</t>
        </is>
      </c>
      <c r="H226" s="77" t="inlineStr">
        <is>
          <t>i</t>
        </is>
      </c>
      <c r="I226" s="77">
        <f>IF(ISNUMBER(N226),N226*fx_deflator!$I$16*fx_deflator!$M$16,"")</f>
        <v/>
      </c>
      <c r="J226" s="77" t="inlineStr">
        <is>
          <t>Ofgem FIT Annual Reports SY1-SY15; D27 for 2010-14</t>
        </is>
      </c>
      <c r="K226" s="77" t="inlineStr">
        <is>
          <t>stage4_uk r20</t>
        </is>
      </c>
      <c r="L226" s="77" t="inlineStr">
        <is>
          <t>2026-07-15</t>
        </is>
      </c>
      <c r="M226" s="77" t="inlineStr">
        <is>
          <t>Y</t>
        </is>
      </c>
      <c r="N226" s="77">
        <f>IF(ISNUMBER(timeseries!O12),timeseries!O12*(1-IF(ISNUMBER(stage4_uk!O46),stage4_uk!O46,0)),"")</f>
        <v/>
      </c>
      <c r="O226" s="77" t="inlineStr">
        <is>
          <t>GBP/MWh nominal</t>
        </is>
      </c>
      <c r="P226" s="77" t="inlineStr">
        <is>
          <t>2025 unpublished (Q32) — row absent, gap stated</t>
        </is>
      </c>
    </row>
    <row r="227" ht="15" customHeight="1" s="78">
      <c r="A227" s="77" t="inlineStr">
        <is>
          <t>UK</t>
        </is>
      </c>
      <c r="B227" s="77" t="n">
        <v>2021</v>
      </c>
      <c r="C227" s="77" t="inlineStr">
        <is>
          <t>large</t>
        </is>
      </c>
      <c r="D227" s="77" t="inlineStr">
        <is>
          <t>E2</t>
        </is>
      </c>
      <c r="E227" s="77" t="inlineStr">
        <is>
          <t>Capacity Market (derived per-MWh)</t>
        </is>
      </c>
      <c r="F227" s="77" t="inlineStr">
        <is>
          <t>2 Gen capital recovery</t>
        </is>
      </c>
      <c r="G227" s="77" t="inlineStr">
        <is>
          <t>capacity market levy</t>
        </is>
      </c>
      <c r="H227" s="77" t="inlineStr">
        <is>
          <t>i</t>
        </is>
      </c>
      <c r="I227" s="77">
        <f>IF(ISNUMBER(N227),N227*fx_deflator!$I$16*fx_deflator!$M$16,"")</f>
        <v/>
      </c>
      <c r="J227" s="77" t="inlineStr">
        <is>
          <t>EMRS Key Figures for Payments (derived per-MWh, D30)</t>
        </is>
      </c>
      <c r="K227" s="77" t="inlineStr">
        <is>
          <t>stage4_uk r21</t>
        </is>
      </c>
      <c r="L227" s="77" t="inlineStr">
        <is>
          <t>2026-07-15</t>
        </is>
      </c>
      <c r="M227" s="77" t="inlineStr">
        <is>
          <t>Y</t>
        </is>
      </c>
      <c r="N227" s="77">
        <f>IF(ISNUMBER(timeseries!O13),timeseries!O13*(1-IF(ISNUMBER(stage4_uk!O47),stage4_uk!O47,0)),"")</f>
        <v/>
      </c>
      <c r="O227" s="77" t="inlineStr">
        <is>
          <t>GBP/MWh nominal</t>
        </is>
      </c>
      <c r="P227" s="77" t="inlineStr">
        <is>
          <t>function 2 per D9</t>
        </is>
      </c>
    </row>
    <row r="228" ht="15" customHeight="1" s="78">
      <c r="A228" s="77" t="inlineStr">
        <is>
          <t>UK</t>
        </is>
      </c>
      <c r="B228" s="77" t="n">
        <v>2021</v>
      </c>
      <c r="C228" s="77" t="inlineStr">
        <is>
          <t>large</t>
        </is>
      </c>
      <c r="D228" s="77" t="inlineStr">
        <is>
          <t>E2</t>
        </is>
      </c>
      <c r="E228" s="77" t="inlineStr">
        <is>
          <t>CCL — EXEMPT for the relieved case (mineralogical/metallurgical, HMRC CCL1/3 s3.14; D71)</t>
        </is>
      </c>
      <c r="F228" s="77" t="inlineStr">
        <is>
          <t>5 General taxation &amp; levies</t>
        </is>
      </c>
      <c r="G228" s="77" t="inlineStr">
        <is>
          <t>climate levy (tax)</t>
        </is>
      </c>
      <c r="H228" s="77" t="inlineStr">
        <is>
          <t>i</t>
        </is>
      </c>
      <c r="I228" s="77">
        <f>IF(ISNUMBER(N228),N228*fx_deflator!$I$16*fx_deflator!$M$16,"")</f>
        <v/>
      </c>
      <c r="J228" s="77" t="inlineStr">
        <is>
          <t>HMRC Excise Notice CCL1/3 s3.14 + Annex A (exemption from 01.04.2014). S209</t>
        </is>
      </c>
      <c r="K228" s="77" t="inlineStr">
        <is>
          <t>stage4_uk r22</t>
        </is>
      </c>
      <c r="L228" s="77" t="inlineStr">
        <is>
          <t>2026-07-15</t>
        </is>
      </c>
      <c r="M228" s="77" t="inlineStr">
        <is>
          <t>N</t>
        </is>
      </c>
      <c r="N228" s="136">
        <f>IF(ISNUMBER(timeseries!O14),0,"")</f>
        <v/>
      </c>
      <c r="O228" s="77" t="inlineStr">
        <is>
          <t>GBP/MWh nominal</t>
        </is>
      </c>
    </row>
    <row r="229" ht="15" customHeight="1" s="78">
      <c r="A229" s="77" t="inlineStr">
        <is>
          <t>UK</t>
        </is>
      </c>
      <c r="B229" s="77" t="n">
        <v>2022</v>
      </c>
      <c r="C229" s="77" t="inlineStr">
        <is>
          <t>large</t>
        </is>
      </c>
      <c r="D229" s="77" t="inlineStr">
        <is>
          <t>E2</t>
        </is>
      </c>
      <c r="E229" s="77" t="inlineStr">
        <is>
          <t>Wholesale (rolling year-ahead baseload; DA proxy &lt;=2021)</t>
        </is>
      </c>
      <c r="F229" s="77" t="inlineStr">
        <is>
          <t>1 Commodity</t>
        </is>
      </c>
      <c r="G229" s="77" t="inlineStr">
        <is>
          <t>wholesale market</t>
        </is>
      </c>
      <c r="H229" s="77" t="inlineStr">
        <is>
          <t>i</t>
        </is>
      </c>
      <c r="I229" s="77">
        <f>IF(ISNUMBER(N229),N229*fx_deflator!$I$17*fx_deflator!$M$17,"")</f>
        <v/>
      </c>
      <c r="J229" s="77" t="inlineStr">
        <is>
          <t>Ofgem data portal — DA baseload monthly avg (proxy &lt;=2021, D22); Forward Delivery Contracts (D21)</t>
        </is>
      </c>
      <c r="K229" s="77" t="inlineStr">
        <is>
          <t>stage4_uk r7-9</t>
        </is>
      </c>
      <c r="L229" s="77" t="inlineStr">
        <is>
          <t>2026-07-15</t>
        </is>
      </c>
      <c r="M229" s="77" t="inlineStr">
        <is>
          <t>Y</t>
        </is>
      </c>
      <c r="N229" s="136">
        <f>IF(ISNUMBER(timeseries!P6),timeseries!P6,"")</f>
        <v/>
      </c>
      <c r="O229" s="77" t="inlineStr">
        <is>
          <t>GBP/MWh nominal</t>
        </is>
      </c>
      <c r="P229" s="77" t="inlineStr">
        <is>
          <t>identical E1/E2; embedded carbon memo inside this item</t>
        </is>
      </c>
    </row>
    <row r="230" ht="15" customHeight="1" s="78">
      <c r="A230" s="77" t="inlineStr">
        <is>
          <t>UK</t>
        </is>
      </c>
      <c r="B230" s="77" t="n">
        <v>2022</v>
      </c>
      <c r="C230" s="77" t="inlineStr">
        <is>
          <t>large</t>
        </is>
      </c>
      <c r="D230" s="77" t="inlineStr">
        <is>
          <t>E2</t>
        </is>
      </c>
      <c r="E230" s="77" t="inlineStr">
        <is>
          <t>TNUoS demand (zone 5; TCR banded residual from 2023)</t>
        </is>
      </c>
      <c r="F230" s="77" t="inlineStr">
        <is>
          <t>3 Network</t>
        </is>
      </c>
      <c r="G230" s="77" t="inlineStr">
        <is>
          <t>transmission network charge</t>
        </is>
      </c>
      <c r="H230" s="77" t="inlineStr">
        <is>
          <t>i (post-NCC relief; relief funded via ESL = ii instrument)</t>
        </is>
      </c>
      <c r="I230" s="77">
        <f>IF(ISNUMBER(N230),N230*fx_deflator!$I$17*fx_deflator!$M$17,"")</f>
        <v/>
      </c>
      <c r="J230" s="77" t="inlineStr">
        <is>
          <t>NESO TNUoS tariff documents (compendium doc 50736; Final TNUoS 2023/24-2026/27 Table 10)</t>
        </is>
      </c>
      <c r="K230" s="77" t="inlineStr">
        <is>
          <t>stage4_uk r25-27</t>
        </is>
      </c>
      <c r="L230" s="77" t="inlineStr">
        <is>
          <t>2026-07-15</t>
        </is>
      </c>
      <c r="M230" s="77" t="inlineStr">
        <is>
          <t>Y</t>
        </is>
      </c>
      <c r="N230" s="77">
        <f>IF(ISNUMBER(timeseries!P7),timeseries!P7*(1-IF(ISNUMBER(stage4_uk!P48),stage4_uk!P48,0)),"")</f>
        <v/>
      </c>
      <c r="O230" s="77" t="inlineStr">
        <is>
          <t>GBP/MWh nominal</t>
        </is>
      </c>
    </row>
    <row r="231" ht="15" customHeight="1" s="78">
      <c r="A231" s="77" t="inlineStr">
        <is>
          <t>UK</t>
        </is>
      </c>
      <c r="B231" s="77" t="n">
        <v>2022</v>
      </c>
      <c r="C231" s="77" t="inlineStr">
        <is>
          <t>large</t>
        </is>
      </c>
      <c r="D231" s="77" t="inlineStr">
        <is>
          <t>E2</t>
        </is>
      </c>
      <c r="E231" s="77" t="inlineStr">
        <is>
          <t>BSUoS (demand-only from 04/2023)</t>
        </is>
      </c>
      <c r="F231" s="77" t="inlineStr">
        <is>
          <t>4 System services &amp; balancing</t>
        </is>
      </c>
      <c r="G231" s="77" t="inlineStr">
        <is>
          <t>balancing charge</t>
        </is>
      </c>
      <c r="H231" s="77" t="inlineStr">
        <is>
          <t>i (post-NCC relief)</t>
        </is>
      </c>
      <c r="I231" s="77">
        <f>IF(ISNUMBER(N231),N231*fx_deflator!$I$17*fx_deflator!$M$17,"")</f>
        <v/>
      </c>
      <c r="J231" s="77" t="inlineStr">
        <is>
          <t>NESO bsuos-fixed-tariffs + HH RF settlement files (own annual avg 2010-22)</t>
        </is>
      </c>
      <c r="K231" s="77" t="inlineStr">
        <is>
          <t>stage4_uk r28-30</t>
        </is>
      </c>
      <c r="L231" s="77" t="inlineStr">
        <is>
          <t>2026-07-15</t>
        </is>
      </c>
      <c r="M231" s="77" t="inlineStr">
        <is>
          <t>Y</t>
        </is>
      </c>
      <c r="N231" s="77">
        <f>IF(ISNUMBER(timeseries!P8),timeseries!P8*(1-IF(ISNUMBER(stage4_uk!P48),stage4_uk!P48,0)),"")</f>
        <v/>
      </c>
      <c r="O231" s="77" t="inlineStr">
        <is>
          <t>GBP/MWh nominal</t>
        </is>
      </c>
    </row>
    <row r="232" ht="15" customHeight="1" s="78">
      <c r="A232" s="77" t="inlineStr">
        <is>
          <t>UK</t>
        </is>
      </c>
      <c r="B232" s="77" t="n">
        <v>2022</v>
      </c>
      <c r="C232" s="77" t="inlineStr">
        <is>
          <t>large</t>
        </is>
      </c>
      <c r="D232" s="77" t="inlineStr">
        <is>
          <t>E2</t>
        </is>
      </c>
      <c r="E232" s="77" t="inlineStr">
        <is>
          <t>AAHEDC</t>
        </is>
      </c>
      <c r="F232" s="77" t="inlineStr">
        <is>
          <t>3 Network</t>
        </is>
      </c>
      <c r="G232" s="77" t="inlineStr">
        <is>
          <t>network levy (hydro benefit)</t>
        </is>
      </c>
      <c r="H232" s="77" t="inlineStr">
        <is>
          <t>ii (pays cross-subsidy to N Scotland consumers)</t>
        </is>
      </c>
      <c r="I232" s="77">
        <f>IF(ISNUMBER(N232),N232*fx_deflator!$I$17*fx_deflator!$M$17,"")</f>
        <v/>
      </c>
      <c r="J232" s="77" t="inlineStr">
        <is>
          <t>NG/ESO AAHEDC charging statements &amp; final tariff letters</t>
        </is>
      </c>
      <c r="K232" s="77" t="inlineStr">
        <is>
          <t>stage4_uk r31</t>
        </is>
      </c>
      <c r="L232" s="77" t="inlineStr">
        <is>
          <t>2026-07-15</t>
        </is>
      </c>
      <c r="M232" s="77" t="inlineStr">
        <is>
          <t>N</t>
        </is>
      </c>
      <c r="N232" s="136">
        <f>IF(ISNUMBER(timeseries!P9),timeseries!P9,"")</f>
        <v/>
      </c>
      <c r="O232" s="77" t="inlineStr">
        <is>
          <t>GBP/MWh nominal</t>
        </is>
      </c>
      <c r="P232" s="77" t="inlineStr">
        <is>
          <t>not in NCC base (conservative, unverified)</t>
        </is>
      </c>
    </row>
    <row r="233" ht="15" customHeight="1" s="78">
      <c r="A233" s="77" t="inlineStr">
        <is>
          <t>UK</t>
        </is>
      </c>
      <c r="B233" s="77" t="n">
        <v>2022</v>
      </c>
      <c r="C233" s="77" t="inlineStr">
        <is>
          <t>large</t>
        </is>
      </c>
      <c r="D233" s="77" t="inlineStr">
        <is>
          <t>E2</t>
        </is>
      </c>
      <c r="E233" s="77" t="inlineStr">
        <is>
          <t>RO (buy-out x obligation)</t>
        </is>
      </c>
      <c r="F233" s="77" t="inlineStr">
        <is>
          <t>2 Gen capital recovery</t>
        </is>
      </c>
      <c r="G233" s="77" t="inlineStr">
        <is>
          <t>renewables levy</t>
        </is>
      </c>
      <c r="H233" s="77" t="inlineStr">
        <is>
          <t>i</t>
        </is>
      </c>
      <c r="I233" s="77">
        <f>IF(ISNUMBER(N233),N233*fx_deflator!$I$17*fx_deflator!$M$17,"")</f>
        <v/>
      </c>
      <c r="J233" s="77" t="inlineStr">
        <is>
          <t>Ofgem RO guidance OFG1164 Table 1.1 (buy-out x obligation)</t>
        </is>
      </c>
      <c r="K233" s="77" t="inlineStr">
        <is>
          <t>stage4_uk r12-14</t>
        </is>
      </c>
      <c r="L233" s="77" t="inlineStr">
        <is>
          <t>2026-07-15</t>
        </is>
      </c>
      <c r="M233" s="77" t="inlineStr">
        <is>
          <t>Y</t>
        </is>
      </c>
      <c r="N233" s="77">
        <f>IF(ISNUMBER(timeseries!P10),timeseries!P10*(1-IF(ISNUMBER(stage4_uk!P45),stage4_uk!P45,0)),"")</f>
        <v/>
      </c>
      <c r="O233" s="77" t="inlineStr">
        <is>
          <t>GBP/MWh nominal</t>
        </is>
      </c>
    </row>
    <row r="234" ht="15" customHeight="1" s="78">
      <c r="A234" s="77" t="inlineStr">
        <is>
          <t>UK</t>
        </is>
      </c>
      <c r="B234" s="77" t="n">
        <v>2022</v>
      </c>
      <c r="C234" s="77" t="inlineStr">
        <is>
          <t>large</t>
        </is>
      </c>
      <c r="D234" s="77" t="inlineStr">
        <is>
          <t>E2</t>
        </is>
      </c>
      <c r="E234" s="77" t="inlineStr">
        <is>
          <t>CfD Interim Levy Rate (annual avg)</t>
        </is>
      </c>
      <c r="F234" s="77" t="inlineStr">
        <is>
          <t>2 Gen capital recovery</t>
        </is>
      </c>
      <c r="G234" s="77" t="inlineStr">
        <is>
          <t>renewables levy</t>
        </is>
      </c>
      <c r="H234" s="77" t="inlineStr">
        <is>
          <t>i</t>
        </is>
      </c>
      <c r="I234" s="77">
        <f>IF(ISNUMBER(N234),N234*fx_deflator!$I$17*fx_deflator!$M$17,"")</f>
        <v/>
      </c>
      <c r="J234" s="77" t="inlineStr">
        <is>
          <t>LCCC Actual ILR Income dataset (quarterly avg)</t>
        </is>
      </c>
      <c r="K234" s="77" t="inlineStr">
        <is>
          <t>stage4_uk r15-19</t>
        </is>
      </c>
      <c r="L234" s="77" t="inlineStr">
        <is>
          <t>2026-07-15</t>
        </is>
      </c>
      <c r="M234" s="77" t="inlineStr">
        <is>
          <t>Y</t>
        </is>
      </c>
      <c r="N234" s="77">
        <f>IF(ISNUMBER(timeseries!P11),timeseries!P11*(1-IF(ISNUMBER(stage4_uk!P44),stage4_uk!P44,0)),"")</f>
        <v/>
      </c>
      <c r="O234" s="77" t="inlineStr">
        <is>
          <t>GBP/MWh nominal</t>
        </is>
      </c>
    </row>
    <row r="235" ht="15" customHeight="1" s="78">
      <c r="A235" s="77" t="inlineStr">
        <is>
          <t>UK</t>
        </is>
      </c>
      <c r="B235" s="77" t="n">
        <v>2022</v>
      </c>
      <c r="C235" s="77" t="inlineStr">
        <is>
          <t>large</t>
        </is>
      </c>
      <c r="D235" s="77" t="inlineStr">
        <is>
          <t>E2</t>
        </is>
      </c>
      <c r="E235" s="77" t="inlineStr">
        <is>
          <t>FiT levelisation</t>
        </is>
      </c>
      <c r="F235" s="77" t="inlineStr">
        <is>
          <t>2 Gen capital recovery</t>
        </is>
      </c>
      <c r="G235" s="77" t="inlineStr">
        <is>
          <t>renewables levy</t>
        </is>
      </c>
      <c r="H235" s="77" t="inlineStr">
        <is>
          <t>i</t>
        </is>
      </c>
      <c r="I235" s="77">
        <f>IF(ISNUMBER(N235),N235*fx_deflator!$I$17*fx_deflator!$M$17,"")</f>
        <v/>
      </c>
      <c r="J235" s="77" t="inlineStr">
        <is>
          <t>Ofgem FIT Annual Reports SY1-SY15; D27 for 2010-14</t>
        </is>
      </c>
      <c r="K235" s="77" t="inlineStr">
        <is>
          <t>stage4_uk r20</t>
        </is>
      </c>
      <c r="L235" s="77" t="inlineStr">
        <is>
          <t>2026-07-15</t>
        </is>
      </c>
      <c r="M235" s="77" t="inlineStr">
        <is>
          <t>Y</t>
        </is>
      </c>
      <c r="N235" s="77">
        <f>IF(ISNUMBER(timeseries!P12),timeseries!P12*(1-IF(ISNUMBER(stage4_uk!P46),stage4_uk!P46,0)),"")</f>
        <v/>
      </c>
      <c r="O235" s="77" t="inlineStr">
        <is>
          <t>GBP/MWh nominal</t>
        </is>
      </c>
      <c r="P235" s="77" t="inlineStr">
        <is>
          <t>2025 unpublished (Q32) — row absent, gap stated</t>
        </is>
      </c>
    </row>
    <row r="236" ht="15" customHeight="1" s="78">
      <c r="A236" s="77" t="inlineStr">
        <is>
          <t>UK</t>
        </is>
      </c>
      <c r="B236" s="77" t="n">
        <v>2022</v>
      </c>
      <c r="C236" s="77" t="inlineStr">
        <is>
          <t>large</t>
        </is>
      </c>
      <c r="D236" s="77" t="inlineStr">
        <is>
          <t>E2</t>
        </is>
      </c>
      <c r="E236" s="77" t="inlineStr">
        <is>
          <t>Capacity Market (derived per-MWh)</t>
        </is>
      </c>
      <c r="F236" s="77" t="inlineStr">
        <is>
          <t>2 Gen capital recovery</t>
        </is>
      </c>
      <c r="G236" s="77" t="inlineStr">
        <is>
          <t>capacity market levy</t>
        </is>
      </c>
      <c r="H236" s="77" t="inlineStr">
        <is>
          <t>i</t>
        </is>
      </c>
      <c r="I236" s="77">
        <f>IF(ISNUMBER(N236),N236*fx_deflator!$I$17*fx_deflator!$M$17,"")</f>
        <v/>
      </c>
      <c r="J236" s="77" t="inlineStr">
        <is>
          <t>EMRS Key Figures for Payments (derived per-MWh, D30)</t>
        </is>
      </c>
      <c r="K236" s="77" t="inlineStr">
        <is>
          <t>stage4_uk r21</t>
        </is>
      </c>
      <c r="L236" s="77" t="inlineStr">
        <is>
          <t>2026-07-15</t>
        </is>
      </c>
      <c r="M236" s="77" t="inlineStr">
        <is>
          <t>Y</t>
        </is>
      </c>
      <c r="N236" s="77">
        <f>IF(ISNUMBER(timeseries!P13),timeseries!P13*(1-IF(ISNUMBER(stage4_uk!P47),stage4_uk!P47,0)),"")</f>
        <v/>
      </c>
      <c r="O236" s="77" t="inlineStr">
        <is>
          <t>GBP/MWh nominal</t>
        </is>
      </c>
      <c r="P236" s="77" t="inlineStr">
        <is>
          <t>function 2 per D9</t>
        </is>
      </c>
    </row>
    <row r="237" ht="15" customHeight="1" s="78">
      <c r="A237" s="77" t="inlineStr">
        <is>
          <t>UK</t>
        </is>
      </c>
      <c r="B237" s="77" t="n">
        <v>2022</v>
      </c>
      <c r="C237" s="77" t="inlineStr">
        <is>
          <t>large</t>
        </is>
      </c>
      <c r="D237" s="77" t="inlineStr">
        <is>
          <t>E2</t>
        </is>
      </c>
      <c r="E237" s="77" t="inlineStr">
        <is>
          <t>CCL — EXEMPT for the relieved case (mineralogical/metallurgical, HMRC CCL1/3 s3.14; D71)</t>
        </is>
      </c>
      <c r="F237" s="77" t="inlineStr">
        <is>
          <t>5 General taxation &amp; levies</t>
        </is>
      </c>
      <c r="G237" s="77" t="inlineStr">
        <is>
          <t>climate levy (tax)</t>
        </is>
      </c>
      <c r="H237" s="77" t="inlineStr">
        <is>
          <t>i</t>
        </is>
      </c>
      <c r="I237" s="77">
        <f>IF(ISNUMBER(N237),N237*fx_deflator!$I$17*fx_deflator!$M$17,"")</f>
        <v/>
      </c>
      <c r="J237" s="77" t="inlineStr">
        <is>
          <t>HMRC Excise Notice CCL1/3 s3.14 + Annex A (exemption from 01.04.2014). S209</t>
        </is>
      </c>
      <c r="K237" s="77" t="inlineStr">
        <is>
          <t>stage4_uk r22</t>
        </is>
      </c>
      <c r="L237" s="77" t="inlineStr">
        <is>
          <t>2026-07-15</t>
        </is>
      </c>
      <c r="M237" s="77" t="inlineStr">
        <is>
          <t>N</t>
        </is>
      </c>
      <c r="N237" s="136">
        <f>IF(ISNUMBER(timeseries!P14),0,"")</f>
        <v/>
      </c>
      <c r="O237" s="77" t="inlineStr">
        <is>
          <t>GBP/MWh nominal</t>
        </is>
      </c>
    </row>
    <row r="238" ht="15" customHeight="1" s="78">
      <c r="A238" s="77" t="inlineStr">
        <is>
          <t>UK</t>
        </is>
      </c>
      <c r="B238" s="77" t="n">
        <v>2023</v>
      </c>
      <c r="C238" s="77" t="inlineStr">
        <is>
          <t>large</t>
        </is>
      </c>
      <c r="D238" s="77" t="inlineStr">
        <is>
          <t>E2</t>
        </is>
      </c>
      <c r="E238" s="77" t="inlineStr">
        <is>
          <t>Wholesale (rolling year-ahead baseload; DA proxy &lt;=2021)</t>
        </is>
      </c>
      <c r="F238" s="77" t="inlineStr">
        <is>
          <t>1 Commodity</t>
        </is>
      </c>
      <c r="G238" s="77" t="inlineStr">
        <is>
          <t>wholesale market</t>
        </is>
      </c>
      <c r="H238" s="77" t="inlineStr">
        <is>
          <t>i</t>
        </is>
      </c>
      <c r="I238" s="77">
        <f>IF(ISNUMBER(N238),N238*fx_deflator!$I$18*fx_deflator!$M$18,"")</f>
        <v/>
      </c>
      <c r="J238" s="77" t="inlineStr">
        <is>
          <t>Ofgem data portal — DA baseload monthly avg (proxy &lt;=2021, D22); Forward Delivery Contracts (D21)</t>
        </is>
      </c>
      <c r="K238" s="77" t="inlineStr">
        <is>
          <t>stage4_uk r7-9</t>
        </is>
      </c>
      <c r="L238" s="77" t="inlineStr">
        <is>
          <t>2026-07-15</t>
        </is>
      </c>
      <c r="M238" s="77" t="inlineStr">
        <is>
          <t>Y</t>
        </is>
      </c>
      <c r="N238" s="136">
        <f>IF(ISNUMBER(timeseries!Q6),timeseries!Q6,"")</f>
        <v/>
      </c>
      <c r="O238" s="77" t="inlineStr">
        <is>
          <t>GBP/MWh nominal</t>
        </is>
      </c>
      <c r="P238" s="77" t="inlineStr">
        <is>
          <t>identical E1/E2; embedded carbon memo inside this item</t>
        </is>
      </c>
    </row>
    <row r="239" ht="15" customHeight="1" s="78">
      <c r="A239" s="77" t="inlineStr">
        <is>
          <t>UK</t>
        </is>
      </c>
      <c r="B239" s="77" t="n">
        <v>2023</v>
      </c>
      <c r="C239" s="77" t="inlineStr">
        <is>
          <t>large</t>
        </is>
      </c>
      <c r="D239" s="77" t="inlineStr">
        <is>
          <t>E2</t>
        </is>
      </c>
      <c r="E239" s="77" t="inlineStr">
        <is>
          <t>TNUoS demand (zone 5; TCR banded residual from 2023)</t>
        </is>
      </c>
      <c r="F239" s="77" t="inlineStr">
        <is>
          <t>3 Network</t>
        </is>
      </c>
      <c r="G239" s="77" t="inlineStr">
        <is>
          <t>transmission network charge</t>
        </is>
      </c>
      <c r="H239" s="77" t="inlineStr">
        <is>
          <t>i (post-NCC relief; relief funded via ESL = ii instrument)</t>
        </is>
      </c>
      <c r="I239" s="77">
        <f>IF(ISNUMBER(N239),N239*fx_deflator!$I$18*fx_deflator!$M$18,"")</f>
        <v/>
      </c>
      <c r="J239" s="77" t="inlineStr">
        <is>
          <t>NESO TNUoS tariff documents (compendium doc 50736; Final TNUoS 2023/24-2026/27 Table 10)</t>
        </is>
      </c>
      <c r="K239" s="77" t="inlineStr">
        <is>
          <t>stage4_uk r25-27</t>
        </is>
      </c>
      <c r="L239" s="77" t="inlineStr">
        <is>
          <t>2026-07-15</t>
        </is>
      </c>
      <c r="M239" s="77" t="inlineStr">
        <is>
          <t>Y</t>
        </is>
      </c>
      <c r="N239" s="77">
        <f>IF(ISNUMBER(timeseries!Q7),timeseries!Q7*(1-IF(ISNUMBER(stage4_uk!Q48),stage4_uk!Q48,0)),"")</f>
        <v/>
      </c>
      <c r="O239" s="77" t="inlineStr">
        <is>
          <t>GBP/MWh nominal</t>
        </is>
      </c>
    </row>
    <row r="240" ht="15" customHeight="1" s="78">
      <c r="A240" s="77" t="inlineStr">
        <is>
          <t>UK</t>
        </is>
      </c>
      <c r="B240" s="77" t="n">
        <v>2023</v>
      </c>
      <c r="C240" s="77" t="inlineStr">
        <is>
          <t>large</t>
        </is>
      </c>
      <c r="D240" s="77" t="inlineStr">
        <is>
          <t>E2</t>
        </is>
      </c>
      <c r="E240" s="77" t="inlineStr">
        <is>
          <t>BSUoS (demand-only from 04/2023)</t>
        </is>
      </c>
      <c r="F240" s="77" t="inlineStr">
        <is>
          <t>4 System services &amp; balancing</t>
        </is>
      </c>
      <c r="G240" s="77" t="inlineStr">
        <is>
          <t>balancing charge</t>
        </is>
      </c>
      <c r="H240" s="77" t="inlineStr">
        <is>
          <t>i (post-NCC relief)</t>
        </is>
      </c>
      <c r="I240" s="77">
        <f>IF(ISNUMBER(N240),N240*fx_deflator!$I$18*fx_deflator!$M$18,"")</f>
        <v/>
      </c>
      <c r="J240" s="77" t="inlineStr">
        <is>
          <t>NESO bsuos-fixed-tariffs + HH RF settlement files (own annual avg 2010-22)</t>
        </is>
      </c>
      <c r="K240" s="77" t="inlineStr">
        <is>
          <t>stage4_uk r28-30</t>
        </is>
      </c>
      <c r="L240" s="77" t="inlineStr">
        <is>
          <t>2026-07-15</t>
        </is>
      </c>
      <c r="M240" s="77" t="inlineStr">
        <is>
          <t>Y</t>
        </is>
      </c>
      <c r="N240" s="77">
        <f>IF(ISNUMBER(timeseries!Q8),timeseries!Q8*(1-IF(ISNUMBER(stage4_uk!Q48),stage4_uk!Q48,0)),"")</f>
        <v/>
      </c>
      <c r="O240" s="77" t="inlineStr">
        <is>
          <t>GBP/MWh nominal</t>
        </is>
      </c>
    </row>
    <row r="241" ht="15" customHeight="1" s="78">
      <c r="A241" s="77" t="inlineStr">
        <is>
          <t>UK</t>
        </is>
      </c>
      <c r="B241" s="77" t="n">
        <v>2023</v>
      </c>
      <c r="C241" s="77" t="inlineStr">
        <is>
          <t>large</t>
        </is>
      </c>
      <c r="D241" s="77" t="inlineStr">
        <is>
          <t>E2</t>
        </is>
      </c>
      <c r="E241" s="77" t="inlineStr">
        <is>
          <t>AAHEDC</t>
        </is>
      </c>
      <c r="F241" s="77" t="inlineStr">
        <is>
          <t>3 Network</t>
        </is>
      </c>
      <c r="G241" s="77" t="inlineStr">
        <is>
          <t>network levy (hydro benefit)</t>
        </is>
      </c>
      <c r="H241" s="77" t="inlineStr">
        <is>
          <t>ii (pays cross-subsidy to N Scotland consumers)</t>
        </is>
      </c>
      <c r="I241" s="77">
        <f>IF(ISNUMBER(N241),N241*fx_deflator!$I$18*fx_deflator!$M$18,"")</f>
        <v/>
      </c>
      <c r="J241" s="77" t="inlineStr">
        <is>
          <t>NG/ESO AAHEDC charging statements &amp; final tariff letters</t>
        </is>
      </c>
      <c r="K241" s="77" t="inlineStr">
        <is>
          <t>stage4_uk r31</t>
        </is>
      </c>
      <c r="L241" s="77" t="inlineStr">
        <is>
          <t>2026-07-15</t>
        </is>
      </c>
      <c r="M241" s="77" t="inlineStr">
        <is>
          <t>N</t>
        </is>
      </c>
      <c r="N241" s="136">
        <f>IF(ISNUMBER(timeseries!Q9),timeseries!Q9,"")</f>
        <v/>
      </c>
      <c r="O241" s="77" t="inlineStr">
        <is>
          <t>GBP/MWh nominal</t>
        </is>
      </c>
      <c r="P241" s="77" t="inlineStr">
        <is>
          <t>not in NCC base (conservative, unverified)</t>
        </is>
      </c>
    </row>
    <row r="242" ht="15" customHeight="1" s="78">
      <c r="A242" s="77" t="inlineStr">
        <is>
          <t>UK</t>
        </is>
      </c>
      <c r="B242" s="77" t="n">
        <v>2023</v>
      </c>
      <c r="C242" s="77" t="inlineStr">
        <is>
          <t>large</t>
        </is>
      </c>
      <c r="D242" s="77" t="inlineStr">
        <is>
          <t>E2</t>
        </is>
      </c>
      <c r="E242" s="77" t="inlineStr">
        <is>
          <t>RO (buy-out x obligation)</t>
        </is>
      </c>
      <c r="F242" s="77" t="inlineStr">
        <is>
          <t>2 Gen capital recovery</t>
        </is>
      </c>
      <c r="G242" s="77" t="inlineStr">
        <is>
          <t>renewables levy</t>
        </is>
      </c>
      <c r="H242" s="77" t="inlineStr">
        <is>
          <t>i</t>
        </is>
      </c>
      <c r="I242" s="77">
        <f>IF(ISNUMBER(N242),N242*fx_deflator!$I$18*fx_deflator!$M$18,"")</f>
        <v/>
      </c>
      <c r="J242" s="77" t="inlineStr">
        <is>
          <t>Ofgem RO guidance OFG1164 Table 1.1 (buy-out x obligation)</t>
        </is>
      </c>
      <c r="K242" s="77" t="inlineStr">
        <is>
          <t>stage4_uk r12-14</t>
        </is>
      </c>
      <c r="L242" s="77" t="inlineStr">
        <is>
          <t>2026-07-15</t>
        </is>
      </c>
      <c r="M242" s="77" t="inlineStr">
        <is>
          <t>Y</t>
        </is>
      </c>
      <c r="N242" s="77">
        <f>IF(ISNUMBER(timeseries!Q10),timeseries!Q10*(1-IF(ISNUMBER(stage4_uk!Q45),stage4_uk!Q45,0)),"")</f>
        <v/>
      </c>
      <c r="O242" s="77" t="inlineStr">
        <is>
          <t>GBP/MWh nominal</t>
        </is>
      </c>
    </row>
    <row r="243" ht="15" customHeight="1" s="78">
      <c r="A243" s="77" t="inlineStr">
        <is>
          <t>UK</t>
        </is>
      </c>
      <c r="B243" s="77" t="n">
        <v>2023</v>
      </c>
      <c r="C243" s="77" t="inlineStr">
        <is>
          <t>large</t>
        </is>
      </c>
      <c r="D243" s="77" t="inlineStr">
        <is>
          <t>E2</t>
        </is>
      </c>
      <c r="E243" s="77" t="inlineStr">
        <is>
          <t>CfD Interim Levy Rate (annual avg)</t>
        </is>
      </c>
      <c r="F243" s="77" t="inlineStr">
        <is>
          <t>2 Gen capital recovery</t>
        </is>
      </c>
      <c r="G243" s="77" t="inlineStr">
        <is>
          <t>renewables levy</t>
        </is>
      </c>
      <c r="H243" s="77" t="inlineStr">
        <is>
          <t>i</t>
        </is>
      </c>
      <c r="I243" s="77">
        <f>IF(ISNUMBER(N243),N243*fx_deflator!$I$18*fx_deflator!$M$18,"")</f>
        <v/>
      </c>
      <c r="J243" s="77" t="inlineStr">
        <is>
          <t>LCCC Actual ILR Income dataset (quarterly avg)</t>
        </is>
      </c>
      <c r="K243" s="77" t="inlineStr">
        <is>
          <t>stage4_uk r15-19</t>
        </is>
      </c>
      <c r="L243" s="77" t="inlineStr">
        <is>
          <t>2026-07-15</t>
        </is>
      </c>
      <c r="M243" s="77" t="inlineStr">
        <is>
          <t>Y</t>
        </is>
      </c>
      <c r="N243" s="77">
        <f>IF(ISNUMBER(timeseries!Q11),timeseries!Q11*(1-IF(ISNUMBER(stage4_uk!Q44),stage4_uk!Q44,0)),"")</f>
        <v/>
      </c>
      <c r="O243" s="77" t="inlineStr">
        <is>
          <t>GBP/MWh nominal</t>
        </is>
      </c>
    </row>
    <row r="244" ht="15" customHeight="1" s="78">
      <c r="A244" s="77" t="inlineStr">
        <is>
          <t>UK</t>
        </is>
      </c>
      <c r="B244" s="77" t="n">
        <v>2023</v>
      </c>
      <c r="C244" s="77" t="inlineStr">
        <is>
          <t>large</t>
        </is>
      </c>
      <c r="D244" s="77" t="inlineStr">
        <is>
          <t>E2</t>
        </is>
      </c>
      <c r="E244" s="77" t="inlineStr">
        <is>
          <t>FiT levelisation</t>
        </is>
      </c>
      <c r="F244" s="77" t="inlineStr">
        <is>
          <t>2 Gen capital recovery</t>
        </is>
      </c>
      <c r="G244" s="77" t="inlineStr">
        <is>
          <t>renewables levy</t>
        </is>
      </c>
      <c r="H244" s="77" t="inlineStr">
        <is>
          <t>i</t>
        </is>
      </c>
      <c r="I244" s="77">
        <f>IF(ISNUMBER(N244),N244*fx_deflator!$I$18*fx_deflator!$M$18,"")</f>
        <v/>
      </c>
      <c r="J244" s="77" t="inlineStr">
        <is>
          <t>Ofgem FIT Annual Reports SY1-SY15; D27 for 2010-14</t>
        </is>
      </c>
      <c r="K244" s="77" t="inlineStr">
        <is>
          <t>stage4_uk r20</t>
        </is>
      </c>
      <c r="L244" s="77" t="inlineStr">
        <is>
          <t>2026-07-15</t>
        </is>
      </c>
      <c r="M244" s="77" t="inlineStr">
        <is>
          <t>Y</t>
        </is>
      </c>
      <c r="N244" s="77">
        <f>IF(ISNUMBER(timeseries!Q12),timeseries!Q12*(1-IF(ISNUMBER(stage4_uk!Q46),stage4_uk!Q46,0)),"")</f>
        <v/>
      </c>
      <c r="O244" s="77" t="inlineStr">
        <is>
          <t>GBP/MWh nominal</t>
        </is>
      </c>
      <c r="P244" s="77" t="inlineStr">
        <is>
          <t>2025 unpublished (Q32) — row absent, gap stated</t>
        </is>
      </c>
    </row>
    <row r="245" ht="15" customHeight="1" s="78">
      <c r="A245" s="77" t="inlineStr">
        <is>
          <t>UK</t>
        </is>
      </c>
      <c r="B245" s="77" t="n">
        <v>2023</v>
      </c>
      <c r="C245" s="77" t="inlineStr">
        <is>
          <t>large</t>
        </is>
      </c>
      <c r="D245" s="77" t="inlineStr">
        <is>
          <t>E2</t>
        </is>
      </c>
      <c r="E245" s="77" t="inlineStr">
        <is>
          <t>Capacity Market (derived per-MWh)</t>
        </is>
      </c>
      <c r="F245" s="77" t="inlineStr">
        <is>
          <t>2 Gen capital recovery</t>
        </is>
      </c>
      <c r="G245" s="77" t="inlineStr">
        <is>
          <t>capacity market levy</t>
        </is>
      </c>
      <c r="H245" s="77" t="inlineStr">
        <is>
          <t>i</t>
        </is>
      </c>
      <c r="I245" s="77">
        <f>IF(ISNUMBER(N245),N245*fx_deflator!$I$18*fx_deflator!$M$18,"")</f>
        <v/>
      </c>
      <c r="J245" s="77" t="inlineStr">
        <is>
          <t>EMRS Key Figures for Payments (derived per-MWh, D30)</t>
        </is>
      </c>
      <c r="K245" s="77" t="inlineStr">
        <is>
          <t>stage4_uk r21</t>
        </is>
      </c>
      <c r="L245" s="77" t="inlineStr">
        <is>
          <t>2026-07-15</t>
        </is>
      </c>
      <c r="M245" s="77" t="inlineStr">
        <is>
          <t>Y</t>
        </is>
      </c>
      <c r="N245" s="77">
        <f>IF(ISNUMBER(timeseries!Q13),timeseries!Q13*(1-IF(ISNUMBER(stage4_uk!Q47),stage4_uk!Q47,0)),"")</f>
        <v/>
      </c>
      <c r="O245" s="77" t="inlineStr">
        <is>
          <t>GBP/MWh nominal</t>
        </is>
      </c>
      <c r="P245" s="77" t="inlineStr">
        <is>
          <t>function 2 per D9</t>
        </is>
      </c>
    </row>
    <row r="246" ht="15" customHeight="1" s="78">
      <c r="A246" s="77" t="inlineStr">
        <is>
          <t>UK</t>
        </is>
      </c>
      <c r="B246" s="77" t="n">
        <v>2023</v>
      </c>
      <c r="C246" s="77" t="inlineStr">
        <is>
          <t>large</t>
        </is>
      </c>
      <c r="D246" s="77" t="inlineStr">
        <is>
          <t>E2</t>
        </is>
      </c>
      <c r="E246" s="77" t="inlineStr">
        <is>
          <t>CCL — EXEMPT for the relieved case (mineralogical/metallurgical, HMRC CCL1/3 s3.14; D71)</t>
        </is>
      </c>
      <c r="F246" s="77" t="inlineStr">
        <is>
          <t>5 General taxation &amp; levies</t>
        </is>
      </c>
      <c r="G246" s="77" t="inlineStr">
        <is>
          <t>climate levy (tax)</t>
        </is>
      </c>
      <c r="H246" s="77" t="inlineStr">
        <is>
          <t>i</t>
        </is>
      </c>
      <c r="I246" s="77">
        <f>IF(ISNUMBER(N246),N246*fx_deflator!$I$18*fx_deflator!$M$18,"")</f>
        <v/>
      </c>
      <c r="J246" s="77" t="inlineStr">
        <is>
          <t>HMRC Excise Notice CCL1/3 s3.14 + Annex A (exemption from 01.04.2014). S209</t>
        </is>
      </c>
      <c r="K246" s="77" t="inlineStr">
        <is>
          <t>stage4_uk r22</t>
        </is>
      </c>
      <c r="L246" s="77" t="inlineStr">
        <is>
          <t>2026-07-15</t>
        </is>
      </c>
      <c r="M246" s="77" t="inlineStr">
        <is>
          <t>N</t>
        </is>
      </c>
      <c r="N246" s="136">
        <f>IF(ISNUMBER(timeseries!Q14),0,"")</f>
        <v/>
      </c>
      <c r="O246" s="77" t="inlineStr">
        <is>
          <t>GBP/MWh nominal</t>
        </is>
      </c>
    </row>
    <row r="247" ht="15" customHeight="1" s="78">
      <c r="A247" s="77" t="inlineStr">
        <is>
          <t>UK</t>
        </is>
      </c>
      <c r="B247" s="77" t="n">
        <v>2024</v>
      </c>
      <c r="C247" s="77" t="inlineStr">
        <is>
          <t>large</t>
        </is>
      </c>
      <c r="D247" s="77" t="inlineStr">
        <is>
          <t>E2</t>
        </is>
      </c>
      <c r="E247" s="77" t="inlineStr">
        <is>
          <t>Wholesale (rolling year-ahead baseload; DA proxy &lt;=2021)</t>
        </is>
      </c>
      <c r="F247" s="77" t="inlineStr">
        <is>
          <t>1 Commodity</t>
        </is>
      </c>
      <c r="G247" s="77" t="inlineStr">
        <is>
          <t>wholesale market</t>
        </is>
      </c>
      <c r="H247" s="77" t="inlineStr">
        <is>
          <t>i</t>
        </is>
      </c>
      <c r="I247" s="77">
        <f>IF(ISNUMBER(N247),N247*fx_deflator!$I$19*fx_deflator!$M$19,"")</f>
        <v/>
      </c>
      <c r="J247" s="77" t="inlineStr">
        <is>
          <t>Ofgem data portal — DA baseload monthly avg (proxy &lt;=2021, D22); Forward Delivery Contracts (D21)</t>
        </is>
      </c>
      <c r="K247" s="77" t="inlineStr">
        <is>
          <t>stage4_uk r7-9</t>
        </is>
      </c>
      <c r="L247" s="77" t="inlineStr">
        <is>
          <t>2026-07-15</t>
        </is>
      </c>
      <c r="M247" s="77" t="inlineStr">
        <is>
          <t>Y</t>
        </is>
      </c>
      <c r="N247" s="136">
        <f>IF(ISNUMBER(timeseries!R6),timeseries!R6,"")</f>
        <v/>
      </c>
      <c r="O247" s="77" t="inlineStr">
        <is>
          <t>GBP/MWh nominal</t>
        </is>
      </c>
      <c r="P247" s="77" t="inlineStr">
        <is>
          <t>identical E1/E2; embedded carbon memo inside this item</t>
        </is>
      </c>
    </row>
    <row r="248" ht="15" customHeight="1" s="78">
      <c r="A248" s="77" t="inlineStr">
        <is>
          <t>UK</t>
        </is>
      </c>
      <c r="B248" s="77" t="n">
        <v>2024</v>
      </c>
      <c r="C248" s="77" t="inlineStr">
        <is>
          <t>large</t>
        </is>
      </c>
      <c r="D248" s="77" t="inlineStr">
        <is>
          <t>E2</t>
        </is>
      </c>
      <c r="E248" s="77" t="inlineStr">
        <is>
          <t>TNUoS demand (zone 5; TCR banded residual from 2023)</t>
        </is>
      </c>
      <c r="F248" s="77" t="inlineStr">
        <is>
          <t>3 Network</t>
        </is>
      </c>
      <c r="G248" s="77" t="inlineStr">
        <is>
          <t>transmission network charge</t>
        </is>
      </c>
      <c r="H248" s="77" t="inlineStr">
        <is>
          <t>i (post-NCC relief; relief funded via ESL = ii instrument)</t>
        </is>
      </c>
      <c r="I248" s="77">
        <f>IF(ISNUMBER(N248),N248*fx_deflator!$I$19*fx_deflator!$M$19,"")</f>
        <v/>
      </c>
      <c r="J248" s="77" t="inlineStr">
        <is>
          <t>NESO TNUoS tariff documents (compendium doc 50736; Final TNUoS 2023/24-2026/27 Table 10)</t>
        </is>
      </c>
      <c r="K248" s="77" t="inlineStr">
        <is>
          <t>stage4_uk r25-27</t>
        </is>
      </c>
      <c r="L248" s="77" t="inlineStr">
        <is>
          <t>2026-07-15</t>
        </is>
      </c>
      <c r="M248" s="77" t="inlineStr">
        <is>
          <t>Y</t>
        </is>
      </c>
      <c r="N248" s="77">
        <f>IF(ISNUMBER(timeseries!R7),timeseries!R7*(1-IF(ISNUMBER(stage4_uk!R48),stage4_uk!R48,0)),"")</f>
        <v/>
      </c>
      <c r="O248" s="77" t="inlineStr">
        <is>
          <t>GBP/MWh nominal</t>
        </is>
      </c>
    </row>
    <row r="249" ht="15" customHeight="1" s="78">
      <c r="A249" s="77" t="inlineStr">
        <is>
          <t>UK</t>
        </is>
      </c>
      <c r="B249" s="77" t="n">
        <v>2024</v>
      </c>
      <c r="C249" s="77" t="inlineStr">
        <is>
          <t>large</t>
        </is>
      </c>
      <c r="D249" s="77" t="inlineStr">
        <is>
          <t>E2</t>
        </is>
      </c>
      <c r="E249" s="77" t="inlineStr">
        <is>
          <t>BSUoS (demand-only from 04/2023)</t>
        </is>
      </c>
      <c r="F249" s="77" t="inlineStr">
        <is>
          <t>4 System services &amp; balancing</t>
        </is>
      </c>
      <c r="G249" s="77" t="inlineStr">
        <is>
          <t>balancing charge</t>
        </is>
      </c>
      <c r="H249" s="77" t="inlineStr">
        <is>
          <t>i (post-NCC relief)</t>
        </is>
      </c>
      <c r="I249" s="77">
        <f>IF(ISNUMBER(N249),N249*fx_deflator!$I$19*fx_deflator!$M$19,"")</f>
        <v/>
      </c>
      <c r="J249" s="77" t="inlineStr">
        <is>
          <t>NESO bsuos-fixed-tariffs + HH RF settlement files (own annual avg 2010-22)</t>
        </is>
      </c>
      <c r="K249" s="77" t="inlineStr">
        <is>
          <t>stage4_uk r28-30</t>
        </is>
      </c>
      <c r="L249" s="77" t="inlineStr">
        <is>
          <t>2026-07-15</t>
        </is>
      </c>
      <c r="M249" s="77" t="inlineStr">
        <is>
          <t>Y</t>
        </is>
      </c>
      <c r="N249" s="77">
        <f>IF(ISNUMBER(timeseries!R8),timeseries!R8*(1-IF(ISNUMBER(stage4_uk!R48),stage4_uk!R48,0)),"")</f>
        <v/>
      </c>
      <c r="O249" s="77" t="inlineStr">
        <is>
          <t>GBP/MWh nominal</t>
        </is>
      </c>
    </row>
    <row r="250" ht="15" customHeight="1" s="78">
      <c r="A250" s="77" t="inlineStr">
        <is>
          <t>UK</t>
        </is>
      </c>
      <c r="B250" s="77" t="n">
        <v>2024</v>
      </c>
      <c r="C250" s="77" t="inlineStr">
        <is>
          <t>large</t>
        </is>
      </c>
      <c r="D250" s="77" t="inlineStr">
        <is>
          <t>E2</t>
        </is>
      </c>
      <c r="E250" s="77" t="inlineStr">
        <is>
          <t>AAHEDC</t>
        </is>
      </c>
      <c r="F250" s="77" t="inlineStr">
        <is>
          <t>3 Network</t>
        </is>
      </c>
      <c r="G250" s="77" t="inlineStr">
        <is>
          <t>network levy (hydro benefit)</t>
        </is>
      </c>
      <c r="H250" s="77" t="inlineStr">
        <is>
          <t>ii (pays cross-subsidy to N Scotland consumers)</t>
        </is>
      </c>
      <c r="I250" s="77">
        <f>IF(ISNUMBER(N250),N250*fx_deflator!$I$19*fx_deflator!$M$19,"")</f>
        <v/>
      </c>
      <c r="J250" s="77" t="inlineStr">
        <is>
          <t>NG/ESO AAHEDC charging statements &amp; final tariff letters</t>
        </is>
      </c>
      <c r="K250" s="77" t="inlineStr">
        <is>
          <t>stage4_uk r31</t>
        </is>
      </c>
      <c r="L250" s="77" t="inlineStr">
        <is>
          <t>2026-07-15</t>
        </is>
      </c>
      <c r="M250" s="77" t="inlineStr">
        <is>
          <t>N</t>
        </is>
      </c>
      <c r="N250" s="136">
        <f>IF(ISNUMBER(timeseries!R9),timeseries!R9,"")</f>
        <v/>
      </c>
      <c r="O250" s="77" t="inlineStr">
        <is>
          <t>GBP/MWh nominal</t>
        </is>
      </c>
      <c r="P250" s="77" t="inlineStr">
        <is>
          <t>not in NCC base (conservative, unverified)</t>
        </is>
      </c>
    </row>
    <row r="251" ht="15" customHeight="1" s="78">
      <c r="A251" s="77" t="inlineStr">
        <is>
          <t>UK</t>
        </is>
      </c>
      <c r="B251" s="77" t="n">
        <v>2024</v>
      </c>
      <c r="C251" s="77" t="inlineStr">
        <is>
          <t>large</t>
        </is>
      </c>
      <c r="D251" s="77" t="inlineStr">
        <is>
          <t>E2</t>
        </is>
      </c>
      <c r="E251" s="77" t="inlineStr">
        <is>
          <t>RO (buy-out x obligation)</t>
        </is>
      </c>
      <c r="F251" s="77" t="inlineStr">
        <is>
          <t>2 Gen capital recovery</t>
        </is>
      </c>
      <c r="G251" s="77" t="inlineStr">
        <is>
          <t>renewables levy</t>
        </is>
      </c>
      <c r="H251" s="77" t="inlineStr">
        <is>
          <t>i</t>
        </is>
      </c>
      <c r="I251" s="77">
        <f>IF(ISNUMBER(N251),N251*fx_deflator!$I$19*fx_deflator!$M$19,"")</f>
        <v/>
      </c>
      <c r="J251" s="77" t="inlineStr">
        <is>
          <t>Ofgem RO guidance OFG1164 Table 1.1 (buy-out x obligation)</t>
        </is>
      </c>
      <c r="K251" s="77" t="inlineStr">
        <is>
          <t>stage4_uk r12-14</t>
        </is>
      </c>
      <c r="L251" s="77" t="inlineStr">
        <is>
          <t>2026-07-15</t>
        </is>
      </c>
      <c r="M251" s="77" t="inlineStr">
        <is>
          <t>Y</t>
        </is>
      </c>
      <c r="N251" s="77">
        <f>IF(ISNUMBER(timeseries!R10),timeseries!R10*(1-IF(ISNUMBER(stage4_uk!R45),stage4_uk!R45,0)),"")</f>
        <v/>
      </c>
      <c r="O251" s="77" t="inlineStr">
        <is>
          <t>GBP/MWh nominal</t>
        </is>
      </c>
    </row>
    <row r="252" ht="15" customHeight="1" s="78">
      <c r="A252" s="77" t="inlineStr">
        <is>
          <t>UK</t>
        </is>
      </c>
      <c r="B252" s="77" t="n">
        <v>2024</v>
      </c>
      <c r="C252" s="77" t="inlineStr">
        <is>
          <t>large</t>
        </is>
      </c>
      <c r="D252" s="77" t="inlineStr">
        <is>
          <t>E2</t>
        </is>
      </c>
      <c r="E252" s="77" t="inlineStr">
        <is>
          <t>CfD Interim Levy Rate (annual avg)</t>
        </is>
      </c>
      <c r="F252" s="77" t="inlineStr">
        <is>
          <t>2 Gen capital recovery</t>
        </is>
      </c>
      <c r="G252" s="77" t="inlineStr">
        <is>
          <t>renewables levy</t>
        </is>
      </c>
      <c r="H252" s="77" t="inlineStr">
        <is>
          <t>i</t>
        </is>
      </c>
      <c r="I252" s="77">
        <f>IF(ISNUMBER(N252),N252*fx_deflator!$I$19*fx_deflator!$M$19,"")</f>
        <v/>
      </c>
      <c r="J252" s="77" t="inlineStr">
        <is>
          <t>LCCC Actual ILR Income dataset (quarterly avg)</t>
        </is>
      </c>
      <c r="K252" s="77" t="inlineStr">
        <is>
          <t>stage4_uk r15-19</t>
        </is>
      </c>
      <c r="L252" s="77" t="inlineStr">
        <is>
          <t>2026-07-15</t>
        </is>
      </c>
      <c r="M252" s="77" t="inlineStr">
        <is>
          <t>Y</t>
        </is>
      </c>
      <c r="N252" s="77">
        <f>IF(ISNUMBER(timeseries!R11),timeseries!R11*(1-IF(ISNUMBER(stage4_uk!R44),stage4_uk!R44,0)),"")</f>
        <v/>
      </c>
      <c r="O252" s="77" t="inlineStr">
        <is>
          <t>GBP/MWh nominal</t>
        </is>
      </c>
    </row>
    <row r="253" ht="15" customHeight="1" s="78">
      <c r="A253" s="77" t="inlineStr">
        <is>
          <t>UK</t>
        </is>
      </c>
      <c r="B253" s="77" t="n">
        <v>2024</v>
      </c>
      <c r="C253" s="77" t="inlineStr">
        <is>
          <t>large</t>
        </is>
      </c>
      <c r="D253" s="77" t="inlineStr">
        <is>
          <t>E2</t>
        </is>
      </c>
      <c r="E253" s="77" t="inlineStr">
        <is>
          <t>FiT levelisation</t>
        </is>
      </c>
      <c r="F253" s="77" t="inlineStr">
        <is>
          <t>2 Gen capital recovery</t>
        </is>
      </c>
      <c r="G253" s="77" t="inlineStr">
        <is>
          <t>renewables levy</t>
        </is>
      </c>
      <c r="H253" s="77" t="inlineStr">
        <is>
          <t>i</t>
        </is>
      </c>
      <c r="I253" s="77">
        <f>IF(ISNUMBER(N253),N253*fx_deflator!$I$19*fx_deflator!$M$19,"")</f>
        <v/>
      </c>
      <c r="J253" s="77" t="inlineStr">
        <is>
          <t>Ofgem FIT Annual Reports SY1-SY15; D27 for 2010-14</t>
        </is>
      </c>
      <c r="K253" s="77" t="inlineStr">
        <is>
          <t>stage4_uk r20</t>
        </is>
      </c>
      <c r="L253" s="77" t="inlineStr">
        <is>
          <t>2026-07-15</t>
        </is>
      </c>
      <c r="M253" s="77" t="inlineStr">
        <is>
          <t>Y</t>
        </is>
      </c>
      <c r="N253" s="77">
        <f>IF(ISNUMBER(timeseries!R12),timeseries!R12*(1-IF(ISNUMBER(stage4_uk!R46),stage4_uk!R46,0)),"")</f>
        <v/>
      </c>
      <c r="O253" s="77" t="inlineStr">
        <is>
          <t>GBP/MWh nominal</t>
        </is>
      </c>
      <c r="P253" s="77" t="inlineStr">
        <is>
          <t>2025 unpublished (Q32) — row absent, gap stated</t>
        </is>
      </c>
    </row>
    <row r="254" ht="15" customHeight="1" s="78">
      <c r="A254" s="77" t="inlineStr">
        <is>
          <t>UK</t>
        </is>
      </c>
      <c r="B254" s="77" t="n">
        <v>2024</v>
      </c>
      <c r="C254" s="77" t="inlineStr">
        <is>
          <t>large</t>
        </is>
      </c>
      <c r="D254" s="77" t="inlineStr">
        <is>
          <t>E2</t>
        </is>
      </c>
      <c r="E254" s="77" t="inlineStr">
        <is>
          <t>Capacity Market (derived per-MWh)</t>
        </is>
      </c>
      <c r="F254" s="77" t="inlineStr">
        <is>
          <t>2 Gen capital recovery</t>
        </is>
      </c>
      <c r="G254" s="77" t="inlineStr">
        <is>
          <t>capacity market levy</t>
        </is>
      </c>
      <c r="H254" s="77" t="inlineStr">
        <is>
          <t>i</t>
        </is>
      </c>
      <c r="I254" s="77">
        <f>IF(ISNUMBER(N254),N254*fx_deflator!$I$19*fx_deflator!$M$19,"")</f>
        <v/>
      </c>
      <c r="J254" s="77" t="inlineStr">
        <is>
          <t>EMRS Key Figures for Payments (derived per-MWh, D30)</t>
        </is>
      </c>
      <c r="K254" s="77" t="inlineStr">
        <is>
          <t>stage4_uk r21</t>
        </is>
      </c>
      <c r="L254" s="77" t="inlineStr">
        <is>
          <t>2026-07-15</t>
        </is>
      </c>
      <c r="M254" s="77" t="inlineStr">
        <is>
          <t>Y</t>
        </is>
      </c>
      <c r="N254" s="77">
        <f>IF(ISNUMBER(timeseries!R13),timeseries!R13*(1-IF(ISNUMBER(stage4_uk!R47),stage4_uk!R47,0)),"")</f>
        <v/>
      </c>
      <c r="O254" s="77" t="inlineStr">
        <is>
          <t>GBP/MWh nominal</t>
        </is>
      </c>
      <c r="P254" s="77" t="inlineStr">
        <is>
          <t>function 2 per D9</t>
        </is>
      </c>
    </row>
    <row r="255" ht="15" customHeight="1" s="78">
      <c r="A255" s="77" t="inlineStr">
        <is>
          <t>UK</t>
        </is>
      </c>
      <c r="B255" s="77" t="n">
        <v>2024</v>
      </c>
      <c r="C255" s="77" t="inlineStr">
        <is>
          <t>large</t>
        </is>
      </c>
      <c r="D255" s="77" t="inlineStr">
        <is>
          <t>E2</t>
        </is>
      </c>
      <c r="E255" s="77" t="inlineStr">
        <is>
          <t>CCL — EXEMPT for the relieved case (mineralogical/metallurgical, HMRC CCL1/3 s3.14; D71)</t>
        </is>
      </c>
      <c r="F255" s="77" t="inlineStr">
        <is>
          <t>5 General taxation &amp; levies</t>
        </is>
      </c>
      <c r="G255" s="77" t="inlineStr">
        <is>
          <t>climate levy (tax)</t>
        </is>
      </c>
      <c r="H255" s="77" t="inlineStr">
        <is>
          <t>i</t>
        </is>
      </c>
      <c r="I255" s="77">
        <f>IF(ISNUMBER(N255),N255*fx_deflator!$I$19*fx_deflator!$M$19,"")</f>
        <v/>
      </c>
      <c r="J255" s="77" t="inlineStr">
        <is>
          <t>HMRC Excise Notice CCL1/3 s3.14 + Annex A (exemption from 01.04.2014). S209</t>
        </is>
      </c>
      <c r="K255" s="77" t="inlineStr">
        <is>
          <t>stage4_uk r22</t>
        </is>
      </c>
      <c r="L255" s="77" t="inlineStr">
        <is>
          <t>2026-07-15</t>
        </is>
      </c>
      <c r="M255" s="77" t="inlineStr">
        <is>
          <t>N</t>
        </is>
      </c>
      <c r="N255" s="136">
        <f>IF(ISNUMBER(timeseries!R14),0,"")</f>
        <v/>
      </c>
      <c r="O255" s="77" t="inlineStr">
        <is>
          <t>GBP/MWh nominal</t>
        </is>
      </c>
    </row>
    <row r="256" ht="15" customHeight="1" s="78">
      <c r="A256" s="77" t="inlineStr">
        <is>
          <t>UK</t>
        </is>
      </c>
      <c r="B256" s="77" t="n">
        <v>2025</v>
      </c>
      <c r="C256" s="77" t="inlineStr">
        <is>
          <t>large</t>
        </is>
      </c>
      <c r="D256" s="77" t="inlineStr">
        <is>
          <t>E2</t>
        </is>
      </c>
      <c r="E256" s="77" t="inlineStr">
        <is>
          <t>Wholesale (rolling year-ahead baseload; DA proxy &lt;=2021)</t>
        </is>
      </c>
      <c r="F256" s="77" t="inlineStr">
        <is>
          <t>1 Commodity</t>
        </is>
      </c>
      <c r="G256" s="77" t="inlineStr">
        <is>
          <t>wholesale market</t>
        </is>
      </c>
      <c r="H256" s="77" t="inlineStr">
        <is>
          <t>i</t>
        </is>
      </c>
      <c r="I256" s="77">
        <f>IF(ISNUMBER(N256),N256*fx_deflator!$I$20*fx_deflator!$M$20,"")</f>
        <v/>
      </c>
      <c r="J256" s="77" t="inlineStr">
        <is>
          <t>Ofgem data portal — DA baseload monthly avg (proxy &lt;=2021, D22); Forward Delivery Contracts (D21)</t>
        </is>
      </c>
      <c r="K256" s="77" t="inlineStr">
        <is>
          <t>stage4_uk r7-9</t>
        </is>
      </c>
      <c r="L256" s="77" t="inlineStr">
        <is>
          <t>2026-07-15</t>
        </is>
      </c>
      <c r="M256" s="77" t="inlineStr">
        <is>
          <t>Y</t>
        </is>
      </c>
      <c r="N256" s="136">
        <f>IF(ISNUMBER(timeseries!S6),timeseries!S6,"")</f>
        <v/>
      </c>
      <c r="O256" s="77" t="inlineStr">
        <is>
          <t>GBP/MWh nominal</t>
        </is>
      </c>
      <c r="P256" s="77" t="inlineStr">
        <is>
          <t>identical E1/E2; embedded carbon memo inside this item</t>
        </is>
      </c>
    </row>
    <row r="257" ht="15" customHeight="1" s="78">
      <c r="A257" s="77" t="inlineStr">
        <is>
          <t>UK</t>
        </is>
      </c>
      <c r="B257" s="77" t="n">
        <v>2025</v>
      </c>
      <c r="C257" s="77" t="inlineStr">
        <is>
          <t>large</t>
        </is>
      </c>
      <c r="D257" s="77" t="inlineStr">
        <is>
          <t>E2</t>
        </is>
      </c>
      <c r="E257" s="77" t="inlineStr">
        <is>
          <t>TNUoS demand (zone 5; TCR banded residual from 2023)</t>
        </is>
      </c>
      <c r="F257" s="77" t="inlineStr">
        <is>
          <t>3 Network</t>
        </is>
      </c>
      <c r="G257" s="77" t="inlineStr">
        <is>
          <t>transmission network charge</t>
        </is>
      </c>
      <c r="H257" s="77" t="inlineStr">
        <is>
          <t>i (post-NCC relief; relief funded via ESL = ii instrument)</t>
        </is>
      </c>
      <c r="I257" s="77">
        <f>IF(ISNUMBER(N257),N257*fx_deflator!$I$20*fx_deflator!$M$20,"")</f>
        <v/>
      </c>
      <c r="J257" s="77" t="inlineStr">
        <is>
          <t>NESO TNUoS tariff documents (compendium doc 50736; Final TNUoS 2023/24-2026/27 Table 10)</t>
        </is>
      </c>
      <c r="K257" s="77" t="inlineStr">
        <is>
          <t>stage4_uk r25-27</t>
        </is>
      </c>
      <c r="L257" s="77" t="inlineStr">
        <is>
          <t>2026-07-15</t>
        </is>
      </c>
      <c r="M257" s="77" t="inlineStr">
        <is>
          <t>Y</t>
        </is>
      </c>
      <c r="N257" s="77">
        <f>IF(ISNUMBER(timeseries!S7),timeseries!S7*(1-IF(ISNUMBER(stage4_uk!S48),stage4_uk!S48,0)),"")</f>
        <v/>
      </c>
      <c r="O257" s="77" t="inlineStr">
        <is>
          <t>GBP/MWh nominal</t>
        </is>
      </c>
    </row>
    <row r="258" ht="15" customHeight="1" s="78">
      <c r="A258" s="77" t="inlineStr">
        <is>
          <t>UK</t>
        </is>
      </c>
      <c r="B258" s="77" t="n">
        <v>2025</v>
      </c>
      <c r="C258" s="77" t="inlineStr">
        <is>
          <t>large</t>
        </is>
      </c>
      <c r="D258" s="77" t="inlineStr">
        <is>
          <t>E2</t>
        </is>
      </c>
      <c r="E258" s="77" t="inlineStr">
        <is>
          <t>BSUoS (demand-only from 04/2023)</t>
        </is>
      </c>
      <c r="F258" s="77" t="inlineStr">
        <is>
          <t>4 System services &amp; balancing</t>
        </is>
      </c>
      <c r="G258" s="77" t="inlineStr">
        <is>
          <t>balancing charge</t>
        </is>
      </c>
      <c r="H258" s="77" t="inlineStr">
        <is>
          <t>i (post-NCC relief)</t>
        </is>
      </c>
      <c r="I258" s="77">
        <f>IF(ISNUMBER(N258),N258*fx_deflator!$I$20*fx_deflator!$M$20,"")</f>
        <v/>
      </c>
      <c r="J258" s="77" t="inlineStr">
        <is>
          <t>NESO bsuos-fixed-tariffs + HH RF settlement files (own annual avg 2010-22)</t>
        </is>
      </c>
      <c r="K258" s="77" t="inlineStr">
        <is>
          <t>stage4_uk r28-30</t>
        </is>
      </c>
      <c r="L258" s="77" t="inlineStr">
        <is>
          <t>2026-07-15</t>
        </is>
      </c>
      <c r="M258" s="77" t="inlineStr">
        <is>
          <t>Y</t>
        </is>
      </c>
      <c r="N258" s="77">
        <f>IF(ISNUMBER(timeseries!S8),timeseries!S8*(1-IF(ISNUMBER(stage4_uk!S48),stage4_uk!S48,0)),"")</f>
        <v/>
      </c>
      <c r="O258" s="77" t="inlineStr">
        <is>
          <t>GBP/MWh nominal</t>
        </is>
      </c>
    </row>
    <row r="259" ht="15" customHeight="1" s="78">
      <c r="A259" s="77" t="inlineStr">
        <is>
          <t>UK</t>
        </is>
      </c>
      <c r="B259" s="77" t="n">
        <v>2025</v>
      </c>
      <c r="C259" s="77" t="inlineStr">
        <is>
          <t>large</t>
        </is>
      </c>
      <c r="D259" s="77" t="inlineStr">
        <is>
          <t>E2</t>
        </is>
      </c>
      <c r="E259" s="77" t="inlineStr">
        <is>
          <t>AAHEDC</t>
        </is>
      </c>
      <c r="F259" s="77" t="inlineStr">
        <is>
          <t>3 Network</t>
        </is>
      </c>
      <c r="G259" s="77" t="inlineStr">
        <is>
          <t>network levy (hydro benefit)</t>
        </is>
      </c>
      <c r="H259" s="77" t="inlineStr">
        <is>
          <t>ii (pays cross-subsidy to N Scotland consumers)</t>
        </is>
      </c>
      <c r="I259" s="77">
        <f>IF(ISNUMBER(N259),N259*fx_deflator!$I$20*fx_deflator!$M$20,"")</f>
        <v/>
      </c>
      <c r="J259" s="77" t="inlineStr">
        <is>
          <t>NG/ESO AAHEDC charging statements &amp; final tariff letters</t>
        </is>
      </c>
      <c r="K259" s="77" t="inlineStr">
        <is>
          <t>stage4_uk r31</t>
        </is>
      </c>
      <c r="L259" s="77" t="inlineStr">
        <is>
          <t>2026-07-15</t>
        </is>
      </c>
      <c r="M259" s="77" t="inlineStr">
        <is>
          <t>N</t>
        </is>
      </c>
      <c r="N259" s="136">
        <f>IF(ISNUMBER(timeseries!S9),timeseries!S9,"")</f>
        <v/>
      </c>
      <c r="O259" s="77" t="inlineStr">
        <is>
          <t>GBP/MWh nominal</t>
        </is>
      </c>
      <c r="P259" s="77" t="inlineStr">
        <is>
          <t>not in NCC base (conservative, unverified)</t>
        </is>
      </c>
    </row>
    <row r="260" ht="15" customHeight="1" s="78">
      <c r="A260" s="77" t="inlineStr">
        <is>
          <t>UK</t>
        </is>
      </c>
      <c r="B260" s="77" t="n">
        <v>2025</v>
      </c>
      <c r="C260" s="77" t="inlineStr">
        <is>
          <t>large</t>
        </is>
      </c>
      <c r="D260" s="77" t="inlineStr">
        <is>
          <t>E2</t>
        </is>
      </c>
      <c r="E260" s="77" t="inlineStr">
        <is>
          <t>RO (buy-out x obligation)</t>
        </is>
      </c>
      <c r="F260" s="77" t="inlineStr">
        <is>
          <t>2 Gen capital recovery</t>
        </is>
      </c>
      <c r="G260" s="77" t="inlineStr">
        <is>
          <t>renewables levy</t>
        </is>
      </c>
      <c r="H260" s="77" t="inlineStr">
        <is>
          <t>i</t>
        </is>
      </c>
      <c r="I260" s="77">
        <f>IF(ISNUMBER(N260),N260*fx_deflator!$I$20*fx_deflator!$M$20,"")</f>
        <v/>
      </c>
      <c r="J260" s="77" t="inlineStr">
        <is>
          <t>Ofgem RO guidance OFG1164 Table 1.1 (buy-out x obligation)</t>
        </is>
      </c>
      <c r="K260" s="77" t="inlineStr">
        <is>
          <t>stage4_uk r12-14</t>
        </is>
      </c>
      <c r="L260" s="77" t="inlineStr">
        <is>
          <t>2026-07-15</t>
        </is>
      </c>
      <c r="M260" s="77" t="inlineStr">
        <is>
          <t>Y</t>
        </is>
      </c>
      <c r="N260" s="77">
        <f>IF(ISNUMBER(timeseries!S10),timeseries!S10*(1-IF(ISNUMBER(stage4_uk!S45),stage4_uk!S45,0)),"")</f>
        <v/>
      </c>
      <c r="O260" s="77" t="inlineStr">
        <is>
          <t>GBP/MWh nominal</t>
        </is>
      </c>
    </row>
    <row r="261" ht="15" customHeight="1" s="78">
      <c r="A261" s="77" t="inlineStr">
        <is>
          <t>UK</t>
        </is>
      </c>
      <c r="B261" s="77" t="n">
        <v>2025</v>
      </c>
      <c r="C261" s="77" t="inlineStr">
        <is>
          <t>large</t>
        </is>
      </c>
      <c r="D261" s="77" t="inlineStr">
        <is>
          <t>E2</t>
        </is>
      </c>
      <c r="E261" s="77" t="inlineStr">
        <is>
          <t>CfD Interim Levy Rate (annual avg)</t>
        </is>
      </c>
      <c r="F261" s="77" t="inlineStr">
        <is>
          <t>2 Gen capital recovery</t>
        </is>
      </c>
      <c r="G261" s="77" t="inlineStr">
        <is>
          <t>renewables levy</t>
        </is>
      </c>
      <c r="H261" s="77" t="inlineStr">
        <is>
          <t>i</t>
        </is>
      </c>
      <c r="I261" s="77">
        <f>IF(ISNUMBER(N261),N261*fx_deflator!$I$20*fx_deflator!$M$20,"")</f>
        <v/>
      </c>
      <c r="J261" s="77" t="inlineStr">
        <is>
          <t>LCCC Actual ILR Income dataset (quarterly avg)</t>
        </is>
      </c>
      <c r="K261" s="77" t="inlineStr">
        <is>
          <t>stage4_uk r15-19</t>
        </is>
      </c>
      <c r="L261" s="77" t="inlineStr">
        <is>
          <t>2026-07-15</t>
        </is>
      </c>
      <c r="M261" s="77" t="inlineStr">
        <is>
          <t>Y</t>
        </is>
      </c>
      <c r="N261" s="77">
        <f>IF(ISNUMBER(timeseries!S11),timeseries!S11*(1-IF(ISNUMBER(stage4_uk!S44),stage4_uk!S44,0)),"")</f>
        <v/>
      </c>
      <c r="O261" s="77" t="inlineStr">
        <is>
          <t>GBP/MWh nominal</t>
        </is>
      </c>
    </row>
    <row r="262" ht="15" customHeight="1" s="78">
      <c r="A262" s="77" t="inlineStr">
        <is>
          <t>UK</t>
        </is>
      </c>
      <c r="B262" s="77" t="n">
        <v>2025</v>
      </c>
      <c r="C262" s="77" t="inlineStr">
        <is>
          <t>large</t>
        </is>
      </c>
      <c r="D262" s="77" t="inlineStr">
        <is>
          <t>E2</t>
        </is>
      </c>
      <c r="E262" s="77" t="inlineStr">
        <is>
          <t>Capacity Market (derived per-MWh)</t>
        </is>
      </c>
      <c r="F262" s="77" t="inlineStr">
        <is>
          <t>2 Gen capital recovery</t>
        </is>
      </c>
      <c r="G262" s="77" t="inlineStr">
        <is>
          <t>capacity market levy</t>
        </is>
      </c>
      <c r="H262" s="77" t="inlineStr">
        <is>
          <t>i</t>
        </is>
      </c>
      <c r="I262" s="77">
        <f>IF(ISNUMBER(N262),N262*fx_deflator!$I$20*fx_deflator!$M$20,"")</f>
        <v/>
      </c>
      <c r="J262" s="77" t="inlineStr">
        <is>
          <t>EMRS Key Figures for Payments (derived per-MWh, D30)</t>
        </is>
      </c>
      <c r="K262" s="77" t="inlineStr">
        <is>
          <t>stage4_uk r21</t>
        </is>
      </c>
      <c r="L262" s="77" t="inlineStr">
        <is>
          <t>2026-07-15</t>
        </is>
      </c>
      <c r="M262" s="77" t="inlineStr">
        <is>
          <t>Y</t>
        </is>
      </c>
      <c r="N262" s="77">
        <f>IF(ISNUMBER(timeseries!S13),timeseries!S13*(1-IF(ISNUMBER(stage4_uk!S47),stage4_uk!S47,0)),"")</f>
        <v/>
      </c>
      <c r="O262" s="77" t="inlineStr">
        <is>
          <t>GBP/MWh nominal</t>
        </is>
      </c>
      <c r="P262" s="77" t="inlineStr">
        <is>
          <t>function 2 per D9</t>
        </is>
      </c>
    </row>
    <row r="263" ht="15" customHeight="1" s="78">
      <c r="A263" s="77" t="inlineStr">
        <is>
          <t>UK</t>
        </is>
      </c>
      <c r="B263" s="77" t="n">
        <v>2025</v>
      </c>
      <c r="C263" s="77" t="inlineStr">
        <is>
          <t>large</t>
        </is>
      </c>
      <c r="D263" s="77" t="inlineStr">
        <is>
          <t>E2</t>
        </is>
      </c>
      <c r="E263" s="77" t="inlineStr">
        <is>
          <t>CCL — EXEMPT for the relieved case (mineralogical/metallurgical, HMRC CCL1/3 s3.14; D71)</t>
        </is>
      </c>
      <c r="F263" s="77" t="inlineStr">
        <is>
          <t>5 General taxation &amp; levies</t>
        </is>
      </c>
      <c r="G263" s="77" t="inlineStr">
        <is>
          <t>climate levy (tax)</t>
        </is>
      </c>
      <c r="H263" s="77" t="inlineStr">
        <is>
          <t>i</t>
        </is>
      </c>
      <c r="I263" s="77">
        <f>IF(ISNUMBER(N263),N263*fx_deflator!$I$20*fx_deflator!$M$20,"")</f>
        <v/>
      </c>
      <c r="J263" s="77" t="inlineStr">
        <is>
          <t>HMRC Excise Notice CCL1/3 s3.14 + Annex A (exemption from 01.04.2014). S209</t>
        </is>
      </c>
      <c r="K263" s="77" t="inlineStr">
        <is>
          <t>stage4_uk r22</t>
        </is>
      </c>
      <c r="L263" s="77" t="inlineStr">
        <is>
          <t>2026-07-15</t>
        </is>
      </c>
      <c r="M263" s="77" t="inlineStr">
        <is>
          <t>N</t>
        </is>
      </c>
      <c r="N263" s="136">
        <f>IF(ISNUMBER(timeseries!S14),0,"")</f>
        <v/>
      </c>
      <c r="O263" s="77" t="inlineStr">
        <is>
          <t>GBP/MWh nominal</t>
        </is>
      </c>
    </row>
    <row r="264" ht="15" customHeight="1" s="78">
      <c r="A264" s="77" t="inlineStr">
        <is>
          <t>UK</t>
        </is>
      </c>
      <c r="B264" s="77" t="n">
        <v>2010</v>
      </c>
      <c r="C264" s="77" t="inlineStr">
        <is>
          <t>medium</t>
        </is>
      </c>
      <c r="D264" s="77" t="inlineStr">
        <is>
          <t>E1</t>
        </is>
      </c>
      <c r="E264" s="77" t="inlineStr">
        <is>
          <t>Wholesale (rolling year-ahead baseload; DA proxy &lt;=2021)</t>
        </is>
      </c>
      <c r="F264" s="77" t="inlineStr">
        <is>
          <t>1 Commodity</t>
        </is>
      </c>
      <c r="G264" s="77" t="inlineStr">
        <is>
          <t>wholesale market</t>
        </is>
      </c>
      <c r="H264" s="77" t="inlineStr">
        <is>
          <t>i</t>
        </is>
      </c>
      <c r="I264" s="77">
        <f>IF(ISNUMBER(N264),N264*fx_deflator!$I$5*fx_deflator!$M$5,"")</f>
        <v/>
      </c>
      <c r="J264" s="77" t="inlineStr">
        <is>
          <t>Ofgem data portal — DA baseload monthly avg (proxy &lt;=2021, D22); Forward Delivery Contracts (D21)</t>
        </is>
      </c>
      <c r="K264" s="77" t="inlineStr">
        <is>
          <t>stage4_uk r7-9</t>
        </is>
      </c>
      <c r="L264" s="77" t="inlineStr">
        <is>
          <t>2026-07-15</t>
        </is>
      </c>
      <c r="M264" s="77" t="inlineStr">
        <is>
          <t>Y</t>
        </is>
      </c>
      <c r="N264" s="136">
        <f>IF(ISNUMBER(timeseries!D22),timeseries!D22,"")</f>
        <v/>
      </c>
      <c r="O264" s="77" t="inlineStr">
        <is>
          <t>GBP/MWh nominal</t>
        </is>
      </c>
      <c r="P264" s="77" t="inlineStr">
        <is>
          <t>identical E1/E2; embedded carbon memo inside this item</t>
        </is>
      </c>
    </row>
    <row r="265" ht="15" customHeight="1" s="78">
      <c r="A265" s="77" t="inlineStr">
        <is>
          <t>UK</t>
        </is>
      </c>
      <c r="B265" s="77" t="n">
        <v>2010</v>
      </c>
      <c r="C265" s="77" t="inlineStr">
        <is>
          <t>medium</t>
        </is>
      </c>
      <c r="D265" s="77" t="inlineStr">
        <is>
          <t>E1</t>
        </is>
      </c>
      <c r="E265" s="77" t="inlineStr">
        <is>
          <t>TNUoS demand (zone 5; TCR banded residual from 2023)</t>
        </is>
      </c>
      <c r="F265" s="77" t="inlineStr">
        <is>
          <t>3 Network</t>
        </is>
      </c>
      <c r="G265" s="77" t="inlineStr">
        <is>
          <t>transmission network charge</t>
        </is>
      </c>
      <c r="H265" s="77" t="inlineStr">
        <is>
          <t>i</t>
        </is>
      </c>
      <c r="I265" s="77">
        <f>IF(ISNUMBER(N265),N265*fx_deflator!$I$5*fx_deflator!$M$5,"")</f>
        <v/>
      </c>
      <c r="J265" s="77" t="inlineStr">
        <is>
          <t>NESO TNUoS tariff documents (compendium doc 50736; Final TNUoS 2023/24-2026/27 Table 10)</t>
        </is>
      </c>
      <c r="K265" s="77" t="inlineStr">
        <is>
          <t>stage4_uk r25-27</t>
        </is>
      </c>
      <c r="L265" s="77" t="inlineStr">
        <is>
          <t>2026-07-15</t>
        </is>
      </c>
      <c r="M265" s="77" t="inlineStr">
        <is>
          <t>Y</t>
        </is>
      </c>
      <c r="N265" s="136">
        <f>IF(ISNUMBER(timeseries!D23),timeseries!D23,"")</f>
        <v/>
      </c>
      <c r="O265" s="77" t="inlineStr">
        <is>
          <t>GBP/MWh nominal</t>
        </is>
      </c>
    </row>
    <row r="266" ht="15" customHeight="1" s="78">
      <c r="A266" s="77" t="inlineStr">
        <is>
          <t>UK</t>
        </is>
      </c>
      <c r="B266" s="77" t="n">
        <v>2010</v>
      </c>
      <c r="C266" s="77" t="inlineStr">
        <is>
          <t>medium</t>
        </is>
      </c>
      <c r="D266" s="77" t="inlineStr">
        <is>
          <t>E1</t>
        </is>
      </c>
      <c r="E266" s="77" t="inlineStr">
        <is>
          <t>DUoS unit rates (NPg CDCM red/amber/green, uniform-operation weights)</t>
        </is>
      </c>
      <c r="F266" s="77" t="inlineStr">
        <is>
          <t>3 Network</t>
        </is>
      </c>
      <c r="G266" s="77" t="inlineStr">
        <is>
          <t>distribution network charge</t>
        </is>
      </c>
      <c r="H266" s="77" t="inlineStr">
        <is>
          <t>i</t>
        </is>
      </c>
      <c r="I266" s="77">
        <f>IF(ISNUMBER(N266),N266*fx_deflator!$I$5*fx_deflator!$M$5,"")</f>
        <v/>
      </c>
      <c r="J266" s="77" t="inlineStr">
        <is>
          <t>NPg (Yorkshire) LC14 CDCM statements; D28 reconstruction 2010-16</t>
        </is>
      </c>
      <c r="K266" s="77" t="inlineStr">
        <is>
          <t>stage4_uk r34-41</t>
        </is>
      </c>
      <c r="L266" s="77" t="inlineStr">
        <is>
          <t>2026-07-15</t>
        </is>
      </c>
      <c r="M266" s="77" t="inlineStr">
        <is>
          <t>Y</t>
        </is>
      </c>
      <c r="N266" s="136">
        <f>IF(ISNUMBER(timeseries!D24),timeseries!D24,"")</f>
        <v/>
      </c>
      <c r="O266" s="77" t="inlineStr">
        <is>
          <t>GBP/MWh nominal</t>
        </is>
      </c>
    </row>
    <row r="267" ht="15" customHeight="1" s="78">
      <c r="A267" s="77" t="inlineStr">
        <is>
          <t>UK</t>
        </is>
      </c>
      <c r="B267" s="77" t="n">
        <v>2010</v>
      </c>
      <c r="C267" s="77" t="inlineStr">
        <is>
          <t>medium</t>
        </is>
      </c>
      <c r="D267" s="77" t="inlineStr">
        <is>
          <t>E1</t>
        </is>
      </c>
      <c r="E267" s="77" t="inlineStr">
        <is>
          <t>DUoS fixed charge (TCR Band-4 residual from 2022/23)</t>
        </is>
      </c>
      <c r="F267" s="77" t="inlineStr">
        <is>
          <t>3 Network</t>
        </is>
      </c>
      <c r="G267" s="77" t="inlineStr">
        <is>
          <t>distribution network charge</t>
        </is>
      </c>
      <c r="H267" s="77" t="inlineStr">
        <is>
          <t>i</t>
        </is>
      </c>
      <c r="I267" s="77">
        <f>IF(ISNUMBER(N267),N267*fx_deflator!$I$5*fx_deflator!$M$5,"")</f>
        <v/>
      </c>
      <c r="J267" s="77" t="inlineStr">
        <is>
          <t>NPg (Yorkshire) LC14 CDCM statements; D28 reconstruction 2010-16</t>
        </is>
      </c>
      <c r="K267" s="77" t="inlineStr">
        <is>
          <t>stage4_uk r34-41</t>
        </is>
      </c>
      <c r="L267" s="77" t="inlineStr">
        <is>
          <t>2026-07-15</t>
        </is>
      </c>
      <c r="M267" s="77" t="inlineStr">
        <is>
          <t>Y</t>
        </is>
      </c>
      <c r="N267" s="136">
        <f>IF(ISNUMBER(timeseries!D25),timeseries!D25,"")</f>
        <v/>
      </c>
      <c r="O267" s="77" t="inlineStr">
        <is>
          <t>GBP/MWh nominal</t>
        </is>
      </c>
    </row>
    <row r="268" ht="15" customHeight="1" s="78">
      <c r="A268" s="77" t="inlineStr">
        <is>
          <t>UK</t>
        </is>
      </c>
      <c r="B268" s="77" t="n">
        <v>2010</v>
      </c>
      <c r="C268" s="77" t="inlineStr">
        <is>
          <t>medium</t>
        </is>
      </c>
      <c r="D268" s="77" t="inlineStr">
        <is>
          <t>E1</t>
        </is>
      </c>
      <c r="E268" s="77" t="inlineStr">
        <is>
          <t>DUoS capacity charge</t>
        </is>
      </c>
      <c r="F268" s="77" t="inlineStr">
        <is>
          <t>3 Network</t>
        </is>
      </c>
      <c r="G268" s="77" t="inlineStr">
        <is>
          <t>distribution network charge</t>
        </is>
      </c>
      <c r="H268" s="77" t="inlineStr">
        <is>
          <t>i</t>
        </is>
      </c>
      <c r="I268" s="77">
        <f>IF(ISNUMBER(N268),N268*fx_deflator!$I$5*fx_deflator!$M$5,"")</f>
        <v/>
      </c>
      <c r="J268" s="77" t="inlineStr">
        <is>
          <t>NPg (Yorkshire) LC14 CDCM statements; D28 reconstruction 2010-16</t>
        </is>
      </c>
      <c r="K268" s="77" t="inlineStr">
        <is>
          <t>stage4_uk r34-41</t>
        </is>
      </c>
      <c r="L268" s="77" t="inlineStr">
        <is>
          <t>2026-07-15</t>
        </is>
      </c>
      <c r="M268" s="77" t="inlineStr">
        <is>
          <t>Y</t>
        </is>
      </c>
      <c r="N268" s="136">
        <f>IF(ISNUMBER(timeseries!D26),timeseries!D26,"")</f>
        <v/>
      </c>
      <c r="O268" s="77" t="inlineStr">
        <is>
          <t>GBP/MWh nominal</t>
        </is>
      </c>
    </row>
    <row r="269" ht="15" customHeight="1" s="78">
      <c r="A269" s="77" t="inlineStr">
        <is>
          <t>UK</t>
        </is>
      </c>
      <c r="B269" s="77" t="n">
        <v>2010</v>
      </c>
      <c r="C269" s="77" t="inlineStr">
        <is>
          <t>medium</t>
        </is>
      </c>
      <c r="D269" s="77" t="inlineStr">
        <is>
          <t>E1</t>
        </is>
      </c>
      <c r="E269" s="77" t="inlineStr">
        <is>
          <t>BSUoS (demand-only from 04/2023)</t>
        </is>
      </c>
      <c r="F269" s="77" t="inlineStr">
        <is>
          <t>4 System services &amp; balancing</t>
        </is>
      </c>
      <c r="G269" s="77" t="inlineStr">
        <is>
          <t>balancing charge</t>
        </is>
      </c>
      <c r="H269" s="77" t="inlineStr">
        <is>
          <t>i</t>
        </is>
      </c>
      <c r="I269" s="77">
        <f>IF(ISNUMBER(N269),N269*fx_deflator!$I$5*fx_deflator!$M$5,"")</f>
        <v/>
      </c>
      <c r="J269" s="77" t="inlineStr">
        <is>
          <t>NESO bsuos-fixed-tariffs + HH RF settlement files (own annual avg 2010-22)</t>
        </is>
      </c>
      <c r="K269" s="77" t="inlineStr">
        <is>
          <t>stage4_uk r28-30</t>
        </is>
      </c>
      <c r="L269" s="77" t="inlineStr">
        <is>
          <t>2026-07-15</t>
        </is>
      </c>
      <c r="M269" s="77" t="inlineStr">
        <is>
          <t>Y</t>
        </is>
      </c>
      <c r="N269" s="77">
        <f>IF(ISNUMBER(timeseries!D8),timeseries!D8,"")</f>
        <v/>
      </c>
      <c r="O269" s="77" t="inlineStr">
        <is>
          <t>GBP/MWh nominal</t>
        </is>
      </c>
    </row>
    <row r="270" ht="15" customHeight="1" s="78">
      <c r="A270" s="77" t="inlineStr">
        <is>
          <t>UK</t>
        </is>
      </c>
      <c r="B270" s="77" t="n">
        <v>2010</v>
      </c>
      <c r="C270" s="77" t="inlineStr">
        <is>
          <t>medium</t>
        </is>
      </c>
      <c r="D270" s="77" t="inlineStr">
        <is>
          <t>E1</t>
        </is>
      </c>
      <c r="E270" s="77" t="inlineStr">
        <is>
          <t>AAHEDC</t>
        </is>
      </c>
      <c r="F270" s="77" t="inlineStr">
        <is>
          <t>3 Network</t>
        </is>
      </c>
      <c r="G270" s="77" t="inlineStr">
        <is>
          <t>network levy (hydro benefit)</t>
        </is>
      </c>
      <c r="H270" s="77" t="inlineStr">
        <is>
          <t>ii (pays cross-subsidy to N Scotland consumers)</t>
        </is>
      </c>
      <c r="I270" s="77">
        <f>IF(ISNUMBER(N270),N270*fx_deflator!$I$5*fx_deflator!$M$5,"")</f>
        <v/>
      </c>
      <c r="J270" s="77" t="inlineStr">
        <is>
          <t>NG/ESO AAHEDC charging statements &amp; final tariff letters</t>
        </is>
      </c>
      <c r="K270" s="77" t="inlineStr">
        <is>
          <t>stage4_uk r31</t>
        </is>
      </c>
      <c r="L270" s="77" t="inlineStr">
        <is>
          <t>2026-07-15</t>
        </is>
      </c>
      <c r="M270" s="77" t="inlineStr">
        <is>
          <t>N</t>
        </is>
      </c>
      <c r="N270" s="77">
        <f>IF(ISNUMBER(timeseries!D9),timeseries!D9,"")</f>
        <v/>
      </c>
      <c r="O270" s="77" t="inlineStr">
        <is>
          <t>GBP/MWh nominal</t>
        </is>
      </c>
      <c r="P270" s="77" t="inlineStr">
        <is>
          <t>not in NCC base (conservative, unverified)</t>
        </is>
      </c>
    </row>
    <row r="271" ht="15" customHeight="1" s="78">
      <c r="A271" s="77" t="inlineStr">
        <is>
          <t>UK</t>
        </is>
      </c>
      <c r="B271" s="77" t="n">
        <v>2010</v>
      </c>
      <c r="C271" s="77" t="inlineStr">
        <is>
          <t>medium</t>
        </is>
      </c>
      <c r="D271" s="77" t="inlineStr">
        <is>
          <t>E1</t>
        </is>
      </c>
      <c r="E271" s="77" t="inlineStr">
        <is>
          <t>RO (buy-out x obligation)</t>
        </is>
      </c>
      <c r="F271" s="77" t="inlineStr">
        <is>
          <t>2 Gen capital recovery</t>
        </is>
      </c>
      <c r="G271" s="77" t="inlineStr">
        <is>
          <t>renewables levy</t>
        </is>
      </c>
      <c r="H271" s="77" t="inlineStr">
        <is>
          <t>i</t>
        </is>
      </c>
      <c r="I271" s="77">
        <f>IF(ISNUMBER(N271),N271*fx_deflator!$I$5*fx_deflator!$M$5,"")</f>
        <v/>
      </c>
      <c r="J271" s="77" t="inlineStr">
        <is>
          <t>Ofgem RO guidance OFG1164 Table 1.1 (buy-out x obligation)</t>
        </is>
      </c>
      <c r="K271" s="77" t="inlineStr">
        <is>
          <t>stage4_uk r12-14</t>
        </is>
      </c>
      <c r="L271" s="77" t="inlineStr">
        <is>
          <t>2026-07-15</t>
        </is>
      </c>
      <c r="M271" s="77" t="inlineStr">
        <is>
          <t>Y</t>
        </is>
      </c>
      <c r="N271" s="136">
        <f>IF(ISNUMBER(timeseries!D10),timeseries!D10,"")</f>
        <v/>
      </c>
      <c r="O271" s="77" t="inlineStr">
        <is>
          <t>GBP/MWh nominal</t>
        </is>
      </c>
    </row>
    <row r="272" ht="15" customHeight="1" s="78">
      <c r="A272" s="77" t="inlineStr">
        <is>
          <t>UK</t>
        </is>
      </c>
      <c r="B272" s="77" t="n">
        <v>2010</v>
      </c>
      <c r="C272" s="77" t="inlineStr">
        <is>
          <t>medium</t>
        </is>
      </c>
      <c r="D272" s="77" t="inlineStr">
        <is>
          <t>E1</t>
        </is>
      </c>
      <c r="E272" s="77" t="inlineStr">
        <is>
          <t>FiT levelisation</t>
        </is>
      </c>
      <c r="F272" s="77" t="inlineStr">
        <is>
          <t>2 Gen capital recovery</t>
        </is>
      </c>
      <c r="G272" s="77" t="inlineStr">
        <is>
          <t>renewables levy</t>
        </is>
      </c>
      <c r="H272" s="77" t="inlineStr">
        <is>
          <t>i</t>
        </is>
      </c>
      <c r="I272" s="77">
        <f>IF(ISNUMBER(N272),N272*fx_deflator!$I$5*fx_deflator!$M$5,"")</f>
        <v/>
      </c>
      <c r="J272" s="77" t="inlineStr">
        <is>
          <t>Ofgem FIT Annual Reports SY1-SY15; D27 for 2010-14</t>
        </is>
      </c>
      <c r="K272" s="77" t="inlineStr">
        <is>
          <t>stage4_uk r20</t>
        </is>
      </c>
      <c r="L272" s="77" t="inlineStr">
        <is>
          <t>2026-07-15</t>
        </is>
      </c>
      <c r="M272" s="77" t="inlineStr">
        <is>
          <t>Y</t>
        </is>
      </c>
      <c r="N272" s="77">
        <f>IF(ISNUMBER(timeseries!D12),timeseries!D12,"")</f>
        <v/>
      </c>
      <c r="O272" s="77" t="inlineStr">
        <is>
          <t>GBP/MWh nominal</t>
        </is>
      </c>
      <c r="P272" s="77" t="inlineStr">
        <is>
          <t>2025 unpublished (Q32) — row absent, gap stated</t>
        </is>
      </c>
    </row>
    <row r="273" ht="15" customHeight="1" s="78">
      <c r="A273" s="77" t="inlineStr">
        <is>
          <t>UK</t>
        </is>
      </c>
      <c r="B273" s="77" t="n">
        <v>2010</v>
      </c>
      <c r="C273" s="77" t="inlineStr">
        <is>
          <t>medium</t>
        </is>
      </c>
      <c r="D273" s="77" t="inlineStr">
        <is>
          <t>E1</t>
        </is>
      </c>
      <c r="E273" s="77" t="inlineStr">
        <is>
          <t>CCL (main rate; CCA discount not modelled)</t>
        </is>
      </c>
      <c r="F273" s="77" t="inlineStr">
        <is>
          <t>5 General taxation &amp; levies</t>
        </is>
      </c>
      <c r="G273" s="77" t="inlineStr">
        <is>
          <t>climate levy (tax)</t>
        </is>
      </c>
      <c r="H273" s="77" t="inlineStr">
        <is>
          <t>i</t>
        </is>
      </c>
      <c r="I273" s="77">
        <f>IF(ISNUMBER(N273),N273*fx_deflator!$I$5*fx_deflator!$M$5,"")</f>
        <v/>
      </c>
      <c r="J273" s="77" t="inlineStr">
        <is>
          <t>HMRC Environmental Taxes Bulletin, historical rates Table 1</t>
        </is>
      </c>
      <c r="K273" s="77" t="inlineStr">
        <is>
          <t>stage4_uk r22</t>
        </is>
      </c>
      <c r="L273" s="77" t="inlineStr">
        <is>
          <t>2026-07-15</t>
        </is>
      </c>
      <c r="M273" s="77" t="inlineStr">
        <is>
          <t>N</t>
        </is>
      </c>
      <c r="N273" s="136">
        <f>IF(ISNUMBER(timeseries!D14),timeseries!D14,"")</f>
        <v/>
      </c>
      <c r="O273" s="77" t="inlineStr">
        <is>
          <t>GBP/MWh nominal</t>
        </is>
      </c>
    </row>
    <row r="274" ht="15" customHeight="1" s="78">
      <c r="A274" s="77" t="inlineStr">
        <is>
          <t>UK</t>
        </is>
      </c>
      <c r="B274" s="77" t="n">
        <v>2011</v>
      </c>
      <c r="C274" s="77" t="inlineStr">
        <is>
          <t>medium</t>
        </is>
      </c>
      <c r="D274" s="77" t="inlineStr">
        <is>
          <t>E1</t>
        </is>
      </c>
      <c r="E274" s="77" t="inlineStr">
        <is>
          <t>Wholesale (rolling year-ahead baseload; DA proxy &lt;=2021)</t>
        </is>
      </c>
      <c r="F274" s="77" t="inlineStr">
        <is>
          <t>1 Commodity</t>
        </is>
      </c>
      <c r="G274" s="77" t="inlineStr">
        <is>
          <t>wholesale market</t>
        </is>
      </c>
      <c r="H274" s="77" t="inlineStr">
        <is>
          <t>i</t>
        </is>
      </c>
      <c r="I274" s="77">
        <f>IF(ISNUMBER(N274),N274*fx_deflator!$I$6*fx_deflator!$M$6,"")</f>
        <v/>
      </c>
      <c r="J274" s="77" t="inlineStr">
        <is>
          <t>Ofgem data portal — DA baseload monthly avg (proxy &lt;=2021, D22); Forward Delivery Contracts (D21)</t>
        </is>
      </c>
      <c r="K274" s="77" t="inlineStr">
        <is>
          <t>stage4_uk r7-9</t>
        </is>
      </c>
      <c r="L274" s="77" t="inlineStr">
        <is>
          <t>2026-07-15</t>
        </is>
      </c>
      <c r="M274" s="77" t="inlineStr">
        <is>
          <t>Y</t>
        </is>
      </c>
      <c r="N274" s="136">
        <f>IF(ISNUMBER(timeseries!E22),timeseries!E22,"")</f>
        <v/>
      </c>
      <c r="O274" s="77" t="inlineStr">
        <is>
          <t>GBP/MWh nominal</t>
        </is>
      </c>
      <c r="P274" s="77" t="inlineStr">
        <is>
          <t>identical E1/E2; embedded carbon memo inside this item</t>
        </is>
      </c>
    </row>
    <row r="275" ht="15" customHeight="1" s="78">
      <c r="A275" s="77" t="inlineStr">
        <is>
          <t>UK</t>
        </is>
      </c>
      <c r="B275" s="77" t="n">
        <v>2011</v>
      </c>
      <c r="C275" s="77" t="inlineStr">
        <is>
          <t>medium</t>
        </is>
      </c>
      <c r="D275" s="77" t="inlineStr">
        <is>
          <t>E1</t>
        </is>
      </c>
      <c r="E275" s="77" t="inlineStr">
        <is>
          <t>TNUoS demand (zone 5; TCR banded residual from 2023)</t>
        </is>
      </c>
      <c r="F275" s="77" t="inlineStr">
        <is>
          <t>3 Network</t>
        </is>
      </c>
      <c r="G275" s="77" t="inlineStr">
        <is>
          <t>transmission network charge</t>
        </is>
      </c>
      <c r="H275" s="77" t="inlineStr">
        <is>
          <t>i</t>
        </is>
      </c>
      <c r="I275" s="77">
        <f>IF(ISNUMBER(N275),N275*fx_deflator!$I$6*fx_deflator!$M$6,"")</f>
        <v/>
      </c>
      <c r="J275" s="77" t="inlineStr">
        <is>
          <t>NESO TNUoS tariff documents (compendium doc 50736; Final TNUoS 2023/24-2026/27 Table 10)</t>
        </is>
      </c>
      <c r="K275" s="77" t="inlineStr">
        <is>
          <t>stage4_uk r25-27</t>
        </is>
      </c>
      <c r="L275" s="77" t="inlineStr">
        <is>
          <t>2026-07-15</t>
        </is>
      </c>
      <c r="M275" s="77" t="inlineStr">
        <is>
          <t>Y</t>
        </is>
      </c>
      <c r="N275" s="136">
        <f>IF(ISNUMBER(timeseries!E23),timeseries!E23,"")</f>
        <v/>
      </c>
      <c r="O275" s="77" t="inlineStr">
        <is>
          <t>GBP/MWh nominal</t>
        </is>
      </c>
    </row>
    <row r="276" ht="15" customHeight="1" s="78">
      <c r="A276" s="77" t="inlineStr">
        <is>
          <t>UK</t>
        </is>
      </c>
      <c r="B276" s="77" t="n">
        <v>2011</v>
      </c>
      <c r="C276" s="77" t="inlineStr">
        <is>
          <t>medium</t>
        </is>
      </c>
      <c r="D276" s="77" t="inlineStr">
        <is>
          <t>E1</t>
        </is>
      </c>
      <c r="E276" s="77" t="inlineStr">
        <is>
          <t>DUoS unit rates (NPg CDCM red/amber/green, uniform-operation weights)</t>
        </is>
      </c>
      <c r="F276" s="77" t="inlineStr">
        <is>
          <t>3 Network</t>
        </is>
      </c>
      <c r="G276" s="77" t="inlineStr">
        <is>
          <t>distribution network charge</t>
        </is>
      </c>
      <c r="H276" s="77" t="inlineStr">
        <is>
          <t>i</t>
        </is>
      </c>
      <c r="I276" s="77">
        <f>IF(ISNUMBER(N276),N276*fx_deflator!$I$6*fx_deflator!$M$6,"")</f>
        <v/>
      </c>
      <c r="J276" s="77" t="inlineStr">
        <is>
          <t>NPg (Yorkshire) LC14 CDCM statements; D28 reconstruction 2010-16</t>
        </is>
      </c>
      <c r="K276" s="77" t="inlineStr">
        <is>
          <t>stage4_uk r34-41</t>
        </is>
      </c>
      <c r="L276" s="77" t="inlineStr">
        <is>
          <t>2026-07-15</t>
        </is>
      </c>
      <c r="M276" s="77" t="inlineStr">
        <is>
          <t>Y</t>
        </is>
      </c>
      <c r="N276" s="136">
        <f>IF(ISNUMBER(timeseries!E24),timeseries!E24,"")</f>
        <v/>
      </c>
      <c r="O276" s="77" t="inlineStr">
        <is>
          <t>GBP/MWh nominal</t>
        </is>
      </c>
    </row>
    <row r="277" ht="15" customHeight="1" s="78">
      <c r="A277" s="77" t="inlineStr">
        <is>
          <t>UK</t>
        </is>
      </c>
      <c r="B277" s="77" t="n">
        <v>2011</v>
      </c>
      <c r="C277" s="77" t="inlineStr">
        <is>
          <t>medium</t>
        </is>
      </c>
      <c r="D277" s="77" t="inlineStr">
        <is>
          <t>E1</t>
        </is>
      </c>
      <c r="E277" s="77" t="inlineStr">
        <is>
          <t>DUoS fixed charge (TCR Band-4 residual from 2022/23)</t>
        </is>
      </c>
      <c r="F277" s="77" t="inlineStr">
        <is>
          <t>3 Network</t>
        </is>
      </c>
      <c r="G277" s="77" t="inlineStr">
        <is>
          <t>distribution network charge</t>
        </is>
      </c>
      <c r="H277" s="77" t="inlineStr">
        <is>
          <t>i</t>
        </is>
      </c>
      <c r="I277" s="77">
        <f>IF(ISNUMBER(N277),N277*fx_deflator!$I$6*fx_deflator!$M$6,"")</f>
        <v/>
      </c>
      <c r="J277" s="77" t="inlineStr">
        <is>
          <t>NPg (Yorkshire) LC14 CDCM statements; D28 reconstruction 2010-16</t>
        </is>
      </c>
      <c r="K277" s="77" t="inlineStr">
        <is>
          <t>stage4_uk r34-41</t>
        </is>
      </c>
      <c r="L277" s="77" t="inlineStr">
        <is>
          <t>2026-07-15</t>
        </is>
      </c>
      <c r="M277" s="77" t="inlineStr">
        <is>
          <t>Y</t>
        </is>
      </c>
      <c r="N277" s="136">
        <f>IF(ISNUMBER(timeseries!E25),timeseries!E25,"")</f>
        <v/>
      </c>
      <c r="O277" s="77" t="inlineStr">
        <is>
          <t>GBP/MWh nominal</t>
        </is>
      </c>
    </row>
    <row r="278" ht="15" customHeight="1" s="78">
      <c r="A278" s="77" t="inlineStr">
        <is>
          <t>UK</t>
        </is>
      </c>
      <c r="B278" s="77" t="n">
        <v>2011</v>
      </c>
      <c r="C278" s="77" t="inlineStr">
        <is>
          <t>medium</t>
        </is>
      </c>
      <c r="D278" s="77" t="inlineStr">
        <is>
          <t>E1</t>
        </is>
      </c>
      <c r="E278" s="77" t="inlineStr">
        <is>
          <t>DUoS capacity charge</t>
        </is>
      </c>
      <c r="F278" s="77" t="inlineStr">
        <is>
          <t>3 Network</t>
        </is>
      </c>
      <c r="G278" s="77" t="inlineStr">
        <is>
          <t>distribution network charge</t>
        </is>
      </c>
      <c r="H278" s="77" t="inlineStr">
        <is>
          <t>i</t>
        </is>
      </c>
      <c r="I278" s="77">
        <f>IF(ISNUMBER(N278),N278*fx_deflator!$I$6*fx_deflator!$M$6,"")</f>
        <v/>
      </c>
      <c r="J278" s="77" t="inlineStr">
        <is>
          <t>NPg (Yorkshire) LC14 CDCM statements; D28 reconstruction 2010-16</t>
        </is>
      </c>
      <c r="K278" s="77" t="inlineStr">
        <is>
          <t>stage4_uk r34-41</t>
        </is>
      </c>
      <c r="L278" s="77" t="inlineStr">
        <is>
          <t>2026-07-15</t>
        </is>
      </c>
      <c r="M278" s="77" t="inlineStr">
        <is>
          <t>Y</t>
        </is>
      </c>
      <c r="N278" s="136">
        <f>IF(ISNUMBER(timeseries!E26),timeseries!E26,"")</f>
        <v/>
      </c>
      <c r="O278" s="77" t="inlineStr">
        <is>
          <t>GBP/MWh nominal</t>
        </is>
      </c>
    </row>
    <row r="279" ht="15" customHeight="1" s="78">
      <c r="A279" s="77" t="inlineStr">
        <is>
          <t>UK</t>
        </is>
      </c>
      <c r="B279" s="77" t="n">
        <v>2011</v>
      </c>
      <c r="C279" s="77" t="inlineStr">
        <is>
          <t>medium</t>
        </is>
      </c>
      <c r="D279" s="77" t="inlineStr">
        <is>
          <t>E1</t>
        </is>
      </c>
      <c r="E279" s="77" t="inlineStr">
        <is>
          <t>BSUoS (demand-only from 04/2023)</t>
        </is>
      </c>
      <c r="F279" s="77" t="inlineStr">
        <is>
          <t>4 System services &amp; balancing</t>
        </is>
      </c>
      <c r="G279" s="77" t="inlineStr">
        <is>
          <t>balancing charge</t>
        </is>
      </c>
      <c r="H279" s="77" t="inlineStr">
        <is>
          <t>i</t>
        </is>
      </c>
      <c r="I279" s="77">
        <f>IF(ISNUMBER(N279),N279*fx_deflator!$I$6*fx_deflator!$M$6,"")</f>
        <v/>
      </c>
      <c r="J279" s="77" t="inlineStr">
        <is>
          <t>NESO bsuos-fixed-tariffs + HH RF settlement files (own annual avg 2010-22)</t>
        </is>
      </c>
      <c r="K279" s="77" t="inlineStr">
        <is>
          <t>stage4_uk r28-30</t>
        </is>
      </c>
      <c r="L279" s="77" t="inlineStr">
        <is>
          <t>2026-07-15</t>
        </is>
      </c>
      <c r="M279" s="77" t="inlineStr">
        <is>
          <t>Y</t>
        </is>
      </c>
      <c r="N279" s="77">
        <f>IF(ISNUMBER(timeseries!E8),timeseries!E8,"")</f>
        <v/>
      </c>
      <c r="O279" s="77" t="inlineStr">
        <is>
          <t>GBP/MWh nominal</t>
        </is>
      </c>
    </row>
    <row r="280" ht="15" customHeight="1" s="78">
      <c r="A280" s="77" t="inlineStr">
        <is>
          <t>UK</t>
        </is>
      </c>
      <c r="B280" s="77" t="n">
        <v>2011</v>
      </c>
      <c r="C280" s="77" t="inlineStr">
        <is>
          <t>medium</t>
        </is>
      </c>
      <c r="D280" s="77" t="inlineStr">
        <is>
          <t>E1</t>
        </is>
      </c>
      <c r="E280" s="77" t="inlineStr">
        <is>
          <t>AAHEDC</t>
        </is>
      </c>
      <c r="F280" s="77" t="inlineStr">
        <is>
          <t>3 Network</t>
        </is>
      </c>
      <c r="G280" s="77" t="inlineStr">
        <is>
          <t>network levy (hydro benefit)</t>
        </is>
      </c>
      <c r="H280" s="77" t="inlineStr">
        <is>
          <t>ii (pays cross-subsidy to N Scotland consumers)</t>
        </is>
      </c>
      <c r="I280" s="77">
        <f>IF(ISNUMBER(N280),N280*fx_deflator!$I$6*fx_deflator!$M$6,"")</f>
        <v/>
      </c>
      <c r="J280" s="77" t="inlineStr">
        <is>
          <t>NG/ESO AAHEDC charging statements &amp; final tariff letters</t>
        </is>
      </c>
      <c r="K280" s="77" t="inlineStr">
        <is>
          <t>stage4_uk r31</t>
        </is>
      </c>
      <c r="L280" s="77" t="inlineStr">
        <is>
          <t>2026-07-15</t>
        </is>
      </c>
      <c r="M280" s="77" t="inlineStr">
        <is>
          <t>N</t>
        </is>
      </c>
      <c r="N280" s="77">
        <f>IF(ISNUMBER(timeseries!E9),timeseries!E9,"")</f>
        <v/>
      </c>
      <c r="O280" s="77" t="inlineStr">
        <is>
          <t>GBP/MWh nominal</t>
        </is>
      </c>
      <c r="P280" s="77" t="inlineStr">
        <is>
          <t>not in NCC base (conservative, unverified)</t>
        </is>
      </c>
    </row>
    <row r="281" ht="15" customHeight="1" s="78">
      <c r="A281" s="77" t="inlineStr">
        <is>
          <t>UK</t>
        </is>
      </c>
      <c r="B281" s="77" t="n">
        <v>2011</v>
      </c>
      <c r="C281" s="77" t="inlineStr">
        <is>
          <t>medium</t>
        </is>
      </c>
      <c r="D281" s="77" t="inlineStr">
        <is>
          <t>E1</t>
        </is>
      </c>
      <c r="E281" s="77" t="inlineStr">
        <is>
          <t>RO (buy-out x obligation)</t>
        </is>
      </c>
      <c r="F281" s="77" t="inlineStr">
        <is>
          <t>2 Gen capital recovery</t>
        </is>
      </c>
      <c r="G281" s="77" t="inlineStr">
        <is>
          <t>renewables levy</t>
        </is>
      </c>
      <c r="H281" s="77" t="inlineStr">
        <is>
          <t>i</t>
        </is>
      </c>
      <c r="I281" s="77">
        <f>IF(ISNUMBER(N281),N281*fx_deflator!$I$6*fx_deflator!$M$6,"")</f>
        <v/>
      </c>
      <c r="J281" s="77" t="inlineStr">
        <is>
          <t>Ofgem RO guidance OFG1164 Table 1.1 (buy-out x obligation)</t>
        </is>
      </c>
      <c r="K281" s="77" t="inlineStr">
        <is>
          <t>stage4_uk r12-14</t>
        </is>
      </c>
      <c r="L281" s="77" t="inlineStr">
        <is>
          <t>2026-07-15</t>
        </is>
      </c>
      <c r="M281" s="77" t="inlineStr">
        <is>
          <t>Y</t>
        </is>
      </c>
      <c r="N281" s="136">
        <f>IF(ISNUMBER(timeseries!E10),timeseries!E10,"")</f>
        <v/>
      </c>
      <c r="O281" s="77" t="inlineStr">
        <is>
          <t>GBP/MWh nominal</t>
        </is>
      </c>
    </row>
    <row r="282" ht="15" customHeight="1" s="78">
      <c r="A282" s="77" t="inlineStr">
        <is>
          <t>UK</t>
        </is>
      </c>
      <c r="B282" s="77" t="n">
        <v>2011</v>
      </c>
      <c r="C282" s="77" t="inlineStr">
        <is>
          <t>medium</t>
        </is>
      </c>
      <c r="D282" s="77" t="inlineStr">
        <is>
          <t>E1</t>
        </is>
      </c>
      <c r="E282" s="77" t="inlineStr">
        <is>
          <t>FiT levelisation</t>
        </is>
      </c>
      <c r="F282" s="77" t="inlineStr">
        <is>
          <t>2 Gen capital recovery</t>
        </is>
      </c>
      <c r="G282" s="77" t="inlineStr">
        <is>
          <t>renewables levy</t>
        </is>
      </c>
      <c r="H282" s="77" t="inlineStr">
        <is>
          <t>i</t>
        </is>
      </c>
      <c r="I282" s="77">
        <f>IF(ISNUMBER(N282),N282*fx_deflator!$I$6*fx_deflator!$M$6,"")</f>
        <v/>
      </c>
      <c r="J282" s="77" t="inlineStr">
        <is>
          <t>Ofgem FIT Annual Reports SY1-SY15; D27 for 2010-14</t>
        </is>
      </c>
      <c r="K282" s="77" t="inlineStr">
        <is>
          <t>stage4_uk r20</t>
        </is>
      </c>
      <c r="L282" s="77" t="inlineStr">
        <is>
          <t>2026-07-15</t>
        </is>
      </c>
      <c r="M282" s="77" t="inlineStr">
        <is>
          <t>Y</t>
        </is>
      </c>
      <c r="N282" s="77">
        <f>IF(ISNUMBER(timeseries!E12),timeseries!E12,"")</f>
        <v/>
      </c>
      <c r="O282" s="77" t="inlineStr">
        <is>
          <t>GBP/MWh nominal</t>
        </is>
      </c>
      <c r="P282" s="77" t="inlineStr">
        <is>
          <t>2025 unpublished (Q32) — row absent, gap stated</t>
        </is>
      </c>
    </row>
    <row r="283" ht="15" customHeight="1" s="78">
      <c r="A283" s="77" t="inlineStr">
        <is>
          <t>UK</t>
        </is>
      </c>
      <c r="B283" s="77" t="n">
        <v>2011</v>
      </c>
      <c r="C283" s="77" t="inlineStr">
        <is>
          <t>medium</t>
        </is>
      </c>
      <c r="D283" s="77" t="inlineStr">
        <is>
          <t>E1</t>
        </is>
      </c>
      <c r="E283" s="77" t="inlineStr">
        <is>
          <t>CCL (main rate; CCA discount not modelled)</t>
        </is>
      </c>
      <c r="F283" s="77" t="inlineStr">
        <is>
          <t>5 General taxation &amp; levies</t>
        </is>
      </c>
      <c r="G283" s="77" t="inlineStr">
        <is>
          <t>climate levy (tax)</t>
        </is>
      </c>
      <c r="H283" s="77" t="inlineStr">
        <is>
          <t>i</t>
        </is>
      </c>
      <c r="I283" s="77">
        <f>IF(ISNUMBER(N283),N283*fx_deflator!$I$6*fx_deflator!$M$6,"")</f>
        <v/>
      </c>
      <c r="J283" s="77" t="inlineStr">
        <is>
          <t>HMRC Environmental Taxes Bulletin, historical rates Table 1</t>
        </is>
      </c>
      <c r="K283" s="77" t="inlineStr">
        <is>
          <t>stage4_uk r22</t>
        </is>
      </c>
      <c r="L283" s="77" t="inlineStr">
        <is>
          <t>2026-07-15</t>
        </is>
      </c>
      <c r="M283" s="77" t="inlineStr">
        <is>
          <t>N</t>
        </is>
      </c>
      <c r="N283" s="136">
        <f>IF(ISNUMBER(timeseries!E14),timeseries!E14,"")</f>
        <v/>
      </c>
      <c r="O283" s="77" t="inlineStr">
        <is>
          <t>GBP/MWh nominal</t>
        </is>
      </c>
    </row>
    <row r="284" ht="15" customHeight="1" s="78">
      <c r="A284" s="77" t="inlineStr">
        <is>
          <t>UK</t>
        </is>
      </c>
      <c r="B284" s="77" t="n">
        <v>2012</v>
      </c>
      <c r="C284" s="77" t="inlineStr">
        <is>
          <t>medium</t>
        </is>
      </c>
      <c r="D284" s="77" t="inlineStr">
        <is>
          <t>E1</t>
        </is>
      </c>
      <c r="E284" s="77" t="inlineStr">
        <is>
          <t>Wholesale (rolling year-ahead baseload; DA proxy &lt;=2021)</t>
        </is>
      </c>
      <c r="F284" s="77" t="inlineStr">
        <is>
          <t>1 Commodity</t>
        </is>
      </c>
      <c r="G284" s="77" t="inlineStr">
        <is>
          <t>wholesale market</t>
        </is>
      </c>
      <c r="H284" s="77" t="inlineStr">
        <is>
          <t>i</t>
        </is>
      </c>
      <c r="I284" s="77">
        <f>IF(ISNUMBER(N284),N284*fx_deflator!$I$7*fx_deflator!$M$7,"")</f>
        <v/>
      </c>
      <c r="J284" s="77" t="inlineStr">
        <is>
          <t>Ofgem data portal — DA baseload monthly avg (proxy &lt;=2021, D22); Forward Delivery Contracts (D21)</t>
        </is>
      </c>
      <c r="K284" s="77" t="inlineStr">
        <is>
          <t>stage4_uk r7-9</t>
        </is>
      </c>
      <c r="L284" s="77" t="inlineStr">
        <is>
          <t>2026-07-15</t>
        </is>
      </c>
      <c r="M284" s="77" t="inlineStr">
        <is>
          <t>Y</t>
        </is>
      </c>
      <c r="N284" s="136">
        <f>IF(ISNUMBER(timeseries!F22),timeseries!F22,"")</f>
        <v/>
      </c>
      <c r="O284" s="77" t="inlineStr">
        <is>
          <t>GBP/MWh nominal</t>
        </is>
      </c>
      <c r="P284" s="77" t="inlineStr">
        <is>
          <t>identical E1/E2; embedded carbon memo inside this item</t>
        </is>
      </c>
    </row>
    <row r="285" ht="15" customHeight="1" s="78">
      <c r="A285" s="77" t="inlineStr">
        <is>
          <t>UK</t>
        </is>
      </c>
      <c r="B285" s="77" t="n">
        <v>2012</v>
      </c>
      <c r="C285" s="77" t="inlineStr">
        <is>
          <t>medium</t>
        </is>
      </c>
      <c r="D285" s="77" t="inlineStr">
        <is>
          <t>E1</t>
        </is>
      </c>
      <c r="E285" s="77" t="inlineStr">
        <is>
          <t>TNUoS demand (zone 5; TCR banded residual from 2023)</t>
        </is>
      </c>
      <c r="F285" s="77" t="inlineStr">
        <is>
          <t>3 Network</t>
        </is>
      </c>
      <c r="G285" s="77" t="inlineStr">
        <is>
          <t>transmission network charge</t>
        </is>
      </c>
      <c r="H285" s="77" t="inlineStr">
        <is>
          <t>i</t>
        </is>
      </c>
      <c r="I285" s="77">
        <f>IF(ISNUMBER(N285),N285*fx_deflator!$I$7*fx_deflator!$M$7,"")</f>
        <v/>
      </c>
      <c r="J285" s="77" t="inlineStr">
        <is>
          <t>NESO TNUoS tariff documents (compendium doc 50736; Final TNUoS 2023/24-2026/27 Table 10)</t>
        </is>
      </c>
      <c r="K285" s="77" t="inlineStr">
        <is>
          <t>stage4_uk r25-27</t>
        </is>
      </c>
      <c r="L285" s="77" t="inlineStr">
        <is>
          <t>2026-07-15</t>
        </is>
      </c>
      <c r="M285" s="77" t="inlineStr">
        <is>
          <t>Y</t>
        </is>
      </c>
      <c r="N285" s="136">
        <f>IF(ISNUMBER(timeseries!F23),timeseries!F23,"")</f>
        <v/>
      </c>
      <c r="O285" s="77" t="inlineStr">
        <is>
          <t>GBP/MWh nominal</t>
        </is>
      </c>
    </row>
    <row r="286" ht="15" customHeight="1" s="78">
      <c r="A286" s="77" t="inlineStr">
        <is>
          <t>UK</t>
        </is>
      </c>
      <c r="B286" s="77" t="n">
        <v>2012</v>
      </c>
      <c r="C286" s="77" t="inlineStr">
        <is>
          <t>medium</t>
        </is>
      </c>
      <c r="D286" s="77" t="inlineStr">
        <is>
          <t>E1</t>
        </is>
      </c>
      <c r="E286" s="77" t="inlineStr">
        <is>
          <t>DUoS unit rates (NPg CDCM red/amber/green, uniform-operation weights)</t>
        </is>
      </c>
      <c r="F286" s="77" t="inlineStr">
        <is>
          <t>3 Network</t>
        </is>
      </c>
      <c r="G286" s="77" t="inlineStr">
        <is>
          <t>distribution network charge</t>
        </is>
      </c>
      <c r="H286" s="77" t="inlineStr">
        <is>
          <t>i</t>
        </is>
      </c>
      <c r="I286" s="77">
        <f>IF(ISNUMBER(N286),N286*fx_deflator!$I$7*fx_deflator!$M$7,"")</f>
        <v/>
      </c>
      <c r="J286" s="77" t="inlineStr">
        <is>
          <t>NPg (Yorkshire) LC14 CDCM statements; D28 reconstruction 2010-16</t>
        </is>
      </c>
      <c r="K286" s="77" t="inlineStr">
        <is>
          <t>stage4_uk r34-41</t>
        </is>
      </c>
      <c r="L286" s="77" t="inlineStr">
        <is>
          <t>2026-07-15</t>
        </is>
      </c>
      <c r="M286" s="77" t="inlineStr">
        <is>
          <t>Y</t>
        </is>
      </c>
      <c r="N286" s="136">
        <f>IF(ISNUMBER(timeseries!F24),timeseries!F24,"")</f>
        <v/>
      </c>
      <c r="O286" s="77" t="inlineStr">
        <is>
          <t>GBP/MWh nominal</t>
        </is>
      </c>
    </row>
    <row r="287" ht="15" customHeight="1" s="78">
      <c r="A287" s="77" t="inlineStr">
        <is>
          <t>UK</t>
        </is>
      </c>
      <c r="B287" s="77" t="n">
        <v>2012</v>
      </c>
      <c r="C287" s="77" t="inlineStr">
        <is>
          <t>medium</t>
        </is>
      </c>
      <c r="D287" s="77" t="inlineStr">
        <is>
          <t>E1</t>
        </is>
      </c>
      <c r="E287" s="77" t="inlineStr">
        <is>
          <t>DUoS fixed charge (TCR Band-4 residual from 2022/23)</t>
        </is>
      </c>
      <c r="F287" s="77" t="inlineStr">
        <is>
          <t>3 Network</t>
        </is>
      </c>
      <c r="G287" s="77" t="inlineStr">
        <is>
          <t>distribution network charge</t>
        </is>
      </c>
      <c r="H287" s="77" t="inlineStr">
        <is>
          <t>i</t>
        </is>
      </c>
      <c r="I287" s="77">
        <f>IF(ISNUMBER(N287),N287*fx_deflator!$I$7*fx_deflator!$M$7,"")</f>
        <v/>
      </c>
      <c r="J287" s="77" t="inlineStr">
        <is>
          <t>NPg (Yorkshire) LC14 CDCM statements; D28 reconstruction 2010-16</t>
        </is>
      </c>
      <c r="K287" s="77" t="inlineStr">
        <is>
          <t>stage4_uk r34-41</t>
        </is>
      </c>
      <c r="L287" s="77" t="inlineStr">
        <is>
          <t>2026-07-15</t>
        </is>
      </c>
      <c r="M287" s="77" t="inlineStr">
        <is>
          <t>Y</t>
        </is>
      </c>
      <c r="N287" s="136">
        <f>IF(ISNUMBER(timeseries!F25),timeseries!F25,"")</f>
        <v/>
      </c>
      <c r="O287" s="77" t="inlineStr">
        <is>
          <t>GBP/MWh nominal</t>
        </is>
      </c>
    </row>
    <row r="288" ht="15" customHeight="1" s="78">
      <c r="A288" s="77" t="inlineStr">
        <is>
          <t>UK</t>
        </is>
      </c>
      <c r="B288" s="77" t="n">
        <v>2012</v>
      </c>
      <c r="C288" s="77" t="inlineStr">
        <is>
          <t>medium</t>
        </is>
      </c>
      <c r="D288" s="77" t="inlineStr">
        <is>
          <t>E1</t>
        </is>
      </c>
      <c r="E288" s="77" t="inlineStr">
        <is>
          <t>DUoS capacity charge</t>
        </is>
      </c>
      <c r="F288" s="77" t="inlineStr">
        <is>
          <t>3 Network</t>
        </is>
      </c>
      <c r="G288" s="77" t="inlineStr">
        <is>
          <t>distribution network charge</t>
        </is>
      </c>
      <c r="H288" s="77" t="inlineStr">
        <is>
          <t>i</t>
        </is>
      </c>
      <c r="I288" s="77">
        <f>IF(ISNUMBER(N288),N288*fx_deflator!$I$7*fx_deflator!$M$7,"")</f>
        <v/>
      </c>
      <c r="J288" s="77" t="inlineStr">
        <is>
          <t>NPg (Yorkshire) LC14 CDCM statements; D28 reconstruction 2010-16</t>
        </is>
      </c>
      <c r="K288" s="77" t="inlineStr">
        <is>
          <t>stage4_uk r34-41</t>
        </is>
      </c>
      <c r="L288" s="77" t="inlineStr">
        <is>
          <t>2026-07-15</t>
        </is>
      </c>
      <c r="M288" s="77" t="inlineStr">
        <is>
          <t>Y</t>
        </is>
      </c>
      <c r="N288" s="136">
        <f>IF(ISNUMBER(timeseries!F26),timeseries!F26,"")</f>
        <v/>
      </c>
      <c r="O288" s="77" t="inlineStr">
        <is>
          <t>GBP/MWh nominal</t>
        </is>
      </c>
    </row>
    <row r="289" ht="15" customHeight="1" s="78">
      <c r="A289" s="77" t="inlineStr">
        <is>
          <t>UK</t>
        </is>
      </c>
      <c r="B289" s="77" t="n">
        <v>2012</v>
      </c>
      <c r="C289" s="77" t="inlineStr">
        <is>
          <t>medium</t>
        </is>
      </c>
      <c r="D289" s="77" t="inlineStr">
        <is>
          <t>E1</t>
        </is>
      </c>
      <c r="E289" s="77" t="inlineStr">
        <is>
          <t>BSUoS (demand-only from 04/2023)</t>
        </is>
      </c>
      <c r="F289" s="77" t="inlineStr">
        <is>
          <t>4 System services &amp; balancing</t>
        </is>
      </c>
      <c r="G289" s="77" t="inlineStr">
        <is>
          <t>balancing charge</t>
        </is>
      </c>
      <c r="H289" s="77" t="inlineStr">
        <is>
          <t>i</t>
        </is>
      </c>
      <c r="I289" s="77">
        <f>IF(ISNUMBER(N289),N289*fx_deflator!$I$7*fx_deflator!$M$7,"")</f>
        <v/>
      </c>
      <c r="J289" s="77" t="inlineStr">
        <is>
          <t>NESO bsuos-fixed-tariffs + HH RF settlement files (own annual avg 2010-22)</t>
        </is>
      </c>
      <c r="K289" s="77" t="inlineStr">
        <is>
          <t>stage4_uk r28-30</t>
        </is>
      </c>
      <c r="L289" s="77" t="inlineStr">
        <is>
          <t>2026-07-15</t>
        </is>
      </c>
      <c r="M289" s="77" t="inlineStr">
        <is>
          <t>Y</t>
        </is>
      </c>
      <c r="N289" s="77">
        <f>IF(ISNUMBER(timeseries!F8),timeseries!F8,"")</f>
        <v/>
      </c>
      <c r="O289" s="77" t="inlineStr">
        <is>
          <t>GBP/MWh nominal</t>
        </is>
      </c>
    </row>
    <row r="290" ht="15" customHeight="1" s="78">
      <c r="A290" s="77" t="inlineStr">
        <is>
          <t>UK</t>
        </is>
      </c>
      <c r="B290" s="77" t="n">
        <v>2012</v>
      </c>
      <c r="C290" s="77" t="inlineStr">
        <is>
          <t>medium</t>
        </is>
      </c>
      <c r="D290" s="77" t="inlineStr">
        <is>
          <t>E1</t>
        </is>
      </c>
      <c r="E290" s="77" t="inlineStr">
        <is>
          <t>AAHEDC</t>
        </is>
      </c>
      <c r="F290" s="77" t="inlineStr">
        <is>
          <t>3 Network</t>
        </is>
      </c>
      <c r="G290" s="77" t="inlineStr">
        <is>
          <t>network levy (hydro benefit)</t>
        </is>
      </c>
      <c r="H290" s="77" t="inlineStr">
        <is>
          <t>ii (pays cross-subsidy to N Scotland consumers)</t>
        </is>
      </c>
      <c r="I290" s="77">
        <f>IF(ISNUMBER(N290),N290*fx_deflator!$I$7*fx_deflator!$M$7,"")</f>
        <v/>
      </c>
      <c r="J290" s="77" t="inlineStr">
        <is>
          <t>NG/ESO AAHEDC charging statements &amp; final tariff letters</t>
        </is>
      </c>
      <c r="K290" s="77" t="inlineStr">
        <is>
          <t>stage4_uk r31</t>
        </is>
      </c>
      <c r="L290" s="77" t="inlineStr">
        <is>
          <t>2026-07-15</t>
        </is>
      </c>
      <c r="M290" s="77" t="inlineStr">
        <is>
          <t>N</t>
        </is>
      </c>
      <c r="N290" s="77">
        <f>IF(ISNUMBER(timeseries!F9),timeseries!F9,"")</f>
        <v/>
      </c>
      <c r="O290" s="77" t="inlineStr">
        <is>
          <t>GBP/MWh nominal</t>
        </is>
      </c>
      <c r="P290" s="77" t="inlineStr">
        <is>
          <t>not in NCC base (conservative, unverified)</t>
        </is>
      </c>
    </row>
    <row r="291" ht="15" customHeight="1" s="78">
      <c r="A291" s="77" t="inlineStr">
        <is>
          <t>UK</t>
        </is>
      </c>
      <c r="B291" s="77" t="n">
        <v>2012</v>
      </c>
      <c r="C291" s="77" t="inlineStr">
        <is>
          <t>medium</t>
        </is>
      </c>
      <c r="D291" s="77" t="inlineStr">
        <is>
          <t>E1</t>
        </is>
      </c>
      <c r="E291" s="77" t="inlineStr">
        <is>
          <t>RO (buy-out x obligation)</t>
        </is>
      </c>
      <c r="F291" s="77" t="inlineStr">
        <is>
          <t>2 Gen capital recovery</t>
        </is>
      </c>
      <c r="G291" s="77" t="inlineStr">
        <is>
          <t>renewables levy</t>
        </is>
      </c>
      <c r="H291" s="77" t="inlineStr">
        <is>
          <t>i</t>
        </is>
      </c>
      <c r="I291" s="77">
        <f>IF(ISNUMBER(N291),N291*fx_deflator!$I$7*fx_deflator!$M$7,"")</f>
        <v/>
      </c>
      <c r="J291" s="77" t="inlineStr">
        <is>
          <t>Ofgem RO guidance OFG1164 Table 1.1 (buy-out x obligation)</t>
        </is>
      </c>
      <c r="K291" s="77" t="inlineStr">
        <is>
          <t>stage4_uk r12-14</t>
        </is>
      </c>
      <c r="L291" s="77" t="inlineStr">
        <is>
          <t>2026-07-15</t>
        </is>
      </c>
      <c r="M291" s="77" t="inlineStr">
        <is>
          <t>Y</t>
        </is>
      </c>
      <c r="N291" s="136">
        <f>IF(ISNUMBER(timeseries!F10),timeseries!F10,"")</f>
        <v/>
      </c>
      <c r="O291" s="77" t="inlineStr">
        <is>
          <t>GBP/MWh nominal</t>
        </is>
      </c>
    </row>
    <row r="292" ht="15" customHeight="1" s="78">
      <c r="A292" s="77" t="inlineStr">
        <is>
          <t>UK</t>
        </is>
      </c>
      <c r="B292" s="77" t="n">
        <v>2012</v>
      </c>
      <c r="C292" s="77" t="inlineStr">
        <is>
          <t>medium</t>
        </is>
      </c>
      <c r="D292" s="77" t="inlineStr">
        <is>
          <t>E1</t>
        </is>
      </c>
      <c r="E292" s="77" t="inlineStr">
        <is>
          <t>FiT levelisation</t>
        </is>
      </c>
      <c r="F292" s="77" t="inlineStr">
        <is>
          <t>2 Gen capital recovery</t>
        </is>
      </c>
      <c r="G292" s="77" t="inlineStr">
        <is>
          <t>renewables levy</t>
        </is>
      </c>
      <c r="H292" s="77" t="inlineStr">
        <is>
          <t>i</t>
        </is>
      </c>
      <c r="I292" s="77">
        <f>IF(ISNUMBER(N292),N292*fx_deflator!$I$7*fx_deflator!$M$7,"")</f>
        <v/>
      </c>
      <c r="J292" s="77" t="inlineStr">
        <is>
          <t>Ofgem FIT Annual Reports SY1-SY15; D27 for 2010-14</t>
        </is>
      </c>
      <c r="K292" s="77" t="inlineStr">
        <is>
          <t>stage4_uk r20</t>
        </is>
      </c>
      <c r="L292" s="77" t="inlineStr">
        <is>
          <t>2026-07-15</t>
        </is>
      </c>
      <c r="M292" s="77" t="inlineStr">
        <is>
          <t>Y</t>
        </is>
      </c>
      <c r="N292" s="77">
        <f>IF(ISNUMBER(timeseries!F12),timeseries!F12,"")</f>
        <v/>
      </c>
      <c r="O292" s="77" t="inlineStr">
        <is>
          <t>GBP/MWh nominal</t>
        </is>
      </c>
      <c r="P292" s="77" t="inlineStr">
        <is>
          <t>2025 unpublished (Q32) — row absent, gap stated</t>
        </is>
      </c>
    </row>
    <row r="293" ht="15" customHeight="1" s="78">
      <c r="A293" s="77" t="inlineStr">
        <is>
          <t>UK</t>
        </is>
      </c>
      <c r="B293" s="77" t="n">
        <v>2012</v>
      </c>
      <c r="C293" s="77" t="inlineStr">
        <is>
          <t>medium</t>
        </is>
      </c>
      <c r="D293" s="77" t="inlineStr">
        <is>
          <t>E1</t>
        </is>
      </c>
      <c r="E293" s="77" t="inlineStr">
        <is>
          <t>CCL (main rate; CCA discount not modelled)</t>
        </is>
      </c>
      <c r="F293" s="77" t="inlineStr">
        <is>
          <t>5 General taxation &amp; levies</t>
        </is>
      </c>
      <c r="G293" s="77" t="inlineStr">
        <is>
          <t>climate levy (tax)</t>
        </is>
      </c>
      <c r="H293" s="77" t="inlineStr">
        <is>
          <t>i</t>
        </is>
      </c>
      <c r="I293" s="77">
        <f>IF(ISNUMBER(N293),N293*fx_deflator!$I$7*fx_deflator!$M$7,"")</f>
        <v/>
      </c>
      <c r="J293" s="77" t="inlineStr">
        <is>
          <t>HMRC Environmental Taxes Bulletin, historical rates Table 1</t>
        </is>
      </c>
      <c r="K293" s="77" t="inlineStr">
        <is>
          <t>stage4_uk r22</t>
        </is>
      </c>
      <c r="L293" s="77" t="inlineStr">
        <is>
          <t>2026-07-15</t>
        </is>
      </c>
      <c r="M293" s="77" t="inlineStr">
        <is>
          <t>N</t>
        </is>
      </c>
      <c r="N293" s="136">
        <f>IF(ISNUMBER(timeseries!F14),timeseries!F14,"")</f>
        <v/>
      </c>
      <c r="O293" s="77" t="inlineStr">
        <is>
          <t>GBP/MWh nominal</t>
        </is>
      </c>
    </row>
    <row r="294" ht="15" customHeight="1" s="78">
      <c r="A294" s="77" t="inlineStr">
        <is>
          <t>UK</t>
        </is>
      </c>
      <c r="B294" s="77" t="n">
        <v>2013</v>
      </c>
      <c r="C294" s="77" t="inlineStr">
        <is>
          <t>medium</t>
        </is>
      </c>
      <c r="D294" s="77" t="inlineStr">
        <is>
          <t>E1</t>
        </is>
      </c>
      <c r="E294" s="77" t="inlineStr">
        <is>
          <t>Wholesale (rolling year-ahead baseload; DA proxy &lt;=2021)</t>
        </is>
      </c>
      <c r="F294" s="77" t="inlineStr">
        <is>
          <t>1 Commodity</t>
        </is>
      </c>
      <c r="G294" s="77" t="inlineStr">
        <is>
          <t>wholesale market</t>
        </is>
      </c>
      <c r="H294" s="77" t="inlineStr">
        <is>
          <t>i</t>
        </is>
      </c>
      <c r="I294" s="77">
        <f>IF(ISNUMBER(N294),N294*fx_deflator!$I$8*fx_deflator!$M$8,"")</f>
        <v/>
      </c>
      <c r="J294" s="77" t="inlineStr">
        <is>
          <t>Ofgem data portal — DA baseload monthly avg (proxy &lt;=2021, D22); Forward Delivery Contracts (D21)</t>
        </is>
      </c>
      <c r="K294" s="77" t="inlineStr">
        <is>
          <t>stage4_uk r7-9</t>
        </is>
      </c>
      <c r="L294" s="77" t="inlineStr">
        <is>
          <t>2026-07-15</t>
        </is>
      </c>
      <c r="M294" s="77" t="inlineStr">
        <is>
          <t>Y</t>
        </is>
      </c>
      <c r="N294" s="136">
        <f>IF(ISNUMBER(timeseries!G22),timeseries!G22,"")</f>
        <v/>
      </c>
      <c r="O294" s="77" t="inlineStr">
        <is>
          <t>GBP/MWh nominal</t>
        </is>
      </c>
      <c r="P294" s="77" t="inlineStr">
        <is>
          <t>identical E1/E2; embedded carbon memo inside this item</t>
        </is>
      </c>
    </row>
    <row r="295" ht="15" customHeight="1" s="78">
      <c r="A295" s="77" t="inlineStr">
        <is>
          <t>UK</t>
        </is>
      </c>
      <c r="B295" s="77" t="n">
        <v>2013</v>
      </c>
      <c r="C295" s="77" t="inlineStr">
        <is>
          <t>medium</t>
        </is>
      </c>
      <c r="D295" s="77" t="inlineStr">
        <is>
          <t>E1</t>
        </is>
      </c>
      <c r="E295" s="77" t="inlineStr">
        <is>
          <t>TNUoS demand (zone 5; TCR banded residual from 2023)</t>
        </is>
      </c>
      <c r="F295" s="77" t="inlineStr">
        <is>
          <t>3 Network</t>
        </is>
      </c>
      <c r="G295" s="77" t="inlineStr">
        <is>
          <t>transmission network charge</t>
        </is>
      </c>
      <c r="H295" s="77" t="inlineStr">
        <is>
          <t>i</t>
        </is>
      </c>
      <c r="I295" s="77">
        <f>IF(ISNUMBER(N295),N295*fx_deflator!$I$8*fx_deflator!$M$8,"")</f>
        <v/>
      </c>
      <c r="J295" s="77" t="inlineStr">
        <is>
          <t>NESO TNUoS tariff documents (compendium doc 50736; Final TNUoS 2023/24-2026/27 Table 10)</t>
        </is>
      </c>
      <c r="K295" s="77" t="inlineStr">
        <is>
          <t>stage4_uk r25-27</t>
        </is>
      </c>
      <c r="L295" s="77" t="inlineStr">
        <is>
          <t>2026-07-15</t>
        </is>
      </c>
      <c r="M295" s="77" t="inlineStr">
        <is>
          <t>Y</t>
        </is>
      </c>
      <c r="N295" s="136">
        <f>IF(ISNUMBER(timeseries!G23),timeseries!G23,"")</f>
        <v/>
      </c>
      <c r="O295" s="77" t="inlineStr">
        <is>
          <t>GBP/MWh nominal</t>
        </is>
      </c>
    </row>
    <row r="296" ht="15" customHeight="1" s="78">
      <c r="A296" s="77" t="inlineStr">
        <is>
          <t>UK</t>
        </is>
      </c>
      <c r="B296" s="77" t="n">
        <v>2013</v>
      </c>
      <c r="C296" s="77" t="inlineStr">
        <is>
          <t>medium</t>
        </is>
      </c>
      <c r="D296" s="77" t="inlineStr">
        <is>
          <t>E1</t>
        </is>
      </c>
      <c r="E296" s="77" t="inlineStr">
        <is>
          <t>DUoS unit rates (NPg CDCM red/amber/green, uniform-operation weights)</t>
        </is>
      </c>
      <c r="F296" s="77" t="inlineStr">
        <is>
          <t>3 Network</t>
        </is>
      </c>
      <c r="G296" s="77" t="inlineStr">
        <is>
          <t>distribution network charge</t>
        </is>
      </c>
      <c r="H296" s="77" t="inlineStr">
        <is>
          <t>i</t>
        </is>
      </c>
      <c r="I296" s="77">
        <f>IF(ISNUMBER(N296),N296*fx_deflator!$I$8*fx_deflator!$M$8,"")</f>
        <v/>
      </c>
      <c r="J296" s="77" t="inlineStr">
        <is>
          <t>NPg (Yorkshire) LC14 CDCM statements; D28 reconstruction 2010-16</t>
        </is>
      </c>
      <c r="K296" s="77" t="inlineStr">
        <is>
          <t>stage4_uk r34-41</t>
        </is>
      </c>
      <c r="L296" s="77" t="inlineStr">
        <is>
          <t>2026-07-15</t>
        </is>
      </c>
      <c r="M296" s="77" t="inlineStr">
        <is>
          <t>Y</t>
        </is>
      </c>
      <c r="N296" s="136">
        <f>IF(ISNUMBER(timeseries!G24),timeseries!G24,"")</f>
        <v/>
      </c>
      <c r="O296" s="77" t="inlineStr">
        <is>
          <t>GBP/MWh nominal</t>
        </is>
      </c>
    </row>
    <row r="297" ht="15" customHeight="1" s="78">
      <c r="A297" s="77" t="inlineStr">
        <is>
          <t>UK</t>
        </is>
      </c>
      <c r="B297" s="77" t="n">
        <v>2013</v>
      </c>
      <c r="C297" s="77" t="inlineStr">
        <is>
          <t>medium</t>
        </is>
      </c>
      <c r="D297" s="77" t="inlineStr">
        <is>
          <t>E1</t>
        </is>
      </c>
      <c r="E297" s="77" t="inlineStr">
        <is>
          <t>DUoS fixed charge (TCR Band-4 residual from 2022/23)</t>
        </is>
      </c>
      <c r="F297" s="77" t="inlineStr">
        <is>
          <t>3 Network</t>
        </is>
      </c>
      <c r="G297" s="77" t="inlineStr">
        <is>
          <t>distribution network charge</t>
        </is>
      </c>
      <c r="H297" s="77" t="inlineStr">
        <is>
          <t>i</t>
        </is>
      </c>
      <c r="I297" s="77">
        <f>IF(ISNUMBER(N297),N297*fx_deflator!$I$8*fx_deflator!$M$8,"")</f>
        <v/>
      </c>
      <c r="J297" s="77" t="inlineStr">
        <is>
          <t>NPg (Yorkshire) LC14 CDCM statements; D28 reconstruction 2010-16</t>
        </is>
      </c>
      <c r="K297" s="77" t="inlineStr">
        <is>
          <t>stage4_uk r34-41</t>
        </is>
      </c>
      <c r="L297" s="77" t="inlineStr">
        <is>
          <t>2026-07-15</t>
        </is>
      </c>
      <c r="M297" s="77" t="inlineStr">
        <is>
          <t>Y</t>
        </is>
      </c>
      <c r="N297" s="136">
        <f>IF(ISNUMBER(timeseries!G25),timeseries!G25,"")</f>
        <v/>
      </c>
      <c r="O297" s="77" t="inlineStr">
        <is>
          <t>GBP/MWh nominal</t>
        </is>
      </c>
    </row>
    <row r="298" ht="15" customHeight="1" s="78">
      <c r="A298" s="77" t="inlineStr">
        <is>
          <t>UK</t>
        </is>
      </c>
      <c r="B298" s="77" t="n">
        <v>2013</v>
      </c>
      <c r="C298" s="77" t="inlineStr">
        <is>
          <t>medium</t>
        </is>
      </c>
      <c r="D298" s="77" t="inlineStr">
        <is>
          <t>E1</t>
        </is>
      </c>
      <c r="E298" s="77" t="inlineStr">
        <is>
          <t>DUoS capacity charge</t>
        </is>
      </c>
      <c r="F298" s="77" t="inlineStr">
        <is>
          <t>3 Network</t>
        </is>
      </c>
      <c r="G298" s="77" t="inlineStr">
        <is>
          <t>distribution network charge</t>
        </is>
      </c>
      <c r="H298" s="77" t="inlineStr">
        <is>
          <t>i</t>
        </is>
      </c>
      <c r="I298" s="77">
        <f>IF(ISNUMBER(N298),N298*fx_deflator!$I$8*fx_deflator!$M$8,"")</f>
        <v/>
      </c>
      <c r="J298" s="77" t="inlineStr">
        <is>
          <t>NPg (Yorkshire) LC14 CDCM statements; D28 reconstruction 2010-16</t>
        </is>
      </c>
      <c r="K298" s="77" t="inlineStr">
        <is>
          <t>stage4_uk r34-41</t>
        </is>
      </c>
      <c r="L298" s="77" t="inlineStr">
        <is>
          <t>2026-07-15</t>
        </is>
      </c>
      <c r="M298" s="77" t="inlineStr">
        <is>
          <t>Y</t>
        </is>
      </c>
      <c r="N298" s="136">
        <f>IF(ISNUMBER(timeseries!G26),timeseries!G26,"")</f>
        <v/>
      </c>
      <c r="O298" s="77" t="inlineStr">
        <is>
          <t>GBP/MWh nominal</t>
        </is>
      </c>
    </row>
    <row r="299" ht="15" customHeight="1" s="78">
      <c r="A299" s="77" t="inlineStr">
        <is>
          <t>UK</t>
        </is>
      </c>
      <c r="B299" s="77" t="n">
        <v>2013</v>
      </c>
      <c r="C299" s="77" t="inlineStr">
        <is>
          <t>medium</t>
        </is>
      </c>
      <c r="D299" s="77" t="inlineStr">
        <is>
          <t>E1</t>
        </is>
      </c>
      <c r="E299" s="77" t="inlineStr">
        <is>
          <t>BSUoS (demand-only from 04/2023)</t>
        </is>
      </c>
      <c r="F299" s="77" t="inlineStr">
        <is>
          <t>4 System services &amp; balancing</t>
        </is>
      </c>
      <c r="G299" s="77" t="inlineStr">
        <is>
          <t>balancing charge</t>
        </is>
      </c>
      <c r="H299" s="77" t="inlineStr">
        <is>
          <t>i</t>
        </is>
      </c>
      <c r="I299" s="77">
        <f>IF(ISNUMBER(N299),N299*fx_deflator!$I$8*fx_deflator!$M$8,"")</f>
        <v/>
      </c>
      <c r="J299" s="77" t="inlineStr">
        <is>
          <t>NESO bsuos-fixed-tariffs + HH RF settlement files (own annual avg 2010-22)</t>
        </is>
      </c>
      <c r="K299" s="77" t="inlineStr">
        <is>
          <t>stage4_uk r28-30</t>
        </is>
      </c>
      <c r="L299" s="77" t="inlineStr">
        <is>
          <t>2026-07-15</t>
        </is>
      </c>
      <c r="M299" s="77" t="inlineStr">
        <is>
          <t>Y</t>
        </is>
      </c>
      <c r="N299" s="77">
        <f>IF(ISNUMBER(timeseries!G8),timeseries!G8,"")</f>
        <v/>
      </c>
      <c r="O299" s="77" t="inlineStr">
        <is>
          <t>GBP/MWh nominal</t>
        </is>
      </c>
    </row>
    <row r="300" ht="15" customHeight="1" s="78">
      <c r="A300" s="77" t="inlineStr">
        <is>
          <t>UK</t>
        </is>
      </c>
      <c r="B300" s="77" t="n">
        <v>2013</v>
      </c>
      <c r="C300" s="77" t="inlineStr">
        <is>
          <t>medium</t>
        </is>
      </c>
      <c r="D300" s="77" t="inlineStr">
        <is>
          <t>E1</t>
        </is>
      </c>
      <c r="E300" s="77" t="inlineStr">
        <is>
          <t>AAHEDC</t>
        </is>
      </c>
      <c r="F300" s="77" t="inlineStr">
        <is>
          <t>3 Network</t>
        </is>
      </c>
      <c r="G300" s="77" t="inlineStr">
        <is>
          <t>network levy (hydro benefit)</t>
        </is>
      </c>
      <c r="H300" s="77" t="inlineStr">
        <is>
          <t>ii (pays cross-subsidy to N Scotland consumers)</t>
        </is>
      </c>
      <c r="I300" s="77">
        <f>IF(ISNUMBER(N300),N300*fx_deflator!$I$8*fx_deflator!$M$8,"")</f>
        <v/>
      </c>
      <c r="J300" s="77" t="inlineStr">
        <is>
          <t>NG/ESO AAHEDC charging statements &amp; final tariff letters</t>
        </is>
      </c>
      <c r="K300" s="77" t="inlineStr">
        <is>
          <t>stage4_uk r31</t>
        </is>
      </c>
      <c r="L300" s="77" t="inlineStr">
        <is>
          <t>2026-07-15</t>
        </is>
      </c>
      <c r="M300" s="77" t="inlineStr">
        <is>
          <t>N</t>
        </is>
      </c>
      <c r="N300" s="77">
        <f>IF(ISNUMBER(timeseries!G9),timeseries!G9,"")</f>
        <v/>
      </c>
      <c r="O300" s="77" t="inlineStr">
        <is>
          <t>GBP/MWh nominal</t>
        </is>
      </c>
      <c r="P300" s="77" t="inlineStr">
        <is>
          <t>not in NCC base (conservative, unverified)</t>
        </is>
      </c>
    </row>
    <row r="301" ht="15" customHeight="1" s="78">
      <c r="A301" s="77" t="inlineStr">
        <is>
          <t>UK</t>
        </is>
      </c>
      <c r="B301" s="77" t="n">
        <v>2013</v>
      </c>
      <c r="C301" s="77" t="inlineStr">
        <is>
          <t>medium</t>
        </is>
      </c>
      <c r="D301" s="77" t="inlineStr">
        <is>
          <t>E1</t>
        </is>
      </c>
      <c r="E301" s="77" t="inlineStr">
        <is>
          <t>RO (buy-out x obligation)</t>
        </is>
      </c>
      <c r="F301" s="77" t="inlineStr">
        <is>
          <t>2 Gen capital recovery</t>
        </is>
      </c>
      <c r="G301" s="77" t="inlineStr">
        <is>
          <t>renewables levy</t>
        </is>
      </c>
      <c r="H301" s="77" t="inlineStr">
        <is>
          <t>i</t>
        </is>
      </c>
      <c r="I301" s="77">
        <f>IF(ISNUMBER(N301),N301*fx_deflator!$I$8*fx_deflator!$M$8,"")</f>
        <v/>
      </c>
      <c r="J301" s="77" t="inlineStr">
        <is>
          <t>Ofgem RO guidance OFG1164 Table 1.1 (buy-out x obligation)</t>
        </is>
      </c>
      <c r="K301" s="77" t="inlineStr">
        <is>
          <t>stage4_uk r12-14</t>
        </is>
      </c>
      <c r="L301" s="77" t="inlineStr">
        <is>
          <t>2026-07-15</t>
        </is>
      </c>
      <c r="M301" s="77" t="inlineStr">
        <is>
          <t>Y</t>
        </is>
      </c>
      <c r="N301" s="136">
        <f>IF(ISNUMBER(timeseries!G10),timeseries!G10,"")</f>
        <v/>
      </c>
      <c r="O301" s="77" t="inlineStr">
        <is>
          <t>GBP/MWh nominal</t>
        </is>
      </c>
    </row>
    <row r="302" ht="15" customHeight="1" s="78">
      <c r="A302" s="77" t="inlineStr">
        <is>
          <t>UK</t>
        </is>
      </c>
      <c r="B302" s="77" t="n">
        <v>2013</v>
      </c>
      <c r="C302" s="77" t="inlineStr">
        <is>
          <t>medium</t>
        </is>
      </c>
      <c r="D302" s="77" t="inlineStr">
        <is>
          <t>E1</t>
        </is>
      </c>
      <c r="E302" s="77" t="inlineStr">
        <is>
          <t>FiT levelisation</t>
        </is>
      </c>
      <c r="F302" s="77" t="inlineStr">
        <is>
          <t>2 Gen capital recovery</t>
        </is>
      </c>
      <c r="G302" s="77" t="inlineStr">
        <is>
          <t>renewables levy</t>
        </is>
      </c>
      <c r="H302" s="77" t="inlineStr">
        <is>
          <t>i</t>
        </is>
      </c>
      <c r="I302" s="77">
        <f>IF(ISNUMBER(N302),N302*fx_deflator!$I$8*fx_deflator!$M$8,"")</f>
        <v/>
      </c>
      <c r="J302" s="77" t="inlineStr">
        <is>
          <t>Ofgem FIT Annual Reports SY1-SY15; D27 for 2010-14</t>
        </is>
      </c>
      <c r="K302" s="77" t="inlineStr">
        <is>
          <t>stage4_uk r20</t>
        </is>
      </c>
      <c r="L302" s="77" t="inlineStr">
        <is>
          <t>2026-07-15</t>
        </is>
      </c>
      <c r="M302" s="77" t="inlineStr">
        <is>
          <t>Y</t>
        </is>
      </c>
      <c r="N302" s="77">
        <f>IF(ISNUMBER(timeseries!G12),timeseries!G12,"")</f>
        <v/>
      </c>
      <c r="O302" s="77" t="inlineStr">
        <is>
          <t>GBP/MWh nominal</t>
        </is>
      </c>
      <c r="P302" s="77" t="inlineStr">
        <is>
          <t>2025 unpublished (Q32) — row absent, gap stated</t>
        </is>
      </c>
    </row>
    <row r="303" ht="15" customHeight="1" s="78">
      <c r="A303" s="77" t="inlineStr">
        <is>
          <t>UK</t>
        </is>
      </c>
      <c r="B303" s="77" t="n">
        <v>2013</v>
      </c>
      <c r="C303" s="77" t="inlineStr">
        <is>
          <t>medium</t>
        </is>
      </c>
      <c r="D303" s="77" t="inlineStr">
        <is>
          <t>E1</t>
        </is>
      </c>
      <c r="E303" s="77" t="inlineStr">
        <is>
          <t>CCL (main rate; CCA discount not modelled)</t>
        </is>
      </c>
      <c r="F303" s="77" t="inlineStr">
        <is>
          <t>5 General taxation &amp; levies</t>
        </is>
      </c>
      <c r="G303" s="77" t="inlineStr">
        <is>
          <t>climate levy (tax)</t>
        </is>
      </c>
      <c r="H303" s="77" t="inlineStr">
        <is>
          <t>i</t>
        </is>
      </c>
      <c r="I303" s="77">
        <f>IF(ISNUMBER(N303),N303*fx_deflator!$I$8*fx_deflator!$M$8,"")</f>
        <v/>
      </c>
      <c r="J303" s="77" t="inlineStr">
        <is>
          <t>HMRC Environmental Taxes Bulletin, historical rates Table 1</t>
        </is>
      </c>
      <c r="K303" s="77" t="inlineStr">
        <is>
          <t>stage4_uk r22</t>
        </is>
      </c>
      <c r="L303" s="77" t="inlineStr">
        <is>
          <t>2026-07-15</t>
        </is>
      </c>
      <c r="M303" s="77" t="inlineStr">
        <is>
          <t>N</t>
        </is>
      </c>
      <c r="N303" s="136">
        <f>IF(ISNUMBER(timeseries!G14),timeseries!G14,"")</f>
        <v/>
      </c>
      <c r="O303" s="77" t="inlineStr">
        <is>
          <t>GBP/MWh nominal</t>
        </is>
      </c>
    </row>
    <row r="304" ht="15" customHeight="1" s="78">
      <c r="A304" s="77" t="inlineStr">
        <is>
          <t>UK</t>
        </is>
      </c>
      <c r="B304" s="77" t="n">
        <v>2014</v>
      </c>
      <c r="C304" s="77" t="inlineStr">
        <is>
          <t>medium</t>
        </is>
      </c>
      <c r="D304" s="77" t="inlineStr">
        <is>
          <t>E1</t>
        </is>
      </c>
      <c r="E304" s="77" t="inlineStr">
        <is>
          <t>Wholesale (rolling year-ahead baseload; DA proxy &lt;=2021)</t>
        </is>
      </c>
      <c r="F304" s="77" t="inlineStr">
        <is>
          <t>1 Commodity</t>
        </is>
      </c>
      <c r="G304" s="77" t="inlineStr">
        <is>
          <t>wholesale market</t>
        </is>
      </c>
      <c r="H304" s="77" t="inlineStr">
        <is>
          <t>i</t>
        </is>
      </c>
      <c r="I304" s="77">
        <f>IF(ISNUMBER(N304),N304*fx_deflator!$I$9*fx_deflator!$M$9,"")</f>
        <v/>
      </c>
      <c r="J304" s="77" t="inlineStr">
        <is>
          <t>Ofgem data portal — DA baseload monthly avg (proxy &lt;=2021, D22); Forward Delivery Contracts (D21)</t>
        </is>
      </c>
      <c r="K304" s="77" t="inlineStr">
        <is>
          <t>stage4_uk r7-9</t>
        </is>
      </c>
      <c r="L304" s="77" t="inlineStr">
        <is>
          <t>2026-07-15</t>
        </is>
      </c>
      <c r="M304" s="77" t="inlineStr">
        <is>
          <t>Y</t>
        </is>
      </c>
      <c r="N304" s="136">
        <f>IF(ISNUMBER(timeseries!H22),timeseries!H22,"")</f>
        <v/>
      </c>
      <c r="O304" s="77" t="inlineStr">
        <is>
          <t>GBP/MWh nominal</t>
        </is>
      </c>
      <c r="P304" s="77" t="inlineStr">
        <is>
          <t>identical E1/E2; embedded carbon memo inside this item</t>
        </is>
      </c>
    </row>
    <row r="305" ht="15" customHeight="1" s="78">
      <c r="A305" s="77" t="inlineStr">
        <is>
          <t>UK</t>
        </is>
      </c>
      <c r="B305" s="77" t="n">
        <v>2014</v>
      </c>
      <c r="C305" s="77" t="inlineStr">
        <is>
          <t>medium</t>
        </is>
      </c>
      <c r="D305" s="77" t="inlineStr">
        <is>
          <t>E1</t>
        </is>
      </c>
      <c r="E305" s="77" t="inlineStr">
        <is>
          <t>TNUoS demand (zone 5; TCR banded residual from 2023)</t>
        </is>
      </c>
      <c r="F305" s="77" t="inlineStr">
        <is>
          <t>3 Network</t>
        </is>
      </c>
      <c r="G305" s="77" t="inlineStr">
        <is>
          <t>transmission network charge</t>
        </is>
      </c>
      <c r="H305" s="77" t="inlineStr">
        <is>
          <t>i</t>
        </is>
      </c>
      <c r="I305" s="77">
        <f>IF(ISNUMBER(N305),N305*fx_deflator!$I$9*fx_deflator!$M$9,"")</f>
        <v/>
      </c>
      <c r="J305" s="77" t="inlineStr">
        <is>
          <t>NESO TNUoS tariff documents (compendium doc 50736; Final TNUoS 2023/24-2026/27 Table 10)</t>
        </is>
      </c>
      <c r="K305" s="77" t="inlineStr">
        <is>
          <t>stage4_uk r25-27</t>
        </is>
      </c>
      <c r="L305" s="77" t="inlineStr">
        <is>
          <t>2026-07-15</t>
        </is>
      </c>
      <c r="M305" s="77" t="inlineStr">
        <is>
          <t>Y</t>
        </is>
      </c>
      <c r="N305" s="136">
        <f>IF(ISNUMBER(timeseries!H23),timeseries!H23,"")</f>
        <v/>
      </c>
      <c r="O305" s="77" t="inlineStr">
        <is>
          <t>GBP/MWh nominal</t>
        </is>
      </c>
    </row>
    <row r="306" ht="15" customHeight="1" s="78">
      <c r="A306" s="77" t="inlineStr">
        <is>
          <t>UK</t>
        </is>
      </c>
      <c r="B306" s="77" t="n">
        <v>2014</v>
      </c>
      <c r="C306" s="77" t="inlineStr">
        <is>
          <t>medium</t>
        </is>
      </c>
      <c r="D306" s="77" t="inlineStr">
        <is>
          <t>E1</t>
        </is>
      </c>
      <c r="E306" s="77" t="inlineStr">
        <is>
          <t>DUoS unit rates (NPg CDCM red/amber/green, uniform-operation weights)</t>
        </is>
      </c>
      <c r="F306" s="77" t="inlineStr">
        <is>
          <t>3 Network</t>
        </is>
      </c>
      <c r="G306" s="77" t="inlineStr">
        <is>
          <t>distribution network charge</t>
        </is>
      </c>
      <c r="H306" s="77" t="inlineStr">
        <is>
          <t>i</t>
        </is>
      </c>
      <c r="I306" s="77">
        <f>IF(ISNUMBER(N306),N306*fx_deflator!$I$9*fx_deflator!$M$9,"")</f>
        <v/>
      </c>
      <c r="J306" s="77" t="inlineStr">
        <is>
          <t>NPg (Yorkshire) LC14 CDCM statements; D28 reconstruction 2010-16</t>
        </is>
      </c>
      <c r="K306" s="77" t="inlineStr">
        <is>
          <t>stage4_uk r34-41</t>
        </is>
      </c>
      <c r="L306" s="77" t="inlineStr">
        <is>
          <t>2026-07-15</t>
        </is>
      </c>
      <c r="M306" s="77" t="inlineStr">
        <is>
          <t>Y</t>
        </is>
      </c>
      <c r="N306" s="136">
        <f>IF(ISNUMBER(timeseries!H24),timeseries!H24,"")</f>
        <v/>
      </c>
      <c r="O306" s="77" t="inlineStr">
        <is>
          <t>GBP/MWh nominal</t>
        </is>
      </c>
    </row>
    <row r="307" ht="15" customHeight="1" s="78">
      <c r="A307" s="77" t="inlineStr">
        <is>
          <t>UK</t>
        </is>
      </c>
      <c r="B307" s="77" t="n">
        <v>2014</v>
      </c>
      <c r="C307" s="77" t="inlineStr">
        <is>
          <t>medium</t>
        </is>
      </c>
      <c r="D307" s="77" t="inlineStr">
        <is>
          <t>E1</t>
        </is>
      </c>
      <c r="E307" s="77" t="inlineStr">
        <is>
          <t>DUoS fixed charge (TCR Band-4 residual from 2022/23)</t>
        </is>
      </c>
      <c r="F307" s="77" t="inlineStr">
        <is>
          <t>3 Network</t>
        </is>
      </c>
      <c r="G307" s="77" t="inlineStr">
        <is>
          <t>distribution network charge</t>
        </is>
      </c>
      <c r="H307" s="77" t="inlineStr">
        <is>
          <t>i</t>
        </is>
      </c>
      <c r="I307" s="77">
        <f>IF(ISNUMBER(N307),N307*fx_deflator!$I$9*fx_deflator!$M$9,"")</f>
        <v/>
      </c>
      <c r="J307" s="77" t="inlineStr">
        <is>
          <t>NPg (Yorkshire) LC14 CDCM statements; D28 reconstruction 2010-16</t>
        </is>
      </c>
      <c r="K307" s="77" t="inlineStr">
        <is>
          <t>stage4_uk r34-41</t>
        </is>
      </c>
      <c r="L307" s="77" t="inlineStr">
        <is>
          <t>2026-07-15</t>
        </is>
      </c>
      <c r="M307" s="77" t="inlineStr">
        <is>
          <t>Y</t>
        </is>
      </c>
      <c r="N307" s="136">
        <f>IF(ISNUMBER(timeseries!H25),timeseries!H25,"")</f>
        <v/>
      </c>
      <c r="O307" s="77" t="inlineStr">
        <is>
          <t>GBP/MWh nominal</t>
        </is>
      </c>
    </row>
    <row r="308" ht="15" customHeight="1" s="78">
      <c r="A308" s="77" t="inlineStr">
        <is>
          <t>UK</t>
        </is>
      </c>
      <c r="B308" s="77" t="n">
        <v>2014</v>
      </c>
      <c r="C308" s="77" t="inlineStr">
        <is>
          <t>medium</t>
        </is>
      </c>
      <c r="D308" s="77" t="inlineStr">
        <is>
          <t>E1</t>
        </is>
      </c>
      <c r="E308" s="77" t="inlineStr">
        <is>
          <t>DUoS capacity charge</t>
        </is>
      </c>
      <c r="F308" s="77" t="inlineStr">
        <is>
          <t>3 Network</t>
        </is>
      </c>
      <c r="G308" s="77" t="inlineStr">
        <is>
          <t>distribution network charge</t>
        </is>
      </c>
      <c r="H308" s="77" t="inlineStr">
        <is>
          <t>i</t>
        </is>
      </c>
      <c r="I308" s="77">
        <f>IF(ISNUMBER(N308),N308*fx_deflator!$I$9*fx_deflator!$M$9,"")</f>
        <v/>
      </c>
      <c r="J308" s="77" t="inlineStr">
        <is>
          <t>NPg (Yorkshire) LC14 CDCM statements; D28 reconstruction 2010-16</t>
        </is>
      </c>
      <c r="K308" s="77" t="inlineStr">
        <is>
          <t>stage4_uk r34-41</t>
        </is>
      </c>
      <c r="L308" s="77" t="inlineStr">
        <is>
          <t>2026-07-15</t>
        </is>
      </c>
      <c r="M308" s="77" t="inlineStr">
        <is>
          <t>Y</t>
        </is>
      </c>
      <c r="N308" s="136">
        <f>IF(ISNUMBER(timeseries!H26),timeseries!H26,"")</f>
        <v/>
      </c>
      <c r="O308" s="77" t="inlineStr">
        <is>
          <t>GBP/MWh nominal</t>
        </is>
      </c>
    </row>
    <row r="309" ht="15" customHeight="1" s="78">
      <c r="A309" s="77" t="inlineStr">
        <is>
          <t>UK</t>
        </is>
      </c>
      <c r="B309" s="77" t="n">
        <v>2014</v>
      </c>
      <c r="C309" s="77" t="inlineStr">
        <is>
          <t>medium</t>
        </is>
      </c>
      <c r="D309" s="77" t="inlineStr">
        <is>
          <t>E1</t>
        </is>
      </c>
      <c r="E309" s="77" t="inlineStr">
        <is>
          <t>BSUoS (demand-only from 04/2023)</t>
        </is>
      </c>
      <c r="F309" s="77" t="inlineStr">
        <is>
          <t>4 System services &amp; balancing</t>
        </is>
      </c>
      <c r="G309" s="77" t="inlineStr">
        <is>
          <t>balancing charge</t>
        </is>
      </c>
      <c r="H309" s="77" t="inlineStr">
        <is>
          <t>i</t>
        </is>
      </c>
      <c r="I309" s="77">
        <f>IF(ISNUMBER(N309),N309*fx_deflator!$I$9*fx_deflator!$M$9,"")</f>
        <v/>
      </c>
      <c r="J309" s="77" t="inlineStr">
        <is>
          <t>NESO bsuos-fixed-tariffs + HH RF settlement files (own annual avg 2010-22)</t>
        </is>
      </c>
      <c r="K309" s="77" t="inlineStr">
        <is>
          <t>stage4_uk r28-30</t>
        </is>
      </c>
      <c r="L309" s="77" t="inlineStr">
        <is>
          <t>2026-07-15</t>
        </is>
      </c>
      <c r="M309" s="77" t="inlineStr">
        <is>
          <t>Y</t>
        </is>
      </c>
      <c r="N309" s="77">
        <f>IF(ISNUMBER(timeseries!H8),timeseries!H8,"")</f>
        <v/>
      </c>
      <c r="O309" s="77" t="inlineStr">
        <is>
          <t>GBP/MWh nominal</t>
        </is>
      </c>
    </row>
    <row r="310" ht="15" customHeight="1" s="78">
      <c r="A310" s="77" t="inlineStr">
        <is>
          <t>UK</t>
        </is>
      </c>
      <c r="B310" s="77" t="n">
        <v>2014</v>
      </c>
      <c r="C310" s="77" t="inlineStr">
        <is>
          <t>medium</t>
        </is>
      </c>
      <c r="D310" s="77" t="inlineStr">
        <is>
          <t>E1</t>
        </is>
      </c>
      <c r="E310" s="77" t="inlineStr">
        <is>
          <t>AAHEDC</t>
        </is>
      </c>
      <c r="F310" s="77" t="inlineStr">
        <is>
          <t>3 Network</t>
        </is>
      </c>
      <c r="G310" s="77" t="inlineStr">
        <is>
          <t>network levy (hydro benefit)</t>
        </is>
      </c>
      <c r="H310" s="77" t="inlineStr">
        <is>
          <t>ii (pays cross-subsidy to N Scotland consumers)</t>
        </is>
      </c>
      <c r="I310" s="77">
        <f>IF(ISNUMBER(N310),N310*fx_deflator!$I$9*fx_deflator!$M$9,"")</f>
        <v/>
      </c>
      <c r="J310" s="77" t="inlineStr">
        <is>
          <t>NG/ESO AAHEDC charging statements &amp; final tariff letters</t>
        </is>
      </c>
      <c r="K310" s="77" t="inlineStr">
        <is>
          <t>stage4_uk r31</t>
        </is>
      </c>
      <c r="L310" s="77" t="inlineStr">
        <is>
          <t>2026-07-15</t>
        </is>
      </c>
      <c r="M310" s="77" t="inlineStr">
        <is>
          <t>N</t>
        </is>
      </c>
      <c r="N310" s="77">
        <f>IF(ISNUMBER(timeseries!H9),timeseries!H9,"")</f>
        <v/>
      </c>
      <c r="O310" s="77" t="inlineStr">
        <is>
          <t>GBP/MWh nominal</t>
        </is>
      </c>
      <c r="P310" s="77" t="inlineStr">
        <is>
          <t>not in NCC base (conservative, unverified)</t>
        </is>
      </c>
    </row>
    <row r="311" ht="15" customHeight="1" s="78">
      <c r="A311" s="77" t="inlineStr">
        <is>
          <t>UK</t>
        </is>
      </c>
      <c r="B311" s="77" t="n">
        <v>2014</v>
      </c>
      <c r="C311" s="77" t="inlineStr">
        <is>
          <t>medium</t>
        </is>
      </c>
      <c r="D311" s="77" t="inlineStr">
        <is>
          <t>E1</t>
        </is>
      </c>
      <c r="E311" s="77" t="inlineStr">
        <is>
          <t>RO (buy-out x obligation)</t>
        </is>
      </c>
      <c r="F311" s="77" t="inlineStr">
        <is>
          <t>2 Gen capital recovery</t>
        </is>
      </c>
      <c r="G311" s="77" t="inlineStr">
        <is>
          <t>renewables levy</t>
        </is>
      </c>
      <c r="H311" s="77" t="inlineStr">
        <is>
          <t>i</t>
        </is>
      </c>
      <c r="I311" s="77">
        <f>IF(ISNUMBER(N311),N311*fx_deflator!$I$9*fx_deflator!$M$9,"")</f>
        <v/>
      </c>
      <c r="J311" s="77" t="inlineStr">
        <is>
          <t>Ofgem RO guidance OFG1164 Table 1.1 (buy-out x obligation)</t>
        </is>
      </c>
      <c r="K311" s="77" t="inlineStr">
        <is>
          <t>stage4_uk r12-14</t>
        </is>
      </c>
      <c r="L311" s="77" t="inlineStr">
        <is>
          <t>2026-07-15</t>
        </is>
      </c>
      <c r="M311" s="77" t="inlineStr">
        <is>
          <t>Y</t>
        </is>
      </c>
      <c r="N311" s="136">
        <f>IF(ISNUMBER(timeseries!H10),timeseries!H10,"")</f>
        <v/>
      </c>
      <c r="O311" s="77" t="inlineStr">
        <is>
          <t>GBP/MWh nominal</t>
        </is>
      </c>
    </row>
    <row r="312" ht="15" customHeight="1" s="78">
      <c r="A312" s="77" t="inlineStr">
        <is>
          <t>UK</t>
        </is>
      </c>
      <c r="B312" s="77" t="n">
        <v>2014</v>
      </c>
      <c r="C312" s="77" t="inlineStr">
        <is>
          <t>medium</t>
        </is>
      </c>
      <c r="D312" s="77" t="inlineStr">
        <is>
          <t>E1</t>
        </is>
      </c>
      <c r="E312" s="77" t="inlineStr">
        <is>
          <t>FiT levelisation</t>
        </is>
      </c>
      <c r="F312" s="77" t="inlineStr">
        <is>
          <t>2 Gen capital recovery</t>
        </is>
      </c>
      <c r="G312" s="77" t="inlineStr">
        <is>
          <t>renewables levy</t>
        </is>
      </c>
      <c r="H312" s="77" t="inlineStr">
        <is>
          <t>i</t>
        </is>
      </c>
      <c r="I312" s="77">
        <f>IF(ISNUMBER(N312),N312*fx_deflator!$I$9*fx_deflator!$M$9,"")</f>
        <v/>
      </c>
      <c r="J312" s="77" t="inlineStr">
        <is>
          <t>Ofgem FIT Annual Reports SY1-SY15; D27 for 2010-14</t>
        </is>
      </c>
      <c r="K312" s="77" t="inlineStr">
        <is>
          <t>stage4_uk r20</t>
        </is>
      </c>
      <c r="L312" s="77" t="inlineStr">
        <is>
          <t>2026-07-15</t>
        </is>
      </c>
      <c r="M312" s="77" t="inlineStr">
        <is>
          <t>Y</t>
        </is>
      </c>
      <c r="N312" s="77">
        <f>IF(ISNUMBER(timeseries!H12),timeseries!H12,"")</f>
        <v/>
      </c>
      <c r="O312" s="77" t="inlineStr">
        <is>
          <t>GBP/MWh nominal</t>
        </is>
      </c>
      <c r="P312" s="77" t="inlineStr">
        <is>
          <t>2025 unpublished (Q32) — row absent, gap stated</t>
        </is>
      </c>
    </row>
    <row r="313" ht="15" customHeight="1" s="78">
      <c r="A313" s="77" t="inlineStr">
        <is>
          <t>UK</t>
        </is>
      </c>
      <c r="B313" s="77" t="n">
        <v>2014</v>
      </c>
      <c r="C313" s="77" t="inlineStr">
        <is>
          <t>medium</t>
        </is>
      </c>
      <c r="D313" s="77" t="inlineStr">
        <is>
          <t>E1</t>
        </is>
      </c>
      <c r="E313" s="77" t="inlineStr">
        <is>
          <t>CCL (main rate; CCA discount not modelled)</t>
        </is>
      </c>
      <c r="F313" s="77" t="inlineStr">
        <is>
          <t>5 General taxation &amp; levies</t>
        </is>
      </c>
      <c r="G313" s="77" t="inlineStr">
        <is>
          <t>climate levy (tax)</t>
        </is>
      </c>
      <c r="H313" s="77" t="inlineStr">
        <is>
          <t>i</t>
        </is>
      </c>
      <c r="I313" s="77">
        <f>IF(ISNUMBER(N313),N313*fx_deflator!$I$9*fx_deflator!$M$9,"")</f>
        <v/>
      </c>
      <c r="J313" s="77" t="inlineStr">
        <is>
          <t>HMRC Environmental Taxes Bulletin, historical rates Table 1</t>
        </is>
      </c>
      <c r="K313" s="77" t="inlineStr">
        <is>
          <t>stage4_uk r22</t>
        </is>
      </c>
      <c r="L313" s="77" t="inlineStr">
        <is>
          <t>2026-07-15</t>
        </is>
      </c>
      <c r="M313" s="77" t="inlineStr">
        <is>
          <t>N</t>
        </is>
      </c>
      <c r="N313" s="136">
        <f>IF(ISNUMBER(timeseries!H14),timeseries!H14,"")</f>
        <v/>
      </c>
      <c r="O313" s="77" t="inlineStr">
        <is>
          <t>GBP/MWh nominal</t>
        </is>
      </c>
    </row>
    <row r="314" ht="15" customHeight="1" s="78">
      <c r="A314" s="77" t="inlineStr">
        <is>
          <t>UK</t>
        </is>
      </c>
      <c r="B314" s="77" t="n">
        <v>2015</v>
      </c>
      <c r="C314" s="77" t="inlineStr">
        <is>
          <t>medium</t>
        </is>
      </c>
      <c r="D314" s="77" t="inlineStr">
        <is>
          <t>E1</t>
        </is>
      </c>
      <c r="E314" s="77" t="inlineStr">
        <is>
          <t>Wholesale (rolling year-ahead baseload; DA proxy &lt;=2021)</t>
        </is>
      </c>
      <c r="F314" s="77" t="inlineStr">
        <is>
          <t>1 Commodity</t>
        </is>
      </c>
      <c r="G314" s="77" t="inlineStr">
        <is>
          <t>wholesale market</t>
        </is>
      </c>
      <c r="H314" s="77" t="inlineStr">
        <is>
          <t>i</t>
        </is>
      </c>
      <c r="I314" s="77">
        <f>IF(ISNUMBER(N314),N314*fx_deflator!$I$10*fx_deflator!$M$10,"")</f>
        <v/>
      </c>
      <c r="J314" s="77" t="inlineStr">
        <is>
          <t>Ofgem data portal — DA baseload monthly avg (proxy &lt;=2021, D22); Forward Delivery Contracts (D21)</t>
        </is>
      </c>
      <c r="K314" s="77" t="inlineStr">
        <is>
          <t>stage4_uk r7-9</t>
        </is>
      </c>
      <c r="L314" s="77" t="inlineStr">
        <is>
          <t>2026-07-15</t>
        </is>
      </c>
      <c r="M314" s="77" t="inlineStr">
        <is>
          <t>Y</t>
        </is>
      </c>
      <c r="N314" s="136">
        <f>IF(ISNUMBER(timeseries!I22),timeseries!I22,"")</f>
        <v/>
      </c>
      <c r="O314" s="77" t="inlineStr">
        <is>
          <t>GBP/MWh nominal</t>
        </is>
      </c>
      <c r="P314" s="77" t="inlineStr">
        <is>
          <t>identical E1/E2; embedded carbon memo inside this item</t>
        </is>
      </c>
    </row>
    <row r="315" ht="15" customHeight="1" s="78">
      <c r="A315" s="77" t="inlineStr">
        <is>
          <t>UK</t>
        </is>
      </c>
      <c r="B315" s="77" t="n">
        <v>2015</v>
      </c>
      <c r="C315" s="77" t="inlineStr">
        <is>
          <t>medium</t>
        </is>
      </c>
      <c r="D315" s="77" t="inlineStr">
        <is>
          <t>E1</t>
        </is>
      </c>
      <c r="E315" s="77" t="inlineStr">
        <is>
          <t>TNUoS demand (zone 5; TCR banded residual from 2023)</t>
        </is>
      </c>
      <c r="F315" s="77" t="inlineStr">
        <is>
          <t>3 Network</t>
        </is>
      </c>
      <c r="G315" s="77" t="inlineStr">
        <is>
          <t>transmission network charge</t>
        </is>
      </c>
      <c r="H315" s="77" t="inlineStr">
        <is>
          <t>i</t>
        </is>
      </c>
      <c r="I315" s="77">
        <f>IF(ISNUMBER(N315),N315*fx_deflator!$I$10*fx_deflator!$M$10,"")</f>
        <v/>
      </c>
      <c r="J315" s="77" t="inlineStr">
        <is>
          <t>NESO TNUoS tariff documents (compendium doc 50736; Final TNUoS 2023/24-2026/27 Table 10)</t>
        </is>
      </c>
      <c r="K315" s="77" t="inlineStr">
        <is>
          <t>stage4_uk r25-27</t>
        </is>
      </c>
      <c r="L315" s="77" t="inlineStr">
        <is>
          <t>2026-07-15</t>
        </is>
      </c>
      <c r="M315" s="77" t="inlineStr">
        <is>
          <t>Y</t>
        </is>
      </c>
      <c r="N315" s="136">
        <f>IF(ISNUMBER(timeseries!I23),timeseries!I23,"")</f>
        <v/>
      </c>
      <c r="O315" s="77" t="inlineStr">
        <is>
          <t>GBP/MWh nominal</t>
        </is>
      </c>
    </row>
    <row r="316" ht="15" customHeight="1" s="78">
      <c r="A316" s="77" t="inlineStr">
        <is>
          <t>UK</t>
        </is>
      </c>
      <c r="B316" s="77" t="n">
        <v>2015</v>
      </c>
      <c r="C316" s="77" t="inlineStr">
        <is>
          <t>medium</t>
        </is>
      </c>
      <c r="D316" s="77" t="inlineStr">
        <is>
          <t>E1</t>
        </is>
      </c>
      <c r="E316" s="77" t="inlineStr">
        <is>
          <t>DUoS unit rates (NPg CDCM red/amber/green, uniform-operation weights)</t>
        </is>
      </c>
      <c r="F316" s="77" t="inlineStr">
        <is>
          <t>3 Network</t>
        </is>
      </c>
      <c r="G316" s="77" t="inlineStr">
        <is>
          <t>distribution network charge</t>
        </is>
      </c>
      <c r="H316" s="77" t="inlineStr">
        <is>
          <t>i</t>
        </is>
      </c>
      <c r="I316" s="77">
        <f>IF(ISNUMBER(N316),N316*fx_deflator!$I$10*fx_deflator!$M$10,"")</f>
        <v/>
      </c>
      <c r="J316" s="77" t="inlineStr">
        <is>
          <t>NPg (Yorkshire) LC14 CDCM statements; D28 reconstruction 2010-16</t>
        </is>
      </c>
      <c r="K316" s="77" t="inlineStr">
        <is>
          <t>stage4_uk r34-41</t>
        </is>
      </c>
      <c r="L316" s="77" t="inlineStr">
        <is>
          <t>2026-07-15</t>
        </is>
      </c>
      <c r="M316" s="77" t="inlineStr">
        <is>
          <t>Y</t>
        </is>
      </c>
      <c r="N316" s="136">
        <f>IF(ISNUMBER(timeseries!I24),timeseries!I24,"")</f>
        <v/>
      </c>
      <c r="O316" s="77" t="inlineStr">
        <is>
          <t>GBP/MWh nominal</t>
        </is>
      </c>
    </row>
    <row r="317" ht="15" customHeight="1" s="78">
      <c r="A317" s="77" t="inlineStr">
        <is>
          <t>UK</t>
        </is>
      </c>
      <c r="B317" s="77" t="n">
        <v>2015</v>
      </c>
      <c r="C317" s="77" t="inlineStr">
        <is>
          <t>medium</t>
        </is>
      </c>
      <c r="D317" s="77" t="inlineStr">
        <is>
          <t>E1</t>
        </is>
      </c>
      <c r="E317" s="77" t="inlineStr">
        <is>
          <t>DUoS fixed charge (TCR Band-4 residual from 2022/23)</t>
        </is>
      </c>
      <c r="F317" s="77" t="inlineStr">
        <is>
          <t>3 Network</t>
        </is>
      </c>
      <c r="G317" s="77" t="inlineStr">
        <is>
          <t>distribution network charge</t>
        </is>
      </c>
      <c r="H317" s="77" t="inlineStr">
        <is>
          <t>i</t>
        </is>
      </c>
      <c r="I317" s="77">
        <f>IF(ISNUMBER(N317),N317*fx_deflator!$I$10*fx_deflator!$M$10,"")</f>
        <v/>
      </c>
      <c r="J317" s="77" t="inlineStr">
        <is>
          <t>NPg (Yorkshire) LC14 CDCM statements; D28 reconstruction 2010-16</t>
        </is>
      </c>
      <c r="K317" s="77" t="inlineStr">
        <is>
          <t>stage4_uk r34-41</t>
        </is>
      </c>
      <c r="L317" s="77" t="inlineStr">
        <is>
          <t>2026-07-15</t>
        </is>
      </c>
      <c r="M317" s="77" t="inlineStr">
        <is>
          <t>Y</t>
        </is>
      </c>
      <c r="N317" s="136">
        <f>IF(ISNUMBER(timeseries!I25),timeseries!I25,"")</f>
        <v/>
      </c>
      <c r="O317" s="77" t="inlineStr">
        <is>
          <t>GBP/MWh nominal</t>
        </is>
      </c>
    </row>
    <row r="318" ht="15" customHeight="1" s="78">
      <c r="A318" s="77" t="inlineStr">
        <is>
          <t>UK</t>
        </is>
      </c>
      <c r="B318" s="77" t="n">
        <v>2015</v>
      </c>
      <c r="C318" s="77" t="inlineStr">
        <is>
          <t>medium</t>
        </is>
      </c>
      <c r="D318" s="77" t="inlineStr">
        <is>
          <t>E1</t>
        </is>
      </c>
      <c r="E318" s="77" t="inlineStr">
        <is>
          <t>DUoS capacity charge</t>
        </is>
      </c>
      <c r="F318" s="77" t="inlineStr">
        <is>
          <t>3 Network</t>
        </is>
      </c>
      <c r="G318" s="77" t="inlineStr">
        <is>
          <t>distribution network charge</t>
        </is>
      </c>
      <c r="H318" s="77" t="inlineStr">
        <is>
          <t>i</t>
        </is>
      </c>
      <c r="I318" s="77">
        <f>IF(ISNUMBER(N318),N318*fx_deflator!$I$10*fx_deflator!$M$10,"")</f>
        <v/>
      </c>
      <c r="J318" s="77" t="inlineStr">
        <is>
          <t>NPg (Yorkshire) LC14 CDCM statements; D28 reconstruction 2010-16</t>
        </is>
      </c>
      <c r="K318" s="77" t="inlineStr">
        <is>
          <t>stage4_uk r34-41</t>
        </is>
      </c>
      <c r="L318" s="77" t="inlineStr">
        <is>
          <t>2026-07-15</t>
        </is>
      </c>
      <c r="M318" s="77" t="inlineStr">
        <is>
          <t>Y</t>
        </is>
      </c>
      <c r="N318" s="136">
        <f>IF(ISNUMBER(timeseries!I26),timeseries!I26,"")</f>
        <v/>
      </c>
      <c r="O318" s="77" t="inlineStr">
        <is>
          <t>GBP/MWh nominal</t>
        </is>
      </c>
    </row>
    <row r="319" ht="15" customHeight="1" s="78">
      <c r="A319" s="77" t="inlineStr">
        <is>
          <t>UK</t>
        </is>
      </c>
      <c r="B319" s="77" t="n">
        <v>2015</v>
      </c>
      <c r="C319" s="77" t="inlineStr">
        <is>
          <t>medium</t>
        </is>
      </c>
      <c r="D319" s="77" t="inlineStr">
        <is>
          <t>E1</t>
        </is>
      </c>
      <c r="E319" s="77" t="inlineStr">
        <is>
          <t>BSUoS (demand-only from 04/2023)</t>
        </is>
      </c>
      <c r="F319" s="77" t="inlineStr">
        <is>
          <t>4 System services &amp; balancing</t>
        </is>
      </c>
      <c r="G319" s="77" t="inlineStr">
        <is>
          <t>balancing charge</t>
        </is>
      </c>
      <c r="H319" s="77" t="inlineStr">
        <is>
          <t>i</t>
        </is>
      </c>
      <c r="I319" s="77">
        <f>IF(ISNUMBER(N319),N319*fx_deflator!$I$10*fx_deflator!$M$10,"")</f>
        <v/>
      </c>
      <c r="J319" s="77" t="inlineStr">
        <is>
          <t>NESO bsuos-fixed-tariffs + HH RF settlement files (own annual avg 2010-22)</t>
        </is>
      </c>
      <c r="K319" s="77" t="inlineStr">
        <is>
          <t>stage4_uk r28-30</t>
        </is>
      </c>
      <c r="L319" s="77" t="inlineStr">
        <is>
          <t>2026-07-15</t>
        </is>
      </c>
      <c r="M319" s="77" t="inlineStr">
        <is>
          <t>Y</t>
        </is>
      </c>
      <c r="N319" s="77">
        <f>IF(ISNUMBER(timeseries!I8),timeseries!I8,"")</f>
        <v/>
      </c>
      <c r="O319" s="77" t="inlineStr">
        <is>
          <t>GBP/MWh nominal</t>
        </is>
      </c>
    </row>
    <row r="320" ht="15" customHeight="1" s="78">
      <c r="A320" s="77" t="inlineStr">
        <is>
          <t>UK</t>
        </is>
      </c>
      <c r="B320" s="77" t="n">
        <v>2015</v>
      </c>
      <c r="C320" s="77" t="inlineStr">
        <is>
          <t>medium</t>
        </is>
      </c>
      <c r="D320" s="77" t="inlineStr">
        <is>
          <t>E1</t>
        </is>
      </c>
      <c r="E320" s="77" t="inlineStr">
        <is>
          <t>AAHEDC</t>
        </is>
      </c>
      <c r="F320" s="77" t="inlineStr">
        <is>
          <t>3 Network</t>
        </is>
      </c>
      <c r="G320" s="77" t="inlineStr">
        <is>
          <t>network levy (hydro benefit)</t>
        </is>
      </c>
      <c r="H320" s="77" t="inlineStr">
        <is>
          <t>ii (pays cross-subsidy to N Scotland consumers)</t>
        </is>
      </c>
      <c r="I320" s="77">
        <f>IF(ISNUMBER(N320),N320*fx_deflator!$I$10*fx_deflator!$M$10,"")</f>
        <v/>
      </c>
      <c r="J320" s="77" t="inlineStr">
        <is>
          <t>NG/ESO AAHEDC charging statements &amp; final tariff letters</t>
        </is>
      </c>
      <c r="K320" s="77" t="inlineStr">
        <is>
          <t>stage4_uk r31</t>
        </is>
      </c>
      <c r="L320" s="77" t="inlineStr">
        <is>
          <t>2026-07-15</t>
        </is>
      </c>
      <c r="M320" s="77" t="inlineStr">
        <is>
          <t>N</t>
        </is>
      </c>
      <c r="N320" s="77">
        <f>IF(ISNUMBER(timeseries!I9),timeseries!I9,"")</f>
        <v/>
      </c>
      <c r="O320" s="77" t="inlineStr">
        <is>
          <t>GBP/MWh nominal</t>
        </is>
      </c>
      <c r="P320" s="77" t="inlineStr">
        <is>
          <t>not in NCC base (conservative, unverified)</t>
        </is>
      </c>
    </row>
    <row r="321" ht="15" customHeight="1" s="78">
      <c r="A321" s="77" t="inlineStr">
        <is>
          <t>UK</t>
        </is>
      </c>
      <c r="B321" s="77" t="n">
        <v>2015</v>
      </c>
      <c r="C321" s="77" t="inlineStr">
        <is>
          <t>medium</t>
        </is>
      </c>
      <c r="D321" s="77" t="inlineStr">
        <is>
          <t>E1</t>
        </is>
      </c>
      <c r="E321" s="77" t="inlineStr">
        <is>
          <t>RO (buy-out x obligation)</t>
        </is>
      </c>
      <c r="F321" s="77" t="inlineStr">
        <is>
          <t>2 Gen capital recovery</t>
        </is>
      </c>
      <c r="G321" s="77" t="inlineStr">
        <is>
          <t>renewables levy</t>
        </is>
      </c>
      <c r="H321" s="77" t="inlineStr">
        <is>
          <t>i</t>
        </is>
      </c>
      <c r="I321" s="77">
        <f>IF(ISNUMBER(N321),N321*fx_deflator!$I$10*fx_deflator!$M$10,"")</f>
        <v/>
      </c>
      <c r="J321" s="77" t="inlineStr">
        <is>
          <t>Ofgem RO guidance OFG1164 Table 1.1 (buy-out x obligation)</t>
        </is>
      </c>
      <c r="K321" s="77" t="inlineStr">
        <is>
          <t>stage4_uk r12-14</t>
        </is>
      </c>
      <c r="L321" s="77" t="inlineStr">
        <is>
          <t>2026-07-15</t>
        </is>
      </c>
      <c r="M321" s="77" t="inlineStr">
        <is>
          <t>Y</t>
        </is>
      </c>
      <c r="N321" s="136">
        <f>IF(ISNUMBER(timeseries!I10),timeseries!I10,"")</f>
        <v/>
      </c>
      <c r="O321" s="77" t="inlineStr">
        <is>
          <t>GBP/MWh nominal</t>
        </is>
      </c>
    </row>
    <row r="322" ht="15" customHeight="1" s="78">
      <c r="A322" s="77" t="inlineStr">
        <is>
          <t>UK</t>
        </is>
      </c>
      <c r="B322" s="77" t="n">
        <v>2015</v>
      </c>
      <c r="C322" s="77" t="inlineStr">
        <is>
          <t>medium</t>
        </is>
      </c>
      <c r="D322" s="77" t="inlineStr">
        <is>
          <t>E1</t>
        </is>
      </c>
      <c r="E322" s="77" t="inlineStr">
        <is>
          <t>FiT levelisation</t>
        </is>
      </c>
      <c r="F322" s="77" t="inlineStr">
        <is>
          <t>2 Gen capital recovery</t>
        </is>
      </c>
      <c r="G322" s="77" t="inlineStr">
        <is>
          <t>renewables levy</t>
        </is>
      </c>
      <c r="H322" s="77" t="inlineStr">
        <is>
          <t>i</t>
        </is>
      </c>
      <c r="I322" s="77">
        <f>IF(ISNUMBER(N322),N322*fx_deflator!$I$10*fx_deflator!$M$10,"")</f>
        <v/>
      </c>
      <c r="J322" s="77" t="inlineStr">
        <is>
          <t>Ofgem FIT Annual Reports SY1-SY15; D27 for 2010-14</t>
        </is>
      </c>
      <c r="K322" s="77" t="inlineStr">
        <is>
          <t>stage4_uk r20</t>
        </is>
      </c>
      <c r="L322" s="77" t="inlineStr">
        <is>
          <t>2026-07-15</t>
        </is>
      </c>
      <c r="M322" s="77" t="inlineStr">
        <is>
          <t>Y</t>
        </is>
      </c>
      <c r="N322" s="77">
        <f>IF(ISNUMBER(timeseries!I12),timeseries!I12,"")</f>
        <v/>
      </c>
      <c r="O322" s="77" t="inlineStr">
        <is>
          <t>GBP/MWh nominal</t>
        </is>
      </c>
      <c r="P322" s="77" t="inlineStr">
        <is>
          <t>2025 unpublished (Q32) — row absent, gap stated</t>
        </is>
      </c>
    </row>
    <row r="323" ht="15" customHeight="1" s="78">
      <c r="A323" s="77" t="inlineStr">
        <is>
          <t>UK</t>
        </is>
      </c>
      <c r="B323" s="77" t="n">
        <v>2015</v>
      </c>
      <c r="C323" s="77" t="inlineStr">
        <is>
          <t>medium</t>
        </is>
      </c>
      <c r="D323" s="77" t="inlineStr">
        <is>
          <t>E1</t>
        </is>
      </c>
      <c r="E323" s="77" t="inlineStr">
        <is>
          <t>CCL (main rate; CCA discount not modelled)</t>
        </is>
      </c>
      <c r="F323" s="77" t="inlineStr">
        <is>
          <t>5 General taxation &amp; levies</t>
        </is>
      </c>
      <c r="G323" s="77" t="inlineStr">
        <is>
          <t>climate levy (tax)</t>
        </is>
      </c>
      <c r="H323" s="77" t="inlineStr">
        <is>
          <t>i</t>
        </is>
      </c>
      <c r="I323" s="77">
        <f>IF(ISNUMBER(N323),N323*fx_deflator!$I$10*fx_deflator!$M$10,"")</f>
        <v/>
      </c>
      <c r="J323" s="77" t="inlineStr">
        <is>
          <t>HMRC Environmental Taxes Bulletin, historical rates Table 1</t>
        </is>
      </c>
      <c r="K323" s="77" t="inlineStr">
        <is>
          <t>stage4_uk r22</t>
        </is>
      </c>
      <c r="L323" s="77" t="inlineStr">
        <is>
          <t>2026-07-15</t>
        </is>
      </c>
      <c r="M323" s="77" t="inlineStr">
        <is>
          <t>N</t>
        </is>
      </c>
      <c r="N323" s="136">
        <f>IF(ISNUMBER(timeseries!I14),timeseries!I14,"")</f>
        <v/>
      </c>
      <c r="O323" s="77" t="inlineStr">
        <is>
          <t>GBP/MWh nominal</t>
        </is>
      </c>
    </row>
    <row r="324" ht="15" customHeight="1" s="78">
      <c r="A324" s="77" t="inlineStr">
        <is>
          <t>UK</t>
        </is>
      </c>
      <c r="B324" s="77" t="n">
        <v>2016</v>
      </c>
      <c r="C324" s="77" t="inlineStr">
        <is>
          <t>medium</t>
        </is>
      </c>
      <c r="D324" s="77" t="inlineStr">
        <is>
          <t>E1</t>
        </is>
      </c>
      <c r="E324" s="77" t="inlineStr">
        <is>
          <t>Wholesale (rolling year-ahead baseload; DA proxy &lt;=2021)</t>
        </is>
      </c>
      <c r="F324" s="77" t="inlineStr">
        <is>
          <t>1 Commodity</t>
        </is>
      </c>
      <c r="G324" s="77" t="inlineStr">
        <is>
          <t>wholesale market</t>
        </is>
      </c>
      <c r="H324" s="77" t="inlineStr">
        <is>
          <t>i</t>
        </is>
      </c>
      <c r="I324" s="77">
        <f>IF(ISNUMBER(N324),N324*fx_deflator!$I$11*fx_deflator!$M$11,"")</f>
        <v/>
      </c>
      <c r="J324" s="77" t="inlineStr">
        <is>
          <t>Ofgem data portal — DA baseload monthly avg (proxy &lt;=2021, D22); Forward Delivery Contracts (D21)</t>
        </is>
      </c>
      <c r="K324" s="77" t="inlineStr">
        <is>
          <t>stage4_uk r7-9</t>
        </is>
      </c>
      <c r="L324" s="77" t="inlineStr">
        <is>
          <t>2026-07-15</t>
        </is>
      </c>
      <c r="M324" s="77" t="inlineStr">
        <is>
          <t>Y</t>
        </is>
      </c>
      <c r="N324" s="136">
        <f>IF(ISNUMBER(timeseries!J22),timeseries!J22,"")</f>
        <v/>
      </c>
      <c r="O324" s="77" t="inlineStr">
        <is>
          <t>GBP/MWh nominal</t>
        </is>
      </c>
      <c r="P324" s="77" t="inlineStr">
        <is>
          <t>identical E1/E2; embedded carbon memo inside this item</t>
        </is>
      </c>
    </row>
    <row r="325" ht="15" customHeight="1" s="78">
      <c r="A325" s="77" t="inlineStr">
        <is>
          <t>UK</t>
        </is>
      </c>
      <c r="B325" s="77" t="n">
        <v>2016</v>
      </c>
      <c r="C325" s="77" t="inlineStr">
        <is>
          <t>medium</t>
        </is>
      </c>
      <c r="D325" s="77" t="inlineStr">
        <is>
          <t>E1</t>
        </is>
      </c>
      <c r="E325" s="77" t="inlineStr">
        <is>
          <t>TNUoS demand (zone 5; TCR banded residual from 2023)</t>
        </is>
      </c>
      <c r="F325" s="77" t="inlineStr">
        <is>
          <t>3 Network</t>
        </is>
      </c>
      <c r="G325" s="77" t="inlineStr">
        <is>
          <t>transmission network charge</t>
        </is>
      </c>
      <c r="H325" s="77" t="inlineStr">
        <is>
          <t>i</t>
        </is>
      </c>
      <c r="I325" s="77">
        <f>IF(ISNUMBER(N325),N325*fx_deflator!$I$11*fx_deflator!$M$11,"")</f>
        <v/>
      </c>
      <c r="J325" s="77" t="inlineStr">
        <is>
          <t>NESO TNUoS tariff documents (compendium doc 50736; Final TNUoS 2023/24-2026/27 Table 10)</t>
        </is>
      </c>
      <c r="K325" s="77" t="inlineStr">
        <is>
          <t>stage4_uk r25-27</t>
        </is>
      </c>
      <c r="L325" s="77" t="inlineStr">
        <is>
          <t>2026-07-15</t>
        </is>
      </c>
      <c r="M325" s="77" t="inlineStr">
        <is>
          <t>Y</t>
        </is>
      </c>
      <c r="N325" s="136">
        <f>IF(ISNUMBER(timeseries!J23),timeseries!J23,"")</f>
        <v/>
      </c>
      <c r="O325" s="77" t="inlineStr">
        <is>
          <t>GBP/MWh nominal</t>
        </is>
      </c>
    </row>
    <row r="326" ht="15" customHeight="1" s="78">
      <c r="A326" s="77" t="inlineStr">
        <is>
          <t>UK</t>
        </is>
      </c>
      <c r="B326" s="77" t="n">
        <v>2016</v>
      </c>
      <c r="C326" s="77" t="inlineStr">
        <is>
          <t>medium</t>
        </is>
      </c>
      <c r="D326" s="77" t="inlineStr">
        <is>
          <t>E1</t>
        </is>
      </c>
      <c r="E326" s="77" t="inlineStr">
        <is>
          <t>DUoS unit rates (NPg CDCM red/amber/green, uniform-operation weights)</t>
        </is>
      </c>
      <c r="F326" s="77" t="inlineStr">
        <is>
          <t>3 Network</t>
        </is>
      </c>
      <c r="G326" s="77" t="inlineStr">
        <is>
          <t>distribution network charge</t>
        </is>
      </c>
      <c r="H326" s="77" t="inlineStr">
        <is>
          <t>i</t>
        </is>
      </c>
      <c r="I326" s="77">
        <f>IF(ISNUMBER(N326),N326*fx_deflator!$I$11*fx_deflator!$M$11,"")</f>
        <v/>
      </c>
      <c r="J326" s="77" t="inlineStr">
        <is>
          <t>NPg (Yorkshire) LC14 CDCM statements; D28 reconstruction 2010-16</t>
        </is>
      </c>
      <c r="K326" s="77" t="inlineStr">
        <is>
          <t>stage4_uk r34-41</t>
        </is>
      </c>
      <c r="L326" s="77" t="inlineStr">
        <is>
          <t>2026-07-15</t>
        </is>
      </c>
      <c r="M326" s="77" t="inlineStr">
        <is>
          <t>Y</t>
        </is>
      </c>
      <c r="N326" s="136">
        <f>IF(ISNUMBER(timeseries!J24),timeseries!J24,"")</f>
        <v/>
      </c>
      <c r="O326" s="77" t="inlineStr">
        <is>
          <t>GBP/MWh nominal</t>
        </is>
      </c>
    </row>
    <row r="327" ht="15" customHeight="1" s="78">
      <c r="A327" s="77" t="inlineStr">
        <is>
          <t>UK</t>
        </is>
      </c>
      <c r="B327" s="77" t="n">
        <v>2016</v>
      </c>
      <c r="C327" s="77" t="inlineStr">
        <is>
          <t>medium</t>
        </is>
      </c>
      <c r="D327" s="77" t="inlineStr">
        <is>
          <t>E1</t>
        </is>
      </c>
      <c r="E327" s="77" t="inlineStr">
        <is>
          <t>DUoS fixed charge (TCR Band-4 residual from 2022/23)</t>
        </is>
      </c>
      <c r="F327" s="77" t="inlineStr">
        <is>
          <t>3 Network</t>
        </is>
      </c>
      <c r="G327" s="77" t="inlineStr">
        <is>
          <t>distribution network charge</t>
        </is>
      </c>
      <c r="H327" s="77" t="inlineStr">
        <is>
          <t>i</t>
        </is>
      </c>
      <c r="I327" s="77">
        <f>IF(ISNUMBER(N327),N327*fx_deflator!$I$11*fx_deflator!$M$11,"")</f>
        <v/>
      </c>
      <c r="J327" s="77" t="inlineStr">
        <is>
          <t>NPg (Yorkshire) LC14 CDCM statements; D28 reconstruction 2010-16</t>
        </is>
      </c>
      <c r="K327" s="77" t="inlineStr">
        <is>
          <t>stage4_uk r34-41</t>
        </is>
      </c>
      <c r="L327" s="77" t="inlineStr">
        <is>
          <t>2026-07-15</t>
        </is>
      </c>
      <c r="M327" s="77" t="inlineStr">
        <is>
          <t>Y</t>
        </is>
      </c>
      <c r="N327" s="136">
        <f>IF(ISNUMBER(timeseries!J25),timeseries!J25,"")</f>
        <v/>
      </c>
      <c r="O327" s="77" t="inlineStr">
        <is>
          <t>GBP/MWh nominal</t>
        </is>
      </c>
    </row>
    <row r="328" ht="15" customHeight="1" s="78">
      <c r="A328" s="77" t="inlineStr">
        <is>
          <t>UK</t>
        </is>
      </c>
      <c r="B328" s="77" t="n">
        <v>2016</v>
      </c>
      <c r="C328" s="77" t="inlineStr">
        <is>
          <t>medium</t>
        </is>
      </c>
      <c r="D328" s="77" t="inlineStr">
        <is>
          <t>E1</t>
        </is>
      </c>
      <c r="E328" s="77" t="inlineStr">
        <is>
          <t>DUoS capacity charge</t>
        </is>
      </c>
      <c r="F328" s="77" t="inlineStr">
        <is>
          <t>3 Network</t>
        </is>
      </c>
      <c r="G328" s="77" t="inlineStr">
        <is>
          <t>distribution network charge</t>
        </is>
      </c>
      <c r="H328" s="77" t="inlineStr">
        <is>
          <t>i</t>
        </is>
      </c>
      <c r="I328" s="77">
        <f>IF(ISNUMBER(N328),N328*fx_deflator!$I$11*fx_deflator!$M$11,"")</f>
        <v/>
      </c>
      <c r="J328" s="77" t="inlineStr">
        <is>
          <t>NPg (Yorkshire) LC14 CDCM statements; D28 reconstruction 2010-16</t>
        </is>
      </c>
      <c r="K328" s="77" t="inlineStr">
        <is>
          <t>stage4_uk r34-41</t>
        </is>
      </c>
      <c r="L328" s="77" t="inlineStr">
        <is>
          <t>2026-07-15</t>
        </is>
      </c>
      <c r="M328" s="77" t="inlineStr">
        <is>
          <t>Y</t>
        </is>
      </c>
      <c r="N328" s="136">
        <f>IF(ISNUMBER(timeseries!J26),timeseries!J26,"")</f>
        <v/>
      </c>
      <c r="O328" s="77" t="inlineStr">
        <is>
          <t>GBP/MWh nominal</t>
        </is>
      </c>
    </row>
    <row r="329" ht="15" customHeight="1" s="78">
      <c r="A329" s="77" t="inlineStr">
        <is>
          <t>UK</t>
        </is>
      </c>
      <c r="B329" s="77" t="n">
        <v>2016</v>
      </c>
      <c r="C329" s="77" t="inlineStr">
        <is>
          <t>medium</t>
        </is>
      </c>
      <c r="D329" s="77" t="inlineStr">
        <is>
          <t>E1</t>
        </is>
      </c>
      <c r="E329" s="77" t="inlineStr">
        <is>
          <t>BSUoS (demand-only from 04/2023)</t>
        </is>
      </c>
      <c r="F329" s="77" t="inlineStr">
        <is>
          <t>4 System services &amp; balancing</t>
        </is>
      </c>
      <c r="G329" s="77" t="inlineStr">
        <is>
          <t>balancing charge</t>
        </is>
      </c>
      <c r="H329" s="77" t="inlineStr">
        <is>
          <t>i</t>
        </is>
      </c>
      <c r="I329" s="77">
        <f>IF(ISNUMBER(N329),N329*fx_deflator!$I$11*fx_deflator!$M$11,"")</f>
        <v/>
      </c>
      <c r="J329" s="77" t="inlineStr">
        <is>
          <t>NESO bsuos-fixed-tariffs + HH RF settlement files (own annual avg 2010-22)</t>
        </is>
      </c>
      <c r="K329" s="77" t="inlineStr">
        <is>
          <t>stage4_uk r28-30</t>
        </is>
      </c>
      <c r="L329" s="77" t="inlineStr">
        <is>
          <t>2026-07-15</t>
        </is>
      </c>
      <c r="M329" s="77" t="inlineStr">
        <is>
          <t>Y</t>
        </is>
      </c>
      <c r="N329" s="77">
        <f>IF(ISNUMBER(timeseries!J8),timeseries!J8,"")</f>
        <v/>
      </c>
      <c r="O329" s="77" t="inlineStr">
        <is>
          <t>GBP/MWh nominal</t>
        </is>
      </c>
    </row>
    <row r="330" ht="15" customHeight="1" s="78">
      <c r="A330" s="77" t="inlineStr">
        <is>
          <t>UK</t>
        </is>
      </c>
      <c r="B330" s="77" t="n">
        <v>2016</v>
      </c>
      <c r="C330" s="77" t="inlineStr">
        <is>
          <t>medium</t>
        </is>
      </c>
      <c r="D330" s="77" t="inlineStr">
        <is>
          <t>E1</t>
        </is>
      </c>
      <c r="E330" s="77" t="inlineStr">
        <is>
          <t>AAHEDC</t>
        </is>
      </c>
      <c r="F330" s="77" t="inlineStr">
        <is>
          <t>3 Network</t>
        </is>
      </c>
      <c r="G330" s="77" t="inlineStr">
        <is>
          <t>network levy (hydro benefit)</t>
        </is>
      </c>
      <c r="H330" s="77" t="inlineStr">
        <is>
          <t>ii (pays cross-subsidy to N Scotland consumers)</t>
        </is>
      </c>
      <c r="I330" s="77">
        <f>IF(ISNUMBER(N330),N330*fx_deflator!$I$11*fx_deflator!$M$11,"")</f>
        <v/>
      </c>
      <c r="J330" s="77" t="inlineStr">
        <is>
          <t>NG/ESO AAHEDC charging statements &amp; final tariff letters</t>
        </is>
      </c>
      <c r="K330" s="77" t="inlineStr">
        <is>
          <t>stage4_uk r31</t>
        </is>
      </c>
      <c r="L330" s="77" t="inlineStr">
        <is>
          <t>2026-07-15</t>
        </is>
      </c>
      <c r="M330" s="77" t="inlineStr">
        <is>
          <t>N</t>
        </is>
      </c>
      <c r="N330" s="77">
        <f>IF(ISNUMBER(timeseries!J9),timeseries!J9,"")</f>
        <v/>
      </c>
      <c r="O330" s="77" t="inlineStr">
        <is>
          <t>GBP/MWh nominal</t>
        </is>
      </c>
      <c r="P330" s="77" t="inlineStr">
        <is>
          <t>not in NCC base (conservative, unverified)</t>
        </is>
      </c>
    </row>
    <row r="331" ht="15" customHeight="1" s="78">
      <c r="A331" s="77" t="inlineStr">
        <is>
          <t>UK</t>
        </is>
      </c>
      <c r="B331" s="77" t="n">
        <v>2016</v>
      </c>
      <c r="C331" s="77" t="inlineStr">
        <is>
          <t>medium</t>
        </is>
      </c>
      <c r="D331" s="77" t="inlineStr">
        <is>
          <t>E1</t>
        </is>
      </c>
      <c r="E331" s="77" t="inlineStr">
        <is>
          <t>RO (buy-out x obligation)</t>
        </is>
      </c>
      <c r="F331" s="77" t="inlineStr">
        <is>
          <t>2 Gen capital recovery</t>
        </is>
      </c>
      <c r="G331" s="77" t="inlineStr">
        <is>
          <t>renewables levy</t>
        </is>
      </c>
      <c r="H331" s="77" t="inlineStr">
        <is>
          <t>i</t>
        </is>
      </c>
      <c r="I331" s="77">
        <f>IF(ISNUMBER(N331),N331*fx_deflator!$I$11*fx_deflator!$M$11,"")</f>
        <v/>
      </c>
      <c r="J331" s="77" t="inlineStr">
        <is>
          <t>Ofgem RO guidance OFG1164 Table 1.1 (buy-out x obligation)</t>
        </is>
      </c>
      <c r="K331" s="77" t="inlineStr">
        <is>
          <t>stage4_uk r12-14</t>
        </is>
      </c>
      <c r="L331" s="77" t="inlineStr">
        <is>
          <t>2026-07-15</t>
        </is>
      </c>
      <c r="M331" s="77" t="inlineStr">
        <is>
          <t>Y</t>
        </is>
      </c>
      <c r="N331" s="136">
        <f>IF(ISNUMBER(timeseries!J10),timeseries!J10,"")</f>
        <v/>
      </c>
      <c r="O331" s="77" t="inlineStr">
        <is>
          <t>GBP/MWh nominal</t>
        </is>
      </c>
    </row>
    <row r="332" ht="15" customHeight="1" s="78">
      <c r="A332" s="77" t="inlineStr">
        <is>
          <t>UK</t>
        </is>
      </c>
      <c r="B332" s="77" t="n">
        <v>2016</v>
      </c>
      <c r="C332" s="77" t="inlineStr">
        <is>
          <t>medium</t>
        </is>
      </c>
      <c r="D332" s="77" t="inlineStr">
        <is>
          <t>E1</t>
        </is>
      </c>
      <c r="E332" s="77" t="inlineStr">
        <is>
          <t>CfD Interim Levy Rate (annual avg)</t>
        </is>
      </c>
      <c r="F332" s="77" t="inlineStr">
        <is>
          <t>2 Gen capital recovery</t>
        </is>
      </c>
      <c r="G332" s="77" t="inlineStr">
        <is>
          <t>renewables levy</t>
        </is>
      </c>
      <c r="H332" s="77" t="inlineStr">
        <is>
          <t>i</t>
        </is>
      </c>
      <c r="I332" s="77">
        <f>IF(ISNUMBER(N332),N332*fx_deflator!$I$11*fx_deflator!$M$11,"")</f>
        <v/>
      </c>
      <c r="J332" s="77" t="inlineStr">
        <is>
          <t>LCCC Actual ILR Income dataset (quarterly avg)</t>
        </is>
      </c>
      <c r="K332" s="77" t="inlineStr">
        <is>
          <t>stage4_uk r15-19</t>
        </is>
      </c>
      <c r="L332" s="77" t="inlineStr">
        <is>
          <t>2026-07-15</t>
        </is>
      </c>
      <c r="M332" s="77" t="inlineStr">
        <is>
          <t>Y</t>
        </is>
      </c>
      <c r="N332" s="136">
        <f>IF(ISNUMBER(timeseries!J11),timeseries!J11,"")</f>
        <v/>
      </c>
      <c r="O332" s="77" t="inlineStr">
        <is>
          <t>GBP/MWh nominal</t>
        </is>
      </c>
    </row>
    <row r="333" ht="15" customHeight="1" s="78">
      <c r="A333" s="77" t="inlineStr">
        <is>
          <t>UK</t>
        </is>
      </c>
      <c r="B333" s="77" t="n">
        <v>2016</v>
      </c>
      <c r="C333" s="77" t="inlineStr">
        <is>
          <t>medium</t>
        </is>
      </c>
      <c r="D333" s="77" t="inlineStr">
        <is>
          <t>E1</t>
        </is>
      </c>
      <c r="E333" s="77" t="inlineStr">
        <is>
          <t>FiT levelisation</t>
        </is>
      </c>
      <c r="F333" s="77" t="inlineStr">
        <is>
          <t>2 Gen capital recovery</t>
        </is>
      </c>
      <c r="G333" s="77" t="inlineStr">
        <is>
          <t>renewables levy</t>
        </is>
      </c>
      <c r="H333" s="77" t="inlineStr">
        <is>
          <t>i</t>
        </is>
      </c>
      <c r="I333" s="77">
        <f>IF(ISNUMBER(N333),N333*fx_deflator!$I$11*fx_deflator!$M$11,"")</f>
        <v/>
      </c>
      <c r="J333" s="77" t="inlineStr">
        <is>
          <t>Ofgem FIT Annual Reports SY1-SY15; D27 for 2010-14</t>
        </is>
      </c>
      <c r="K333" s="77" t="inlineStr">
        <is>
          <t>stage4_uk r20</t>
        </is>
      </c>
      <c r="L333" s="77" t="inlineStr">
        <is>
          <t>2026-07-15</t>
        </is>
      </c>
      <c r="M333" s="77" t="inlineStr">
        <is>
          <t>Y</t>
        </is>
      </c>
      <c r="N333" s="77">
        <f>IF(ISNUMBER(timeseries!J12),timeseries!J12,"")</f>
        <v/>
      </c>
      <c r="O333" s="77" t="inlineStr">
        <is>
          <t>GBP/MWh nominal</t>
        </is>
      </c>
      <c r="P333" s="77" t="inlineStr">
        <is>
          <t>2025 unpublished (Q32) — row absent, gap stated</t>
        </is>
      </c>
    </row>
    <row r="334" ht="15" customHeight="1" s="78">
      <c r="A334" s="77" t="inlineStr">
        <is>
          <t>UK</t>
        </is>
      </c>
      <c r="B334" s="77" t="n">
        <v>2016</v>
      </c>
      <c r="C334" s="77" t="inlineStr">
        <is>
          <t>medium</t>
        </is>
      </c>
      <c r="D334" s="77" t="inlineStr">
        <is>
          <t>E1</t>
        </is>
      </c>
      <c r="E334" s="77" t="inlineStr">
        <is>
          <t>CCL (main rate; CCA discount not modelled)</t>
        </is>
      </c>
      <c r="F334" s="77" t="inlineStr">
        <is>
          <t>5 General taxation &amp; levies</t>
        </is>
      </c>
      <c r="G334" s="77" t="inlineStr">
        <is>
          <t>climate levy (tax)</t>
        </is>
      </c>
      <c r="H334" s="77" t="inlineStr">
        <is>
          <t>i</t>
        </is>
      </c>
      <c r="I334" s="77">
        <f>IF(ISNUMBER(N334),N334*fx_deflator!$I$11*fx_deflator!$M$11,"")</f>
        <v/>
      </c>
      <c r="J334" s="77" t="inlineStr">
        <is>
          <t>HMRC Environmental Taxes Bulletin, historical rates Table 1</t>
        </is>
      </c>
      <c r="K334" s="77" t="inlineStr">
        <is>
          <t>stage4_uk r22</t>
        </is>
      </c>
      <c r="L334" s="77" t="inlineStr">
        <is>
          <t>2026-07-15</t>
        </is>
      </c>
      <c r="M334" s="77" t="inlineStr">
        <is>
          <t>N</t>
        </is>
      </c>
      <c r="N334" s="136">
        <f>IF(ISNUMBER(timeseries!J14),timeseries!J14,"")</f>
        <v/>
      </c>
      <c r="O334" s="77" t="inlineStr">
        <is>
          <t>GBP/MWh nominal</t>
        </is>
      </c>
    </row>
    <row r="335" ht="15" customHeight="1" s="78">
      <c r="A335" s="77" t="inlineStr">
        <is>
          <t>UK</t>
        </is>
      </c>
      <c r="B335" s="77" t="n">
        <v>2017</v>
      </c>
      <c r="C335" s="77" t="inlineStr">
        <is>
          <t>medium</t>
        </is>
      </c>
      <c r="D335" s="77" t="inlineStr">
        <is>
          <t>E1</t>
        </is>
      </c>
      <c r="E335" s="77" t="inlineStr">
        <is>
          <t>Wholesale (rolling year-ahead baseload; DA proxy &lt;=2021)</t>
        </is>
      </c>
      <c r="F335" s="77" t="inlineStr">
        <is>
          <t>1 Commodity</t>
        </is>
      </c>
      <c r="G335" s="77" t="inlineStr">
        <is>
          <t>wholesale market</t>
        </is>
      </c>
      <c r="H335" s="77" t="inlineStr">
        <is>
          <t>i</t>
        </is>
      </c>
      <c r="I335" s="77">
        <f>IF(ISNUMBER(N335),N335*fx_deflator!$I$12*fx_deflator!$M$12,"")</f>
        <v/>
      </c>
      <c r="J335" s="77" t="inlineStr">
        <is>
          <t>Ofgem data portal — DA baseload monthly avg (proxy &lt;=2021, D22); Forward Delivery Contracts (D21)</t>
        </is>
      </c>
      <c r="K335" s="77" t="inlineStr">
        <is>
          <t>stage4_uk r7-9</t>
        </is>
      </c>
      <c r="L335" s="77" t="inlineStr">
        <is>
          <t>2026-07-15</t>
        </is>
      </c>
      <c r="M335" s="77" t="inlineStr">
        <is>
          <t>Y</t>
        </is>
      </c>
      <c r="N335" s="136">
        <f>IF(ISNUMBER(timeseries!K22),timeseries!K22,"")</f>
        <v/>
      </c>
      <c r="O335" s="77" t="inlineStr">
        <is>
          <t>GBP/MWh nominal</t>
        </is>
      </c>
      <c r="P335" s="77" t="inlineStr">
        <is>
          <t>identical E1/E2; embedded carbon memo inside this item</t>
        </is>
      </c>
    </row>
    <row r="336" ht="15" customHeight="1" s="78">
      <c r="A336" s="77" t="inlineStr">
        <is>
          <t>UK</t>
        </is>
      </c>
      <c r="B336" s="77" t="n">
        <v>2017</v>
      </c>
      <c r="C336" s="77" t="inlineStr">
        <is>
          <t>medium</t>
        </is>
      </c>
      <c r="D336" s="77" t="inlineStr">
        <is>
          <t>E1</t>
        </is>
      </c>
      <c r="E336" s="77" t="inlineStr">
        <is>
          <t>TNUoS demand (zone 5; TCR banded residual from 2023)</t>
        </is>
      </c>
      <c r="F336" s="77" t="inlineStr">
        <is>
          <t>3 Network</t>
        </is>
      </c>
      <c r="G336" s="77" t="inlineStr">
        <is>
          <t>transmission network charge</t>
        </is>
      </c>
      <c r="H336" s="77" t="inlineStr">
        <is>
          <t>i</t>
        </is>
      </c>
      <c r="I336" s="77">
        <f>IF(ISNUMBER(N336),N336*fx_deflator!$I$12*fx_deflator!$M$12,"")</f>
        <v/>
      </c>
      <c r="J336" s="77" t="inlineStr">
        <is>
          <t>NESO TNUoS tariff documents (compendium doc 50736; Final TNUoS 2023/24-2026/27 Table 10)</t>
        </is>
      </c>
      <c r="K336" s="77" t="inlineStr">
        <is>
          <t>stage4_uk r25-27</t>
        </is>
      </c>
      <c r="L336" s="77" t="inlineStr">
        <is>
          <t>2026-07-15</t>
        </is>
      </c>
      <c r="M336" s="77" t="inlineStr">
        <is>
          <t>Y</t>
        </is>
      </c>
      <c r="N336" s="136">
        <f>IF(ISNUMBER(timeseries!K23),timeseries!K23,"")</f>
        <v/>
      </c>
      <c r="O336" s="77" t="inlineStr">
        <is>
          <t>GBP/MWh nominal</t>
        </is>
      </c>
    </row>
    <row r="337" ht="15" customHeight="1" s="78">
      <c r="A337" s="77" t="inlineStr">
        <is>
          <t>UK</t>
        </is>
      </c>
      <c r="B337" s="77" t="n">
        <v>2017</v>
      </c>
      <c r="C337" s="77" t="inlineStr">
        <is>
          <t>medium</t>
        </is>
      </c>
      <c r="D337" s="77" t="inlineStr">
        <is>
          <t>E1</t>
        </is>
      </c>
      <c r="E337" s="77" t="inlineStr">
        <is>
          <t>DUoS unit rates (NPg CDCM red/amber/green, uniform-operation weights)</t>
        </is>
      </c>
      <c r="F337" s="77" t="inlineStr">
        <is>
          <t>3 Network</t>
        </is>
      </c>
      <c r="G337" s="77" t="inlineStr">
        <is>
          <t>distribution network charge</t>
        </is>
      </c>
      <c r="H337" s="77" t="inlineStr">
        <is>
          <t>i</t>
        </is>
      </c>
      <c r="I337" s="77">
        <f>IF(ISNUMBER(N337),N337*fx_deflator!$I$12*fx_deflator!$M$12,"")</f>
        <v/>
      </c>
      <c r="J337" s="77" t="inlineStr">
        <is>
          <t>NPg (Yorkshire) LC14 CDCM statements; D28 reconstruction 2010-16</t>
        </is>
      </c>
      <c r="K337" s="77" t="inlineStr">
        <is>
          <t>stage4_uk r34-41</t>
        </is>
      </c>
      <c r="L337" s="77" t="inlineStr">
        <is>
          <t>2026-07-15</t>
        </is>
      </c>
      <c r="M337" s="77" t="inlineStr">
        <is>
          <t>Y</t>
        </is>
      </c>
      <c r="N337" s="136">
        <f>IF(ISNUMBER(timeseries!K24),timeseries!K24,"")</f>
        <v/>
      </c>
      <c r="O337" s="77" t="inlineStr">
        <is>
          <t>GBP/MWh nominal</t>
        </is>
      </c>
    </row>
    <row r="338" ht="15" customHeight="1" s="78">
      <c r="A338" s="77" t="inlineStr">
        <is>
          <t>UK</t>
        </is>
      </c>
      <c r="B338" s="77" t="n">
        <v>2017</v>
      </c>
      <c r="C338" s="77" t="inlineStr">
        <is>
          <t>medium</t>
        </is>
      </c>
      <c r="D338" s="77" t="inlineStr">
        <is>
          <t>E1</t>
        </is>
      </c>
      <c r="E338" s="77" t="inlineStr">
        <is>
          <t>DUoS fixed charge (TCR Band-4 residual from 2022/23)</t>
        </is>
      </c>
      <c r="F338" s="77" t="inlineStr">
        <is>
          <t>3 Network</t>
        </is>
      </c>
      <c r="G338" s="77" t="inlineStr">
        <is>
          <t>distribution network charge</t>
        </is>
      </c>
      <c r="H338" s="77" t="inlineStr">
        <is>
          <t>i</t>
        </is>
      </c>
      <c r="I338" s="77">
        <f>IF(ISNUMBER(N338),N338*fx_deflator!$I$12*fx_deflator!$M$12,"")</f>
        <v/>
      </c>
      <c r="J338" s="77" t="inlineStr">
        <is>
          <t>NPg (Yorkshire) LC14 CDCM statements; D28 reconstruction 2010-16</t>
        </is>
      </c>
      <c r="K338" s="77" t="inlineStr">
        <is>
          <t>stage4_uk r34-41</t>
        </is>
      </c>
      <c r="L338" s="77" t="inlineStr">
        <is>
          <t>2026-07-15</t>
        </is>
      </c>
      <c r="M338" s="77" t="inlineStr">
        <is>
          <t>Y</t>
        </is>
      </c>
      <c r="N338" s="136">
        <f>IF(ISNUMBER(timeseries!K25),timeseries!K25,"")</f>
        <v/>
      </c>
      <c r="O338" s="77" t="inlineStr">
        <is>
          <t>GBP/MWh nominal</t>
        </is>
      </c>
    </row>
    <row r="339" ht="15" customHeight="1" s="78">
      <c r="A339" s="77" t="inlineStr">
        <is>
          <t>UK</t>
        </is>
      </c>
      <c r="B339" s="77" t="n">
        <v>2017</v>
      </c>
      <c r="C339" s="77" t="inlineStr">
        <is>
          <t>medium</t>
        </is>
      </c>
      <c r="D339" s="77" t="inlineStr">
        <is>
          <t>E1</t>
        </is>
      </c>
      <c r="E339" s="77" t="inlineStr">
        <is>
          <t>DUoS capacity charge</t>
        </is>
      </c>
      <c r="F339" s="77" t="inlineStr">
        <is>
          <t>3 Network</t>
        </is>
      </c>
      <c r="G339" s="77" t="inlineStr">
        <is>
          <t>distribution network charge</t>
        </is>
      </c>
      <c r="H339" s="77" t="inlineStr">
        <is>
          <t>i</t>
        </is>
      </c>
      <c r="I339" s="77">
        <f>IF(ISNUMBER(N339),N339*fx_deflator!$I$12*fx_deflator!$M$12,"")</f>
        <v/>
      </c>
      <c r="J339" s="77" t="inlineStr">
        <is>
          <t>NPg (Yorkshire) LC14 CDCM statements; D28 reconstruction 2010-16</t>
        </is>
      </c>
      <c r="K339" s="77" t="inlineStr">
        <is>
          <t>stage4_uk r34-41</t>
        </is>
      </c>
      <c r="L339" s="77" t="inlineStr">
        <is>
          <t>2026-07-15</t>
        </is>
      </c>
      <c r="M339" s="77" t="inlineStr">
        <is>
          <t>Y</t>
        </is>
      </c>
      <c r="N339" s="136">
        <f>IF(ISNUMBER(timeseries!K26),timeseries!K26,"")</f>
        <v/>
      </c>
      <c r="O339" s="77" t="inlineStr">
        <is>
          <t>GBP/MWh nominal</t>
        </is>
      </c>
    </row>
    <row r="340" ht="15" customHeight="1" s="78">
      <c r="A340" s="77" t="inlineStr">
        <is>
          <t>UK</t>
        </is>
      </c>
      <c r="B340" s="77" t="n">
        <v>2017</v>
      </c>
      <c r="C340" s="77" t="inlineStr">
        <is>
          <t>medium</t>
        </is>
      </c>
      <c r="D340" s="77" t="inlineStr">
        <is>
          <t>E1</t>
        </is>
      </c>
      <c r="E340" s="77" t="inlineStr">
        <is>
          <t>BSUoS (demand-only from 04/2023)</t>
        </is>
      </c>
      <c r="F340" s="77" t="inlineStr">
        <is>
          <t>4 System services &amp; balancing</t>
        </is>
      </c>
      <c r="G340" s="77" t="inlineStr">
        <is>
          <t>balancing charge</t>
        </is>
      </c>
      <c r="H340" s="77" t="inlineStr">
        <is>
          <t>i</t>
        </is>
      </c>
      <c r="I340" s="77">
        <f>IF(ISNUMBER(N340),N340*fx_deflator!$I$12*fx_deflator!$M$12,"")</f>
        <v/>
      </c>
      <c r="J340" s="77" t="inlineStr">
        <is>
          <t>NESO bsuos-fixed-tariffs + HH RF settlement files (own annual avg 2010-22)</t>
        </is>
      </c>
      <c r="K340" s="77" t="inlineStr">
        <is>
          <t>stage4_uk r28-30</t>
        </is>
      </c>
      <c r="L340" s="77" t="inlineStr">
        <is>
          <t>2026-07-15</t>
        </is>
      </c>
      <c r="M340" s="77" t="inlineStr">
        <is>
          <t>Y</t>
        </is>
      </c>
      <c r="N340" s="77">
        <f>IF(ISNUMBER(timeseries!K8),timeseries!K8,"")</f>
        <v/>
      </c>
      <c r="O340" s="77" t="inlineStr">
        <is>
          <t>GBP/MWh nominal</t>
        </is>
      </c>
    </row>
    <row r="341" ht="15" customHeight="1" s="78">
      <c r="A341" s="77" t="inlineStr">
        <is>
          <t>UK</t>
        </is>
      </c>
      <c r="B341" s="77" t="n">
        <v>2017</v>
      </c>
      <c r="C341" s="77" t="inlineStr">
        <is>
          <t>medium</t>
        </is>
      </c>
      <c r="D341" s="77" t="inlineStr">
        <is>
          <t>E1</t>
        </is>
      </c>
      <c r="E341" s="77" t="inlineStr">
        <is>
          <t>AAHEDC</t>
        </is>
      </c>
      <c r="F341" s="77" t="inlineStr">
        <is>
          <t>3 Network</t>
        </is>
      </c>
      <c r="G341" s="77" t="inlineStr">
        <is>
          <t>network levy (hydro benefit)</t>
        </is>
      </c>
      <c r="H341" s="77" t="inlineStr">
        <is>
          <t>ii (pays cross-subsidy to N Scotland consumers)</t>
        </is>
      </c>
      <c r="I341" s="77">
        <f>IF(ISNUMBER(N341),N341*fx_deflator!$I$12*fx_deflator!$M$12,"")</f>
        <v/>
      </c>
      <c r="J341" s="77" t="inlineStr">
        <is>
          <t>NG/ESO AAHEDC charging statements &amp; final tariff letters</t>
        </is>
      </c>
      <c r="K341" s="77" t="inlineStr">
        <is>
          <t>stage4_uk r31</t>
        </is>
      </c>
      <c r="L341" s="77" t="inlineStr">
        <is>
          <t>2026-07-15</t>
        </is>
      </c>
      <c r="M341" s="77" t="inlineStr">
        <is>
          <t>N</t>
        </is>
      </c>
      <c r="N341" s="77">
        <f>IF(ISNUMBER(timeseries!K9),timeseries!K9,"")</f>
        <v/>
      </c>
      <c r="O341" s="77" t="inlineStr">
        <is>
          <t>GBP/MWh nominal</t>
        </is>
      </c>
      <c r="P341" s="77" t="inlineStr">
        <is>
          <t>not in NCC base (conservative, unverified)</t>
        </is>
      </c>
    </row>
    <row r="342" ht="15" customHeight="1" s="78">
      <c r="A342" s="77" t="inlineStr">
        <is>
          <t>UK</t>
        </is>
      </c>
      <c r="B342" s="77" t="n">
        <v>2017</v>
      </c>
      <c r="C342" s="77" t="inlineStr">
        <is>
          <t>medium</t>
        </is>
      </c>
      <c r="D342" s="77" t="inlineStr">
        <is>
          <t>E1</t>
        </is>
      </c>
      <c r="E342" s="77" t="inlineStr">
        <is>
          <t>RO (buy-out x obligation)</t>
        </is>
      </c>
      <c r="F342" s="77" t="inlineStr">
        <is>
          <t>2 Gen capital recovery</t>
        </is>
      </c>
      <c r="G342" s="77" t="inlineStr">
        <is>
          <t>renewables levy</t>
        </is>
      </c>
      <c r="H342" s="77" t="inlineStr">
        <is>
          <t>i</t>
        </is>
      </c>
      <c r="I342" s="77">
        <f>IF(ISNUMBER(N342),N342*fx_deflator!$I$12*fx_deflator!$M$12,"")</f>
        <v/>
      </c>
      <c r="J342" s="77" t="inlineStr">
        <is>
          <t>Ofgem RO guidance OFG1164 Table 1.1 (buy-out x obligation)</t>
        </is>
      </c>
      <c r="K342" s="77" t="inlineStr">
        <is>
          <t>stage4_uk r12-14</t>
        </is>
      </c>
      <c r="L342" s="77" t="inlineStr">
        <is>
          <t>2026-07-15</t>
        </is>
      </c>
      <c r="M342" s="77" t="inlineStr">
        <is>
          <t>Y</t>
        </is>
      </c>
      <c r="N342" s="136">
        <f>IF(ISNUMBER(timeseries!K10),timeseries!K10,"")</f>
        <v/>
      </c>
      <c r="O342" s="77" t="inlineStr">
        <is>
          <t>GBP/MWh nominal</t>
        </is>
      </c>
    </row>
    <row r="343" ht="15" customHeight="1" s="78">
      <c r="A343" s="77" t="inlineStr">
        <is>
          <t>UK</t>
        </is>
      </c>
      <c r="B343" s="77" t="n">
        <v>2017</v>
      </c>
      <c r="C343" s="77" t="inlineStr">
        <is>
          <t>medium</t>
        </is>
      </c>
      <c r="D343" s="77" t="inlineStr">
        <is>
          <t>E1</t>
        </is>
      </c>
      <c r="E343" s="77" t="inlineStr">
        <is>
          <t>CfD Interim Levy Rate (annual avg)</t>
        </is>
      </c>
      <c r="F343" s="77" t="inlineStr">
        <is>
          <t>2 Gen capital recovery</t>
        </is>
      </c>
      <c r="G343" s="77" t="inlineStr">
        <is>
          <t>renewables levy</t>
        </is>
      </c>
      <c r="H343" s="77" t="inlineStr">
        <is>
          <t>i</t>
        </is>
      </c>
      <c r="I343" s="77">
        <f>IF(ISNUMBER(N343),N343*fx_deflator!$I$12*fx_deflator!$M$12,"")</f>
        <v/>
      </c>
      <c r="J343" s="77" t="inlineStr">
        <is>
          <t>LCCC Actual ILR Income dataset (quarterly avg)</t>
        </is>
      </c>
      <c r="K343" s="77" t="inlineStr">
        <is>
          <t>stage4_uk r15-19</t>
        </is>
      </c>
      <c r="L343" s="77" t="inlineStr">
        <is>
          <t>2026-07-15</t>
        </is>
      </c>
      <c r="M343" s="77" t="inlineStr">
        <is>
          <t>Y</t>
        </is>
      </c>
      <c r="N343" s="136">
        <f>IF(ISNUMBER(timeseries!K11),timeseries!K11,"")</f>
        <v/>
      </c>
      <c r="O343" s="77" t="inlineStr">
        <is>
          <t>GBP/MWh nominal</t>
        </is>
      </c>
    </row>
    <row r="344" ht="15" customHeight="1" s="78">
      <c r="A344" s="77" t="inlineStr">
        <is>
          <t>UK</t>
        </is>
      </c>
      <c r="B344" s="77" t="n">
        <v>2017</v>
      </c>
      <c r="C344" s="77" t="inlineStr">
        <is>
          <t>medium</t>
        </is>
      </c>
      <c r="D344" s="77" t="inlineStr">
        <is>
          <t>E1</t>
        </is>
      </c>
      <c r="E344" s="77" t="inlineStr">
        <is>
          <t>FiT levelisation</t>
        </is>
      </c>
      <c r="F344" s="77" t="inlineStr">
        <is>
          <t>2 Gen capital recovery</t>
        </is>
      </c>
      <c r="G344" s="77" t="inlineStr">
        <is>
          <t>renewables levy</t>
        </is>
      </c>
      <c r="H344" s="77" t="inlineStr">
        <is>
          <t>i</t>
        </is>
      </c>
      <c r="I344" s="77">
        <f>IF(ISNUMBER(N344),N344*fx_deflator!$I$12*fx_deflator!$M$12,"")</f>
        <v/>
      </c>
      <c r="J344" s="77" t="inlineStr">
        <is>
          <t>Ofgem FIT Annual Reports SY1-SY15; D27 for 2010-14</t>
        </is>
      </c>
      <c r="K344" s="77" t="inlineStr">
        <is>
          <t>stage4_uk r20</t>
        </is>
      </c>
      <c r="L344" s="77" t="inlineStr">
        <is>
          <t>2026-07-15</t>
        </is>
      </c>
      <c r="M344" s="77" t="inlineStr">
        <is>
          <t>Y</t>
        </is>
      </c>
      <c r="N344" s="77">
        <f>IF(ISNUMBER(timeseries!K12),timeseries!K12,"")</f>
        <v/>
      </c>
      <c r="O344" s="77" t="inlineStr">
        <is>
          <t>GBP/MWh nominal</t>
        </is>
      </c>
      <c r="P344" s="77" t="inlineStr">
        <is>
          <t>2025 unpublished (Q32) — row absent, gap stated</t>
        </is>
      </c>
    </row>
    <row r="345" ht="15" customHeight="1" s="78">
      <c r="A345" s="77" t="inlineStr">
        <is>
          <t>UK</t>
        </is>
      </c>
      <c r="B345" s="77" t="n">
        <v>2017</v>
      </c>
      <c r="C345" s="77" t="inlineStr">
        <is>
          <t>medium</t>
        </is>
      </c>
      <c r="D345" s="77" t="inlineStr">
        <is>
          <t>E1</t>
        </is>
      </c>
      <c r="E345" s="77" t="inlineStr">
        <is>
          <t>Capacity Market (derived per-MWh)</t>
        </is>
      </c>
      <c r="F345" s="77" t="inlineStr">
        <is>
          <t>2 Gen capital recovery</t>
        </is>
      </c>
      <c r="G345" s="77" t="inlineStr">
        <is>
          <t>capacity market levy</t>
        </is>
      </c>
      <c r="H345" s="77" t="inlineStr">
        <is>
          <t>i</t>
        </is>
      </c>
      <c r="I345" s="77">
        <f>IF(ISNUMBER(N345),N345*fx_deflator!$I$12*fx_deflator!$M$12,"")</f>
        <v/>
      </c>
      <c r="J345" s="77" t="inlineStr">
        <is>
          <t>EMRS Key Figures for Payments (derived per-MWh, D30)</t>
        </is>
      </c>
      <c r="K345" s="77" t="inlineStr">
        <is>
          <t>stage4_uk r21</t>
        </is>
      </c>
      <c r="L345" s="77" t="inlineStr">
        <is>
          <t>2026-07-15</t>
        </is>
      </c>
      <c r="M345" s="77" t="inlineStr">
        <is>
          <t>Y</t>
        </is>
      </c>
      <c r="N345" s="77">
        <f>IF(ISNUMBER(timeseries!K13),timeseries!K13,"")</f>
        <v/>
      </c>
      <c r="O345" s="77" t="inlineStr">
        <is>
          <t>GBP/MWh nominal</t>
        </is>
      </c>
      <c r="P345" s="77" t="inlineStr">
        <is>
          <t>function 2 per D9</t>
        </is>
      </c>
    </row>
    <row r="346" ht="15" customHeight="1" s="78">
      <c r="A346" s="77" t="inlineStr">
        <is>
          <t>UK</t>
        </is>
      </c>
      <c r="B346" s="77" t="n">
        <v>2017</v>
      </c>
      <c r="C346" s="77" t="inlineStr">
        <is>
          <t>medium</t>
        </is>
      </c>
      <c r="D346" s="77" t="inlineStr">
        <is>
          <t>E1</t>
        </is>
      </c>
      <c r="E346" s="77" t="inlineStr">
        <is>
          <t>CCL (main rate; CCA discount not modelled)</t>
        </is>
      </c>
      <c r="F346" s="77" t="inlineStr">
        <is>
          <t>5 General taxation &amp; levies</t>
        </is>
      </c>
      <c r="G346" s="77" t="inlineStr">
        <is>
          <t>climate levy (tax)</t>
        </is>
      </c>
      <c r="H346" s="77" t="inlineStr">
        <is>
          <t>i</t>
        </is>
      </c>
      <c r="I346" s="77">
        <f>IF(ISNUMBER(N346),N346*fx_deflator!$I$12*fx_deflator!$M$12,"")</f>
        <v/>
      </c>
      <c r="J346" s="77" t="inlineStr">
        <is>
          <t>HMRC Environmental Taxes Bulletin, historical rates Table 1</t>
        </is>
      </c>
      <c r="K346" s="77" t="inlineStr">
        <is>
          <t>stage4_uk r22</t>
        </is>
      </c>
      <c r="L346" s="77" t="inlineStr">
        <is>
          <t>2026-07-15</t>
        </is>
      </c>
      <c r="M346" s="77" t="inlineStr">
        <is>
          <t>N</t>
        </is>
      </c>
      <c r="N346" s="136">
        <f>IF(ISNUMBER(timeseries!K14),timeseries!K14,"")</f>
        <v/>
      </c>
      <c r="O346" s="77" t="inlineStr">
        <is>
          <t>GBP/MWh nominal</t>
        </is>
      </c>
    </row>
    <row r="347" ht="15" customHeight="1" s="78">
      <c r="A347" s="77" t="inlineStr">
        <is>
          <t>UK</t>
        </is>
      </c>
      <c r="B347" s="77" t="n">
        <v>2018</v>
      </c>
      <c r="C347" s="77" t="inlineStr">
        <is>
          <t>medium</t>
        </is>
      </c>
      <c r="D347" s="77" t="inlineStr">
        <is>
          <t>E1</t>
        </is>
      </c>
      <c r="E347" s="77" t="inlineStr">
        <is>
          <t>Wholesale (rolling year-ahead baseload; DA proxy &lt;=2021)</t>
        </is>
      </c>
      <c r="F347" s="77" t="inlineStr">
        <is>
          <t>1 Commodity</t>
        </is>
      </c>
      <c r="G347" s="77" t="inlineStr">
        <is>
          <t>wholesale market</t>
        </is>
      </c>
      <c r="H347" s="77" t="inlineStr">
        <is>
          <t>i</t>
        </is>
      </c>
      <c r="I347" s="77">
        <f>IF(ISNUMBER(N347),N347*fx_deflator!$I$13*fx_deflator!$M$13,"")</f>
        <v/>
      </c>
      <c r="J347" s="77" t="inlineStr">
        <is>
          <t>Ofgem data portal — DA baseload monthly avg (proxy &lt;=2021, D22); Forward Delivery Contracts (D21)</t>
        </is>
      </c>
      <c r="K347" s="77" t="inlineStr">
        <is>
          <t>stage4_uk r7-9</t>
        </is>
      </c>
      <c r="L347" s="77" t="inlineStr">
        <is>
          <t>2026-07-15</t>
        </is>
      </c>
      <c r="M347" s="77" t="inlineStr">
        <is>
          <t>Y</t>
        </is>
      </c>
      <c r="N347" s="136">
        <f>IF(ISNUMBER(timeseries!L22),timeseries!L22,"")</f>
        <v/>
      </c>
      <c r="O347" s="77" t="inlineStr">
        <is>
          <t>GBP/MWh nominal</t>
        </is>
      </c>
      <c r="P347" s="77" t="inlineStr">
        <is>
          <t>identical E1/E2; embedded carbon memo inside this item</t>
        </is>
      </c>
    </row>
    <row r="348" ht="15" customHeight="1" s="78">
      <c r="A348" s="77" t="inlineStr">
        <is>
          <t>UK</t>
        </is>
      </c>
      <c r="B348" s="77" t="n">
        <v>2018</v>
      </c>
      <c r="C348" s="77" t="inlineStr">
        <is>
          <t>medium</t>
        </is>
      </c>
      <c r="D348" s="77" t="inlineStr">
        <is>
          <t>E1</t>
        </is>
      </c>
      <c r="E348" s="77" t="inlineStr">
        <is>
          <t>TNUoS demand (zone 5; TCR banded residual from 2023)</t>
        </is>
      </c>
      <c r="F348" s="77" t="inlineStr">
        <is>
          <t>3 Network</t>
        </is>
      </c>
      <c r="G348" s="77" t="inlineStr">
        <is>
          <t>transmission network charge</t>
        </is>
      </c>
      <c r="H348" s="77" t="inlineStr">
        <is>
          <t>i</t>
        </is>
      </c>
      <c r="I348" s="77">
        <f>IF(ISNUMBER(N348),N348*fx_deflator!$I$13*fx_deflator!$M$13,"")</f>
        <v/>
      </c>
      <c r="J348" s="77" t="inlineStr">
        <is>
          <t>NESO TNUoS tariff documents (compendium doc 50736; Final TNUoS 2023/24-2026/27 Table 10)</t>
        </is>
      </c>
      <c r="K348" s="77" t="inlineStr">
        <is>
          <t>stage4_uk r25-27</t>
        </is>
      </c>
      <c r="L348" s="77" t="inlineStr">
        <is>
          <t>2026-07-15</t>
        </is>
      </c>
      <c r="M348" s="77" t="inlineStr">
        <is>
          <t>Y</t>
        </is>
      </c>
      <c r="N348" s="136">
        <f>IF(ISNUMBER(timeseries!L23),timeseries!L23,"")</f>
        <v/>
      </c>
      <c r="O348" s="77" t="inlineStr">
        <is>
          <t>GBP/MWh nominal</t>
        </is>
      </c>
    </row>
    <row r="349" ht="15" customHeight="1" s="78">
      <c r="A349" s="77" t="inlineStr">
        <is>
          <t>UK</t>
        </is>
      </c>
      <c r="B349" s="77" t="n">
        <v>2018</v>
      </c>
      <c r="C349" s="77" t="inlineStr">
        <is>
          <t>medium</t>
        </is>
      </c>
      <c r="D349" s="77" t="inlineStr">
        <is>
          <t>E1</t>
        </is>
      </c>
      <c r="E349" s="77" t="inlineStr">
        <is>
          <t>DUoS unit rates (NPg CDCM red/amber/green, uniform-operation weights)</t>
        </is>
      </c>
      <c r="F349" s="77" t="inlineStr">
        <is>
          <t>3 Network</t>
        </is>
      </c>
      <c r="G349" s="77" t="inlineStr">
        <is>
          <t>distribution network charge</t>
        </is>
      </c>
      <c r="H349" s="77" t="inlineStr">
        <is>
          <t>i</t>
        </is>
      </c>
      <c r="I349" s="77">
        <f>IF(ISNUMBER(N349),N349*fx_deflator!$I$13*fx_deflator!$M$13,"")</f>
        <v/>
      </c>
      <c r="J349" s="77" t="inlineStr">
        <is>
          <t>NPg (Yorkshire) LC14 CDCM statements; D28 reconstruction 2010-16</t>
        </is>
      </c>
      <c r="K349" s="77" t="inlineStr">
        <is>
          <t>stage4_uk r34-41</t>
        </is>
      </c>
      <c r="L349" s="77" t="inlineStr">
        <is>
          <t>2026-07-15</t>
        </is>
      </c>
      <c r="M349" s="77" t="inlineStr">
        <is>
          <t>Y</t>
        </is>
      </c>
      <c r="N349" s="136">
        <f>IF(ISNUMBER(timeseries!L24),timeseries!L24,"")</f>
        <v/>
      </c>
      <c r="O349" s="77" t="inlineStr">
        <is>
          <t>GBP/MWh nominal</t>
        </is>
      </c>
    </row>
    <row r="350" ht="15" customHeight="1" s="78">
      <c r="A350" s="77" t="inlineStr">
        <is>
          <t>UK</t>
        </is>
      </c>
      <c r="B350" s="77" t="n">
        <v>2018</v>
      </c>
      <c r="C350" s="77" t="inlineStr">
        <is>
          <t>medium</t>
        </is>
      </c>
      <c r="D350" s="77" t="inlineStr">
        <is>
          <t>E1</t>
        </is>
      </c>
      <c r="E350" s="77" t="inlineStr">
        <is>
          <t>DUoS fixed charge (TCR Band-4 residual from 2022/23)</t>
        </is>
      </c>
      <c r="F350" s="77" t="inlineStr">
        <is>
          <t>3 Network</t>
        </is>
      </c>
      <c r="G350" s="77" t="inlineStr">
        <is>
          <t>distribution network charge</t>
        </is>
      </c>
      <c r="H350" s="77" t="inlineStr">
        <is>
          <t>i</t>
        </is>
      </c>
      <c r="I350" s="77">
        <f>IF(ISNUMBER(N350),N350*fx_deflator!$I$13*fx_deflator!$M$13,"")</f>
        <v/>
      </c>
      <c r="J350" s="77" t="inlineStr">
        <is>
          <t>NPg (Yorkshire) LC14 CDCM statements; D28 reconstruction 2010-16</t>
        </is>
      </c>
      <c r="K350" s="77" t="inlineStr">
        <is>
          <t>stage4_uk r34-41</t>
        </is>
      </c>
      <c r="L350" s="77" t="inlineStr">
        <is>
          <t>2026-07-15</t>
        </is>
      </c>
      <c r="M350" s="77" t="inlineStr">
        <is>
          <t>Y</t>
        </is>
      </c>
      <c r="N350" s="136">
        <f>IF(ISNUMBER(timeseries!L25),timeseries!L25,"")</f>
        <v/>
      </c>
      <c r="O350" s="77" t="inlineStr">
        <is>
          <t>GBP/MWh nominal</t>
        </is>
      </c>
    </row>
    <row r="351" ht="15" customHeight="1" s="78">
      <c r="A351" s="77" t="inlineStr">
        <is>
          <t>UK</t>
        </is>
      </c>
      <c r="B351" s="77" t="n">
        <v>2018</v>
      </c>
      <c r="C351" s="77" t="inlineStr">
        <is>
          <t>medium</t>
        </is>
      </c>
      <c r="D351" s="77" t="inlineStr">
        <is>
          <t>E1</t>
        </is>
      </c>
      <c r="E351" s="77" t="inlineStr">
        <is>
          <t>DUoS capacity charge</t>
        </is>
      </c>
      <c r="F351" s="77" t="inlineStr">
        <is>
          <t>3 Network</t>
        </is>
      </c>
      <c r="G351" s="77" t="inlineStr">
        <is>
          <t>distribution network charge</t>
        </is>
      </c>
      <c r="H351" s="77" t="inlineStr">
        <is>
          <t>i</t>
        </is>
      </c>
      <c r="I351" s="77">
        <f>IF(ISNUMBER(N351),N351*fx_deflator!$I$13*fx_deflator!$M$13,"")</f>
        <v/>
      </c>
      <c r="J351" s="77" t="inlineStr">
        <is>
          <t>NPg (Yorkshire) LC14 CDCM statements; D28 reconstruction 2010-16</t>
        </is>
      </c>
      <c r="K351" s="77" t="inlineStr">
        <is>
          <t>stage4_uk r34-41</t>
        </is>
      </c>
      <c r="L351" s="77" t="inlineStr">
        <is>
          <t>2026-07-15</t>
        </is>
      </c>
      <c r="M351" s="77" t="inlineStr">
        <is>
          <t>Y</t>
        </is>
      </c>
      <c r="N351" s="136">
        <f>IF(ISNUMBER(timeseries!L26),timeseries!L26,"")</f>
        <v/>
      </c>
      <c r="O351" s="77" t="inlineStr">
        <is>
          <t>GBP/MWh nominal</t>
        </is>
      </c>
    </row>
    <row r="352" ht="15" customHeight="1" s="78">
      <c r="A352" s="77" t="inlineStr">
        <is>
          <t>UK</t>
        </is>
      </c>
      <c r="B352" s="77" t="n">
        <v>2018</v>
      </c>
      <c r="C352" s="77" t="inlineStr">
        <is>
          <t>medium</t>
        </is>
      </c>
      <c r="D352" s="77" t="inlineStr">
        <is>
          <t>E1</t>
        </is>
      </c>
      <c r="E352" s="77" t="inlineStr">
        <is>
          <t>BSUoS (demand-only from 04/2023)</t>
        </is>
      </c>
      <c r="F352" s="77" t="inlineStr">
        <is>
          <t>4 System services &amp; balancing</t>
        </is>
      </c>
      <c r="G352" s="77" t="inlineStr">
        <is>
          <t>balancing charge</t>
        </is>
      </c>
      <c r="H352" s="77" t="inlineStr">
        <is>
          <t>i</t>
        </is>
      </c>
      <c r="I352" s="77">
        <f>IF(ISNUMBER(N352),N352*fx_deflator!$I$13*fx_deflator!$M$13,"")</f>
        <v/>
      </c>
      <c r="J352" s="77" t="inlineStr">
        <is>
          <t>NESO bsuos-fixed-tariffs + HH RF settlement files (own annual avg 2010-22)</t>
        </is>
      </c>
      <c r="K352" s="77" t="inlineStr">
        <is>
          <t>stage4_uk r28-30</t>
        </is>
      </c>
      <c r="L352" s="77" t="inlineStr">
        <is>
          <t>2026-07-15</t>
        </is>
      </c>
      <c r="M352" s="77" t="inlineStr">
        <is>
          <t>Y</t>
        </is>
      </c>
      <c r="N352" s="77">
        <f>IF(ISNUMBER(timeseries!L8),timeseries!L8,"")</f>
        <v/>
      </c>
      <c r="O352" s="77" t="inlineStr">
        <is>
          <t>GBP/MWh nominal</t>
        </is>
      </c>
    </row>
    <row r="353" ht="15" customHeight="1" s="78">
      <c r="A353" s="77" t="inlineStr">
        <is>
          <t>UK</t>
        </is>
      </c>
      <c r="B353" s="77" t="n">
        <v>2018</v>
      </c>
      <c r="C353" s="77" t="inlineStr">
        <is>
          <t>medium</t>
        </is>
      </c>
      <c r="D353" s="77" t="inlineStr">
        <is>
          <t>E1</t>
        </is>
      </c>
      <c r="E353" s="77" t="inlineStr">
        <is>
          <t>AAHEDC</t>
        </is>
      </c>
      <c r="F353" s="77" t="inlineStr">
        <is>
          <t>3 Network</t>
        </is>
      </c>
      <c r="G353" s="77" t="inlineStr">
        <is>
          <t>network levy (hydro benefit)</t>
        </is>
      </c>
      <c r="H353" s="77" t="inlineStr">
        <is>
          <t>ii (pays cross-subsidy to N Scotland consumers)</t>
        </is>
      </c>
      <c r="I353" s="77">
        <f>IF(ISNUMBER(N353),N353*fx_deflator!$I$13*fx_deflator!$M$13,"")</f>
        <v/>
      </c>
      <c r="J353" s="77" t="inlineStr">
        <is>
          <t>NG/ESO AAHEDC charging statements &amp; final tariff letters</t>
        </is>
      </c>
      <c r="K353" s="77" t="inlineStr">
        <is>
          <t>stage4_uk r31</t>
        </is>
      </c>
      <c r="L353" s="77" t="inlineStr">
        <is>
          <t>2026-07-15</t>
        </is>
      </c>
      <c r="M353" s="77" t="inlineStr">
        <is>
          <t>N</t>
        </is>
      </c>
      <c r="N353" s="77">
        <f>IF(ISNUMBER(timeseries!L9),timeseries!L9,"")</f>
        <v/>
      </c>
      <c r="O353" s="77" t="inlineStr">
        <is>
          <t>GBP/MWh nominal</t>
        </is>
      </c>
      <c r="P353" s="77" t="inlineStr">
        <is>
          <t>not in NCC base (conservative, unverified)</t>
        </is>
      </c>
    </row>
    <row r="354" ht="15" customHeight="1" s="78">
      <c r="A354" s="77" t="inlineStr">
        <is>
          <t>UK</t>
        </is>
      </c>
      <c r="B354" s="77" t="n">
        <v>2018</v>
      </c>
      <c r="C354" s="77" t="inlineStr">
        <is>
          <t>medium</t>
        </is>
      </c>
      <c r="D354" s="77" t="inlineStr">
        <is>
          <t>E1</t>
        </is>
      </c>
      <c r="E354" s="77" t="inlineStr">
        <is>
          <t>RO (buy-out x obligation)</t>
        </is>
      </c>
      <c r="F354" s="77" t="inlineStr">
        <is>
          <t>2 Gen capital recovery</t>
        </is>
      </c>
      <c r="G354" s="77" t="inlineStr">
        <is>
          <t>renewables levy</t>
        </is>
      </c>
      <c r="H354" s="77" t="inlineStr">
        <is>
          <t>i</t>
        </is>
      </c>
      <c r="I354" s="77">
        <f>IF(ISNUMBER(N354),N354*fx_deflator!$I$13*fx_deflator!$M$13,"")</f>
        <v/>
      </c>
      <c r="J354" s="77" t="inlineStr">
        <is>
          <t>Ofgem RO guidance OFG1164 Table 1.1 (buy-out x obligation)</t>
        </is>
      </c>
      <c r="K354" s="77" t="inlineStr">
        <is>
          <t>stage4_uk r12-14</t>
        </is>
      </c>
      <c r="L354" s="77" t="inlineStr">
        <is>
          <t>2026-07-15</t>
        </is>
      </c>
      <c r="M354" s="77" t="inlineStr">
        <is>
          <t>Y</t>
        </is>
      </c>
      <c r="N354" s="136">
        <f>IF(ISNUMBER(timeseries!L10),timeseries!L10,"")</f>
        <v/>
      </c>
      <c r="O354" s="77" t="inlineStr">
        <is>
          <t>GBP/MWh nominal</t>
        </is>
      </c>
    </row>
    <row r="355" ht="15" customHeight="1" s="78">
      <c r="A355" s="77" t="inlineStr">
        <is>
          <t>UK</t>
        </is>
      </c>
      <c r="B355" s="77" t="n">
        <v>2018</v>
      </c>
      <c r="C355" s="77" t="inlineStr">
        <is>
          <t>medium</t>
        </is>
      </c>
      <c r="D355" s="77" t="inlineStr">
        <is>
          <t>E1</t>
        </is>
      </c>
      <c r="E355" s="77" t="inlineStr">
        <is>
          <t>CfD Interim Levy Rate (annual avg)</t>
        </is>
      </c>
      <c r="F355" s="77" t="inlineStr">
        <is>
          <t>2 Gen capital recovery</t>
        </is>
      </c>
      <c r="G355" s="77" t="inlineStr">
        <is>
          <t>renewables levy</t>
        </is>
      </c>
      <c r="H355" s="77" t="inlineStr">
        <is>
          <t>i</t>
        </is>
      </c>
      <c r="I355" s="77">
        <f>IF(ISNUMBER(N355),N355*fx_deflator!$I$13*fx_deflator!$M$13,"")</f>
        <v/>
      </c>
      <c r="J355" s="77" t="inlineStr">
        <is>
          <t>LCCC Actual ILR Income dataset (quarterly avg)</t>
        </is>
      </c>
      <c r="K355" s="77" t="inlineStr">
        <is>
          <t>stage4_uk r15-19</t>
        </is>
      </c>
      <c r="L355" s="77" t="inlineStr">
        <is>
          <t>2026-07-15</t>
        </is>
      </c>
      <c r="M355" s="77" t="inlineStr">
        <is>
          <t>Y</t>
        </is>
      </c>
      <c r="N355" s="136">
        <f>IF(ISNUMBER(timeseries!L11),timeseries!L11,"")</f>
        <v/>
      </c>
      <c r="O355" s="77" t="inlineStr">
        <is>
          <t>GBP/MWh nominal</t>
        </is>
      </c>
    </row>
    <row r="356" ht="15" customHeight="1" s="78">
      <c r="A356" s="77" t="inlineStr">
        <is>
          <t>UK</t>
        </is>
      </c>
      <c r="B356" s="77" t="n">
        <v>2018</v>
      </c>
      <c r="C356" s="77" t="inlineStr">
        <is>
          <t>medium</t>
        </is>
      </c>
      <c r="D356" s="77" t="inlineStr">
        <is>
          <t>E1</t>
        </is>
      </c>
      <c r="E356" s="77" t="inlineStr">
        <is>
          <t>FiT levelisation</t>
        </is>
      </c>
      <c r="F356" s="77" t="inlineStr">
        <is>
          <t>2 Gen capital recovery</t>
        </is>
      </c>
      <c r="G356" s="77" t="inlineStr">
        <is>
          <t>renewables levy</t>
        </is>
      </c>
      <c r="H356" s="77" t="inlineStr">
        <is>
          <t>i</t>
        </is>
      </c>
      <c r="I356" s="77">
        <f>IF(ISNUMBER(N356),N356*fx_deflator!$I$13*fx_deflator!$M$13,"")</f>
        <v/>
      </c>
      <c r="J356" s="77" t="inlineStr">
        <is>
          <t>Ofgem FIT Annual Reports SY1-SY15; D27 for 2010-14</t>
        </is>
      </c>
      <c r="K356" s="77" t="inlineStr">
        <is>
          <t>stage4_uk r20</t>
        </is>
      </c>
      <c r="L356" s="77" t="inlineStr">
        <is>
          <t>2026-07-15</t>
        </is>
      </c>
      <c r="M356" s="77" t="inlineStr">
        <is>
          <t>Y</t>
        </is>
      </c>
      <c r="N356" s="77">
        <f>IF(ISNUMBER(timeseries!L12),timeseries!L12,"")</f>
        <v/>
      </c>
      <c r="O356" s="77" t="inlineStr">
        <is>
          <t>GBP/MWh nominal</t>
        </is>
      </c>
      <c r="P356" s="77" t="inlineStr">
        <is>
          <t>2025 unpublished (Q32) — row absent, gap stated</t>
        </is>
      </c>
    </row>
    <row r="357" ht="15" customHeight="1" s="78">
      <c r="A357" s="77" t="inlineStr">
        <is>
          <t>UK</t>
        </is>
      </c>
      <c r="B357" s="77" t="n">
        <v>2018</v>
      </c>
      <c r="C357" s="77" t="inlineStr">
        <is>
          <t>medium</t>
        </is>
      </c>
      <c r="D357" s="77" t="inlineStr">
        <is>
          <t>E1</t>
        </is>
      </c>
      <c r="E357" s="77" t="inlineStr">
        <is>
          <t>Capacity Market (derived per-MWh)</t>
        </is>
      </c>
      <c r="F357" s="77" t="inlineStr">
        <is>
          <t>2 Gen capital recovery</t>
        </is>
      </c>
      <c r="G357" s="77" t="inlineStr">
        <is>
          <t>capacity market levy</t>
        </is>
      </c>
      <c r="H357" s="77" t="inlineStr">
        <is>
          <t>i</t>
        </is>
      </c>
      <c r="I357" s="77">
        <f>IF(ISNUMBER(N357),N357*fx_deflator!$I$13*fx_deflator!$M$13,"")</f>
        <v/>
      </c>
      <c r="J357" s="77" t="inlineStr">
        <is>
          <t>EMRS Key Figures for Payments (derived per-MWh, D30)</t>
        </is>
      </c>
      <c r="K357" s="77" t="inlineStr">
        <is>
          <t>stage4_uk r21</t>
        </is>
      </c>
      <c r="L357" s="77" t="inlineStr">
        <is>
          <t>2026-07-15</t>
        </is>
      </c>
      <c r="M357" s="77" t="inlineStr">
        <is>
          <t>Y</t>
        </is>
      </c>
      <c r="N357" s="77">
        <f>IF(ISNUMBER(timeseries!L13),timeseries!L13,"")</f>
        <v/>
      </c>
      <c r="O357" s="77" t="inlineStr">
        <is>
          <t>GBP/MWh nominal</t>
        </is>
      </c>
      <c r="P357" s="77" t="inlineStr">
        <is>
          <t>function 2 per D9</t>
        </is>
      </c>
    </row>
    <row r="358" ht="15" customHeight="1" s="78">
      <c r="A358" s="77" t="inlineStr">
        <is>
          <t>UK</t>
        </is>
      </c>
      <c r="B358" s="77" t="n">
        <v>2018</v>
      </c>
      <c r="C358" s="77" t="inlineStr">
        <is>
          <t>medium</t>
        </is>
      </c>
      <c r="D358" s="77" t="inlineStr">
        <is>
          <t>E1</t>
        </is>
      </c>
      <c r="E358" s="77" t="inlineStr">
        <is>
          <t>CCL (main rate; CCA discount not modelled)</t>
        </is>
      </c>
      <c r="F358" s="77" t="inlineStr">
        <is>
          <t>5 General taxation &amp; levies</t>
        </is>
      </c>
      <c r="G358" s="77" t="inlineStr">
        <is>
          <t>climate levy (tax)</t>
        </is>
      </c>
      <c r="H358" s="77" t="inlineStr">
        <is>
          <t>i</t>
        </is>
      </c>
      <c r="I358" s="77">
        <f>IF(ISNUMBER(N358),N358*fx_deflator!$I$13*fx_deflator!$M$13,"")</f>
        <v/>
      </c>
      <c r="J358" s="77" t="inlineStr">
        <is>
          <t>HMRC Environmental Taxes Bulletin, historical rates Table 1</t>
        </is>
      </c>
      <c r="K358" s="77" t="inlineStr">
        <is>
          <t>stage4_uk r22</t>
        </is>
      </c>
      <c r="L358" s="77" t="inlineStr">
        <is>
          <t>2026-07-15</t>
        </is>
      </c>
      <c r="M358" s="77" t="inlineStr">
        <is>
          <t>N</t>
        </is>
      </c>
      <c r="N358" s="136">
        <f>IF(ISNUMBER(timeseries!L14),timeseries!L14,"")</f>
        <v/>
      </c>
      <c r="O358" s="77" t="inlineStr">
        <is>
          <t>GBP/MWh nominal</t>
        </is>
      </c>
    </row>
    <row r="359" ht="15" customHeight="1" s="78">
      <c r="A359" s="77" t="inlineStr">
        <is>
          <t>UK</t>
        </is>
      </c>
      <c r="B359" s="77" t="n">
        <v>2019</v>
      </c>
      <c r="C359" s="77" t="inlineStr">
        <is>
          <t>medium</t>
        </is>
      </c>
      <c r="D359" s="77" t="inlineStr">
        <is>
          <t>E1</t>
        </is>
      </c>
      <c r="E359" s="77" t="inlineStr">
        <is>
          <t>Wholesale (rolling year-ahead baseload; DA proxy &lt;=2021)</t>
        </is>
      </c>
      <c r="F359" s="77" t="inlineStr">
        <is>
          <t>1 Commodity</t>
        </is>
      </c>
      <c r="G359" s="77" t="inlineStr">
        <is>
          <t>wholesale market</t>
        </is>
      </c>
      <c r="H359" s="77" t="inlineStr">
        <is>
          <t>i</t>
        </is>
      </c>
      <c r="I359" s="77">
        <f>IF(ISNUMBER(N359),N359*fx_deflator!$I$14*fx_deflator!$M$14,"")</f>
        <v/>
      </c>
      <c r="J359" s="77" t="inlineStr">
        <is>
          <t>Ofgem data portal — DA baseload monthly avg (proxy &lt;=2021, D22); Forward Delivery Contracts (D21)</t>
        </is>
      </c>
      <c r="K359" s="77" t="inlineStr">
        <is>
          <t>stage4_uk r7-9</t>
        </is>
      </c>
      <c r="L359" s="77" t="inlineStr">
        <is>
          <t>2026-07-15</t>
        </is>
      </c>
      <c r="M359" s="77" t="inlineStr">
        <is>
          <t>Y</t>
        </is>
      </c>
      <c r="N359" s="136">
        <f>IF(ISNUMBER(timeseries!M22),timeseries!M22,"")</f>
        <v/>
      </c>
      <c r="O359" s="77" t="inlineStr">
        <is>
          <t>GBP/MWh nominal</t>
        </is>
      </c>
      <c r="P359" s="77" t="inlineStr">
        <is>
          <t>identical E1/E2; embedded carbon memo inside this item</t>
        </is>
      </c>
    </row>
    <row r="360" ht="15" customHeight="1" s="78">
      <c r="A360" s="77" t="inlineStr">
        <is>
          <t>UK</t>
        </is>
      </c>
      <c r="B360" s="77" t="n">
        <v>2019</v>
      </c>
      <c r="C360" s="77" t="inlineStr">
        <is>
          <t>medium</t>
        </is>
      </c>
      <c r="D360" s="77" t="inlineStr">
        <is>
          <t>E1</t>
        </is>
      </c>
      <c r="E360" s="77" t="inlineStr">
        <is>
          <t>TNUoS demand (zone 5; TCR banded residual from 2023)</t>
        </is>
      </c>
      <c r="F360" s="77" t="inlineStr">
        <is>
          <t>3 Network</t>
        </is>
      </c>
      <c r="G360" s="77" t="inlineStr">
        <is>
          <t>transmission network charge</t>
        </is>
      </c>
      <c r="H360" s="77" t="inlineStr">
        <is>
          <t>i</t>
        </is>
      </c>
      <c r="I360" s="77">
        <f>IF(ISNUMBER(N360),N360*fx_deflator!$I$14*fx_deflator!$M$14,"")</f>
        <v/>
      </c>
      <c r="J360" s="77" t="inlineStr">
        <is>
          <t>NESO TNUoS tariff documents (compendium doc 50736; Final TNUoS 2023/24-2026/27 Table 10)</t>
        </is>
      </c>
      <c r="K360" s="77" t="inlineStr">
        <is>
          <t>stage4_uk r25-27</t>
        </is>
      </c>
      <c r="L360" s="77" t="inlineStr">
        <is>
          <t>2026-07-15</t>
        </is>
      </c>
      <c r="M360" s="77" t="inlineStr">
        <is>
          <t>Y</t>
        </is>
      </c>
      <c r="N360" s="136">
        <f>IF(ISNUMBER(timeseries!M23),timeseries!M23,"")</f>
        <v/>
      </c>
      <c r="O360" s="77" t="inlineStr">
        <is>
          <t>GBP/MWh nominal</t>
        </is>
      </c>
    </row>
    <row r="361" ht="15" customHeight="1" s="78">
      <c r="A361" s="77" t="inlineStr">
        <is>
          <t>UK</t>
        </is>
      </c>
      <c r="B361" s="77" t="n">
        <v>2019</v>
      </c>
      <c r="C361" s="77" t="inlineStr">
        <is>
          <t>medium</t>
        </is>
      </c>
      <c r="D361" s="77" t="inlineStr">
        <is>
          <t>E1</t>
        </is>
      </c>
      <c r="E361" s="77" t="inlineStr">
        <is>
          <t>DUoS unit rates (NPg CDCM red/amber/green, uniform-operation weights)</t>
        </is>
      </c>
      <c r="F361" s="77" t="inlineStr">
        <is>
          <t>3 Network</t>
        </is>
      </c>
      <c r="G361" s="77" t="inlineStr">
        <is>
          <t>distribution network charge</t>
        </is>
      </c>
      <c r="H361" s="77" t="inlineStr">
        <is>
          <t>i</t>
        </is>
      </c>
      <c r="I361" s="77">
        <f>IF(ISNUMBER(N361),N361*fx_deflator!$I$14*fx_deflator!$M$14,"")</f>
        <v/>
      </c>
      <c r="J361" s="77" t="inlineStr">
        <is>
          <t>NPg (Yorkshire) LC14 CDCM statements; D28 reconstruction 2010-16</t>
        </is>
      </c>
      <c r="K361" s="77" t="inlineStr">
        <is>
          <t>stage4_uk r34-41</t>
        </is>
      </c>
      <c r="L361" s="77" t="inlineStr">
        <is>
          <t>2026-07-15</t>
        </is>
      </c>
      <c r="M361" s="77" t="inlineStr">
        <is>
          <t>Y</t>
        </is>
      </c>
      <c r="N361" s="136">
        <f>IF(ISNUMBER(timeseries!M24),timeseries!M24,"")</f>
        <v/>
      </c>
      <c r="O361" s="77" t="inlineStr">
        <is>
          <t>GBP/MWh nominal</t>
        </is>
      </c>
    </row>
    <row r="362" ht="15" customHeight="1" s="78">
      <c r="A362" s="77" t="inlineStr">
        <is>
          <t>UK</t>
        </is>
      </c>
      <c r="B362" s="77" t="n">
        <v>2019</v>
      </c>
      <c r="C362" s="77" t="inlineStr">
        <is>
          <t>medium</t>
        </is>
      </c>
      <c r="D362" s="77" t="inlineStr">
        <is>
          <t>E1</t>
        </is>
      </c>
      <c r="E362" s="77" t="inlineStr">
        <is>
          <t>DUoS fixed charge (TCR Band-4 residual from 2022/23)</t>
        </is>
      </c>
      <c r="F362" s="77" t="inlineStr">
        <is>
          <t>3 Network</t>
        </is>
      </c>
      <c r="G362" s="77" t="inlineStr">
        <is>
          <t>distribution network charge</t>
        </is>
      </c>
      <c r="H362" s="77" t="inlineStr">
        <is>
          <t>i</t>
        </is>
      </c>
      <c r="I362" s="77">
        <f>IF(ISNUMBER(N362),N362*fx_deflator!$I$14*fx_deflator!$M$14,"")</f>
        <v/>
      </c>
      <c r="J362" s="77" t="inlineStr">
        <is>
          <t>NPg (Yorkshire) LC14 CDCM statements; D28 reconstruction 2010-16</t>
        </is>
      </c>
      <c r="K362" s="77" t="inlineStr">
        <is>
          <t>stage4_uk r34-41</t>
        </is>
      </c>
      <c r="L362" s="77" t="inlineStr">
        <is>
          <t>2026-07-15</t>
        </is>
      </c>
      <c r="M362" s="77" t="inlineStr">
        <is>
          <t>Y</t>
        </is>
      </c>
      <c r="N362" s="136">
        <f>IF(ISNUMBER(timeseries!M25),timeseries!M25,"")</f>
        <v/>
      </c>
      <c r="O362" s="77" t="inlineStr">
        <is>
          <t>GBP/MWh nominal</t>
        </is>
      </c>
    </row>
    <row r="363" ht="15" customHeight="1" s="78">
      <c r="A363" s="77" t="inlineStr">
        <is>
          <t>UK</t>
        </is>
      </c>
      <c r="B363" s="77" t="n">
        <v>2019</v>
      </c>
      <c r="C363" s="77" t="inlineStr">
        <is>
          <t>medium</t>
        </is>
      </c>
      <c r="D363" s="77" t="inlineStr">
        <is>
          <t>E1</t>
        </is>
      </c>
      <c r="E363" s="77" t="inlineStr">
        <is>
          <t>DUoS capacity charge</t>
        </is>
      </c>
      <c r="F363" s="77" t="inlineStr">
        <is>
          <t>3 Network</t>
        </is>
      </c>
      <c r="G363" s="77" t="inlineStr">
        <is>
          <t>distribution network charge</t>
        </is>
      </c>
      <c r="H363" s="77" t="inlineStr">
        <is>
          <t>i</t>
        </is>
      </c>
      <c r="I363" s="77">
        <f>IF(ISNUMBER(N363),N363*fx_deflator!$I$14*fx_deflator!$M$14,"")</f>
        <v/>
      </c>
      <c r="J363" s="77" t="inlineStr">
        <is>
          <t>NPg (Yorkshire) LC14 CDCM statements; D28 reconstruction 2010-16</t>
        </is>
      </c>
      <c r="K363" s="77" t="inlineStr">
        <is>
          <t>stage4_uk r34-41</t>
        </is>
      </c>
      <c r="L363" s="77" t="inlineStr">
        <is>
          <t>2026-07-15</t>
        </is>
      </c>
      <c r="M363" s="77" t="inlineStr">
        <is>
          <t>Y</t>
        </is>
      </c>
      <c r="N363" s="136">
        <f>IF(ISNUMBER(timeseries!M26),timeseries!M26,"")</f>
        <v/>
      </c>
      <c r="O363" s="77" t="inlineStr">
        <is>
          <t>GBP/MWh nominal</t>
        </is>
      </c>
    </row>
    <row r="364" ht="15" customHeight="1" s="78">
      <c r="A364" s="77" t="inlineStr">
        <is>
          <t>UK</t>
        </is>
      </c>
      <c r="B364" s="77" t="n">
        <v>2019</v>
      </c>
      <c r="C364" s="77" t="inlineStr">
        <is>
          <t>medium</t>
        </is>
      </c>
      <c r="D364" s="77" t="inlineStr">
        <is>
          <t>E1</t>
        </is>
      </c>
      <c r="E364" s="77" t="inlineStr">
        <is>
          <t>BSUoS (demand-only from 04/2023)</t>
        </is>
      </c>
      <c r="F364" s="77" t="inlineStr">
        <is>
          <t>4 System services &amp; balancing</t>
        </is>
      </c>
      <c r="G364" s="77" t="inlineStr">
        <is>
          <t>balancing charge</t>
        </is>
      </c>
      <c r="H364" s="77" t="inlineStr">
        <is>
          <t>i</t>
        </is>
      </c>
      <c r="I364" s="77">
        <f>IF(ISNUMBER(N364),N364*fx_deflator!$I$14*fx_deflator!$M$14,"")</f>
        <v/>
      </c>
      <c r="J364" s="77" t="inlineStr">
        <is>
          <t>NESO bsuos-fixed-tariffs + HH RF settlement files (own annual avg 2010-22)</t>
        </is>
      </c>
      <c r="K364" s="77" t="inlineStr">
        <is>
          <t>stage4_uk r28-30</t>
        </is>
      </c>
      <c r="L364" s="77" t="inlineStr">
        <is>
          <t>2026-07-15</t>
        </is>
      </c>
      <c r="M364" s="77" t="inlineStr">
        <is>
          <t>Y</t>
        </is>
      </c>
      <c r="N364" s="77">
        <f>IF(ISNUMBER(timeseries!M8),timeseries!M8,"")</f>
        <v/>
      </c>
      <c r="O364" s="77" t="inlineStr">
        <is>
          <t>GBP/MWh nominal</t>
        </is>
      </c>
    </row>
    <row r="365" ht="15" customHeight="1" s="78">
      <c r="A365" s="77" t="inlineStr">
        <is>
          <t>UK</t>
        </is>
      </c>
      <c r="B365" s="77" t="n">
        <v>2019</v>
      </c>
      <c r="C365" s="77" t="inlineStr">
        <is>
          <t>medium</t>
        </is>
      </c>
      <c r="D365" s="77" t="inlineStr">
        <is>
          <t>E1</t>
        </is>
      </c>
      <c r="E365" s="77" t="inlineStr">
        <is>
          <t>AAHEDC</t>
        </is>
      </c>
      <c r="F365" s="77" t="inlineStr">
        <is>
          <t>3 Network</t>
        </is>
      </c>
      <c r="G365" s="77" t="inlineStr">
        <is>
          <t>network levy (hydro benefit)</t>
        </is>
      </c>
      <c r="H365" s="77" t="inlineStr">
        <is>
          <t>ii (pays cross-subsidy to N Scotland consumers)</t>
        </is>
      </c>
      <c r="I365" s="77">
        <f>IF(ISNUMBER(N365),N365*fx_deflator!$I$14*fx_deflator!$M$14,"")</f>
        <v/>
      </c>
      <c r="J365" s="77" t="inlineStr">
        <is>
          <t>NG/ESO AAHEDC charging statements &amp; final tariff letters</t>
        </is>
      </c>
      <c r="K365" s="77" t="inlineStr">
        <is>
          <t>stage4_uk r31</t>
        </is>
      </c>
      <c r="L365" s="77" t="inlineStr">
        <is>
          <t>2026-07-15</t>
        </is>
      </c>
      <c r="M365" s="77" t="inlineStr">
        <is>
          <t>N</t>
        </is>
      </c>
      <c r="N365" s="77">
        <f>IF(ISNUMBER(timeseries!M9),timeseries!M9,"")</f>
        <v/>
      </c>
      <c r="O365" s="77" t="inlineStr">
        <is>
          <t>GBP/MWh nominal</t>
        </is>
      </c>
      <c r="P365" s="77" t="inlineStr">
        <is>
          <t>not in NCC base (conservative, unverified)</t>
        </is>
      </c>
    </row>
    <row r="366" ht="15" customHeight="1" s="78">
      <c r="A366" s="77" t="inlineStr">
        <is>
          <t>UK</t>
        </is>
      </c>
      <c r="B366" s="77" t="n">
        <v>2019</v>
      </c>
      <c r="C366" s="77" t="inlineStr">
        <is>
          <t>medium</t>
        </is>
      </c>
      <c r="D366" s="77" t="inlineStr">
        <is>
          <t>E1</t>
        </is>
      </c>
      <c r="E366" s="77" t="inlineStr">
        <is>
          <t>RO (buy-out x obligation)</t>
        </is>
      </c>
      <c r="F366" s="77" t="inlineStr">
        <is>
          <t>2 Gen capital recovery</t>
        </is>
      </c>
      <c r="G366" s="77" t="inlineStr">
        <is>
          <t>renewables levy</t>
        </is>
      </c>
      <c r="H366" s="77" t="inlineStr">
        <is>
          <t>i</t>
        </is>
      </c>
      <c r="I366" s="77">
        <f>IF(ISNUMBER(N366),N366*fx_deflator!$I$14*fx_deflator!$M$14,"")</f>
        <v/>
      </c>
      <c r="J366" s="77" t="inlineStr">
        <is>
          <t>Ofgem RO guidance OFG1164 Table 1.1 (buy-out x obligation)</t>
        </is>
      </c>
      <c r="K366" s="77" t="inlineStr">
        <is>
          <t>stage4_uk r12-14</t>
        </is>
      </c>
      <c r="L366" s="77" t="inlineStr">
        <is>
          <t>2026-07-15</t>
        </is>
      </c>
      <c r="M366" s="77" t="inlineStr">
        <is>
          <t>Y</t>
        </is>
      </c>
      <c r="N366" s="136">
        <f>IF(ISNUMBER(timeseries!M10),timeseries!M10,"")</f>
        <v/>
      </c>
      <c r="O366" s="77" t="inlineStr">
        <is>
          <t>GBP/MWh nominal</t>
        </is>
      </c>
    </row>
    <row r="367" ht="15" customHeight="1" s="78">
      <c r="A367" s="77" t="inlineStr">
        <is>
          <t>UK</t>
        </is>
      </c>
      <c r="B367" s="77" t="n">
        <v>2019</v>
      </c>
      <c r="C367" s="77" t="inlineStr">
        <is>
          <t>medium</t>
        </is>
      </c>
      <c r="D367" s="77" t="inlineStr">
        <is>
          <t>E1</t>
        </is>
      </c>
      <c r="E367" s="77" t="inlineStr">
        <is>
          <t>CfD Interim Levy Rate (annual avg)</t>
        </is>
      </c>
      <c r="F367" s="77" t="inlineStr">
        <is>
          <t>2 Gen capital recovery</t>
        </is>
      </c>
      <c r="G367" s="77" t="inlineStr">
        <is>
          <t>renewables levy</t>
        </is>
      </c>
      <c r="H367" s="77" t="inlineStr">
        <is>
          <t>i</t>
        </is>
      </c>
      <c r="I367" s="77">
        <f>IF(ISNUMBER(N367),N367*fx_deflator!$I$14*fx_deflator!$M$14,"")</f>
        <v/>
      </c>
      <c r="J367" s="77" t="inlineStr">
        <is>
          <t>LCCC Actual ILR Income dataset (quarterly avg)</t>
        </is>
      </c>
      <c r="K367" s="77" t="inlineStr">
        <is>
          <t>stage4_uk r15-19</t>
        </is>
      </c>
      <c r="L367" s="77" t="inlineStr">
        <is>
          <t>2026-07-15</t>
        </is>
      </c>
      <c r="M367" s="77" t="inlineStr">
        <is>
          <t>Y</t>
        </is>
      </c>
      <c r="N367" s="136">
        <f>IF(ISNUMBER(timeseries!M11),timeseries!M11,"")</f>
        <v/>
      </c>
      <c r="O367" s="77" t="inlineStr">
        <is>
          <t>GBP/MWh nominal</t>
        </is>
      </c>
    </row>
    <row r="368" ht="15" customHeight="1" s="78">
      <c r="A368" s="77" t="inlineStr">
        <is>
          <t>UK</t>
        </is>
      </c>
      <c r="B368" s="77" t="n">
        <v>2019</v>
      </c>
      <c r="C368" s="77" t="inlineStr">
        <is>
          <t>medium</t>
        </is>
      </c>
      <c r="D368" s="77" t="inlineStr">
        <is>
          <t>E1</t>
        </is>
      </c>
      <c r="E368" s="77" t="inlineStr">
        <is>
          <t>FiT levelisation</t>
        </is>
      </c>
      <c r="F368" s="77" t="inlineStr">
        <is>
          <t>2 Gen capital recovery</t>
        </is>
      </c>
      <c r="G368" s="77" t="inlineStr">
        <is>
          <t>renewables levy</t>
        </is>
      </c>
      <c r="H368" s="77" t="inlineStr">
        <is>
          <t>i</t>
        </is>
      </c>
      <c r="I368" s="77">
        <f>IF(ISNUMBER(N368),N368*fx_deflator!$I$14*fx_deflator!$M$14,"")</f>
        <v/>
      </c>
      <c r="J368" s="77" t="inlineStr">
        <is>
          <t>Ofgem FIT Annual Reports SY1-SY15; D27 for 2010-14</t>
        </is>
      </c>
      <c r="K368" s="77" t="inlineStr">
        <is>
          <t>stage4_uk r20</t>
        </is>
      </c>
      <c r="L368" s="77" t="inlineStr">
        <is>
          <t>2026-07-15</t>
        </is>
      </c>
      <c r="M368" s="77" t="inlineStr">
        <is>
          <t>Y</t>
        </is>
      </c>
      <c r="N368" s="77">
        <f>IF(ISNUMBER(timeseries!M12),timeseries!M12,"")</f>
        <v/>
      </c>
      <c r="O368" s="77" t="inlineStr">
        <is>
          <t>GBP/MWh nominal</t>
        </is>
      </c>
      <c r="P368" s="77" t="inlineStr">
        <is>
          <t>2025 unpublished (Q32) — row absent, gap stated</t>
        </is>
      </c>
    </row>
    <row r="369" ht="15" customHeight="1" s="78">
      <c r="A369" s="77" t="inlineStr">
        <is>
          <t>UK</t>
        </is>
      </c>
      <c r="B369" s="77" t="n">
        <v>2019</v>
      </c>
      <c r="C369" s="77" t="inlineStr">
        <is>
          <t>medium</t>
        </is>
      </c>
      <c r="D369" s="77" t="inlineStr">
        <is>
          <t>E1</t>
        </is>
      </c>
      <c r="E369" s="77" t="inlineStr">
        <is>
          <t>Capacity Market (derived per-MWh)</t>
        </is>
      </c>
      <c r="F369" s="77" t="inlineStr">
        <is>
          <t>2 Gen capital recovery</t>
        </is>
      </c>
      <c r="G369" s="77" t="inlineStr">
        <is>
          <t>capacity market levy</t>
        </is>
      </c>
      <c r="H369" s="77" t="inlineStr">
        <is>
          <t>i</t>
        </is>
      </c>
      <c r="I369" s="77">
        <f>IF(ISNUMBER(N369),N369*fx_deflator!$I$14*fx_deflator!$M$14,"")</f>
        <v/>
      </c>
      <c r="J369" s="77" t="inlineStr">
        <is>
          <t>EMRS Key Figures for Payments (derived per-MWh, D30)</t>
        </is>
      </c>
      <c r="K369" s="77" t="inlineStr">
        <is>
          <t>stage4_uk r21</t>
        </is>
      </c>
      <c r="L369" s="77" t="inlineStr">
        <is>
          <t>2026-07-15</t>
        </is>
      </c>
      <c r="M369" s="77" t="inlineStr">
        <is>
          <t>Y</t>
        </is>
      </c>
      <c r="N369" s="77">
        <f>IF(ISNUMBER(timeseries!M13),timeseries!M13,"")</f>
        <v/>
      </c>
      <c r="O369" s="77" t="inlineStr">
        <is>
          <t>GBP/MWh nominal</t>
        </is>
      </c>
      <c r="P369" s="77" t="inlineStr">
        <is>
          <t>function 2 per D9</t>
        </is>
      </c>
    </row>
    <row r="370" ht="15" customHeight="1" s="78">
      <c r="A370" s="77" t="inlineStr">
        <is>
          <t>UK</t>
        </is>
      </c>
      <c r="B370" s="77" t="n">
        <v>2019</v>
      </c>
      <c r="C370" s="77" t="inlineStr">
        <is>
          <t>medium</t>
        </is>
      </c>
      <c r="D370" s="77" t="inlineStr">
        <is>
          <t>E1</t>
        </is>
      </c>
      <c r="E370" s="77" t="inlineStr">
        <is>
          <t>CCL (main rate; CCA discount not modelled)</t>
        </is>
      </c>
      <c r="F370" s="77" t="inlineStr">
        <is>
          <t>5 General taxation &amp; levies</t>
        </is>
      </c>
      <c r="G370" s="77" t="inlineStr">
        <is>
          <t>climate levy (tax)</t>
        </is>
      </c>
      <c r="H370" s="77" t="inlineStr">
        <is>
          <t>i</t>
        </is>
      </c>
      <c r="I370" s="77">
        <f>IF(ISNUMBER(N370),N370*fx_deflator!$I$14*fx_deflator!$M$14,"")</f>
        <v/>
      </c>
      <c r="J370" s="77" t="inlineStr">
        <is>
          <t>HMRC Environmental Taxes Bulletin, historical rates Table 1</t>
        </is>
      </c>
      <c r="K370" s="77" t="inlineStr">
        <is>
          <t>stage4_uk r22</t>
        </is>
      </c>
      <c r="L370" s="77" t="inlineStr">
        <is>
          <t>2026-07-15</t>
        </is>
      </c>
      <c r="M370" s="77" t="inlineStr">
        <is>
          <t>N</t>
        </is>
      </c>
      <c r="N370" s="136">
        <f>IF(ISNUMBER(timeseries!M14),timeseries!M14,"")</f>
        <v/>
      </c>
      <c r="O370" s="77" t="inlineStr">
        <is>
          <t>GBP/MWh nominal</t>
        </is>
      </c>
    </row>
    <row r="371" ht="15" customHeight="1" s="78">
      <c r="A371" s="77" t="inlineStr">
        <is>
          <t>UK</t>
        </is>
      </c>
      <c r="B371" s="77" t="n">
        <v>2020</v>
      </c>
      <c r="C371" s="77" t="inlineStr">
        <is>
          <t>medium</t>
        </is>
      </c>
      <c r="D371" s="77" t="inlineStr">
        <is>
          <t>E1</t>
        </is>
      </c>
      <c r="E371" s="77" t="inlineStr">
        <is>
          <t>Wholesale (rolling year-ahead baseload; DA proxy &lt;=2021)</t>
        </is>
      </c>
      <c r="F371" s="77" t="inlineStr">
        <is>
          <t>1 Commodity</t>
        </is>
      </c>
      <c r="G371" s="77" t="inlineStr">
        <is>
          <t>wholesale market</t>
        </is>
      </c>
      <c r="H371" s="77" t="inlineStr">
        <is>
          <t>i</t>
        </is>
      </c>
      <c r="I371" s="77">
        <f>IF(ISNUMBER(N371),N371*fx_deflator!$I$15*fx_deflator!$M$15,"")</f>
        <v/>
      </c>
      <c r="J371" s="77" t="inlineStr">
        <is>
          <t>Ofgem data portal — DA baseload monthly avg (proxy &lt;=2021, D22); Forward Delivery Contracts (D21)</t>
        </is>
      </c>
      <c r="K371" s="77" t="inlineStr">
        <is>
          <t>stage4_uk r7-9</t>
        </is>
      </c>
      <c r="L371" s="77" t="inlineStr">
        <is>
          <t>2026-07-15</t>
        </is>
      </c>
      <c r="M371" s="77" t="inlineStr">
        <is>
          <t>Y</t>
        </is>
      </c>
      <c r="N371" s="136">
        <f>IF(ISNUMBER(timeseries!N22),timeseries!N22,"")</f>
        <v/>
      </c>
      <c r="O371" s="77" t="inlineStr">
        <is>
          <t>GBP/MWh nominal</t>
        </is>
      </c>
      <c r="P371" s="77" t="inlineStr">
        <is>
          <t>identical E1/E2; embedded carbon memo inside this item</t>
        </is>
      </c>
    </row>
    <row r="372" ht="15" customHeight="1" s="78">
      <c r="A372" s="77" t="inlineStr">
        <is>
          <t>UK</t>
        </is>
      </c>
      <c r="B372" s="77" t="n">
        <v>2020</v>
      </c>
      <c r="C372" s="77" t="inlineStr">
        <is>
          <t>medium</t>
        </is>
      </c>
      <c r="D372" s="77" t="inlineStr">
        <is>
          <t>E1</t>
        </is>
      </c>
      <c r="E372" s="77" t="inlineStr">
        <is>
          <t>TNUoS demand (zone 5; TCR banded residual from 2023)</t>
        </is>
      </c>
      <c r="F372" s="77" t="inlineStr">
        <is>
          <t>3 Network</t>
        </is>
      </c>
      <c r="G372" s="77" t="inlineStr">
        <is>
          <t>transmission network charge</t>
        </is>
      </c>
      <c r="H372" s="77" t="inlineStr">
        <is>
          <t>i</t>
        </is>
      </c>
      <c r="I372" s="77">
        <f>IF(ISNUMBER(N372),N372*fx_deflator!$I$15*fx_deflator!$M$15,"")</f>
        <v/>
      </c>
      <c r="J372" s="77" t="inlineStr">
        <is>
          <t>NESO TNUoS tariff documents (compendium doc 50736; Final TNUoS 2023/24-2026/27 Table 10)</t>
        </is>
      </c>
      <c r="K372" s="77" t="inlineStr">
        <is>
          <t>stage4_uk r25-27</t>
        </is>
      </c>
      <c r="L372" s="77" t="inlineStr">
        <is>
          <t>2026-07-15</t>
        </is>
      </c>
      <c r="M372" s="77" t="inlineStr">
        <is>
          <t>Y</t>
        </is>
      </c>
      <c r="N372" s="136">
        <f>IF(ISNUMBER(timeseries!N23),timeseries!N23,"")</f>
        <v/>
      </c>
      <c r="O372" s="77" t="inlineStr">
        <is>
          <t>GBP/MWh nominal</t>
        </is>
      </c>
    </row>
    <row r="373" ht="15" customHeight="1" s="78">
      <c r="A373" s="77" t="inlineStr">
        <is>
          <t>UK</t>
        </is>
      </c>
      <c r="B373" s="77" t="n">
        <v>2020</v>
      </c>
      <c r="C373" s="77" t="inlineStr">
        <is>
          <t>medium</t>
        </is>
      </c>
      <c r="D373" s="77" t="inlineStr">
        <is>
          <t>E1</t>
        </is>
      </c>
      <c r="E373" s="77" t="inlineStr">
        <is>
          <t>DUoS unit rates (NPg CDCM red/amber/green, uniform-operation weights)</t>
        </is>
      </c>
      <c r="F373" s="77" t="inlineStr">
        <is>
          <t>3 Network</t>
        </is>
      </c>
      <c r="G373" s="77" t="inlineStr">
        <is>
          <t>distribution network charge</t>
        </is>
      </c>
      <c r="H373" s="77" t="inlineStr">
        <is>
          <t>i</t>
        </is>
      </c>
      <c r="I373" s="77">
        <f>IF(ISNUMBER(N373),N373*fx_deflator!$I$15*fx_deflator!$M$15,"")</f>
        <v/>
      </c>
      <c r="J373" s="77" t="inlineStr">
        <is>
          <t>NPg (Yorkshire) LC14 CDCM statements; D28 reconstruction 2010-16</t>
        </is>
      </c>
      <c r="K373" s="77" t="inlineStr">
        <is>
          <t>stage4_uk r34-41</t>
        </is>
      </c>
      <c r="L373" s="77" t="inlineStr">
        <is>
          <t>2026-07-15</t>
        </is>
      </c>
      <c r="M373" s="77" t="inlineStr">
        <is>
          <t>Y</t>
        </is>
      </c>
      <c r="N373" s="136">
        <f>IF(ISNUMBER(timeseries!N24),timeseries!N24,"")</f>
        <v/>
      </c>
      <c r="O373" s="77" t="inlineStr">
        <is>
          <t>GBP/MWh nominal</t>
        </is>
      </c>
    </row>
    <row r="374" ht="15" customHeight="1" s="78">
      <c r="A374" s="77" t="inlineStr">
        <is>
          <t>UK</t>
        </is>
      </c>
      <c r="B374" s="77" t="n">
        <v>2020</v>
      </c>
      <c r="C374" s="77" t="inlineStr">
        <is>
          <t>medium</t>
        </is>
      </c>
      <c r="D374" s="77" t="inlineStr">
        <is>
          <t>E1</t>
        </is>
      </c>
      <c r="E374" s="77" t="inlineStr">
        <is>
          <t>DUoS fixed charge (TCR Band-4 residual from 2022/23)</t>
        </is>
      </c>
      <c r="F374" s="77" t="inlineStr">
        <is>
          <t>3 Network</t>
        </is>
      </c>
      <c r="G374" s="77" t="inlineStr">
        <is>
          <t>distribution network charge</t>
        </is>
      </c>
      <c r="H374" s="77" t="inlineStr">
        <is>
          <t>i</t>
        </is>
      </c>
      <c r="I374" s="77">
        <f>IF(ISNUMBER(N374),N374*fx_deflator!$I$15*fx_deflator!$M$15,"")</f>
        <v/>
      </c>
      <c r="J374" s="77" t="inlineStr">
        <is>
          <t>NPg (Yorkshire) LC14 CDCM statements; D28 reconstruction 2010-16</t>
        </is>
      </c>
      <c r="K374" s="77" t="inlineStr">
        <is>
          <t>stage4_uk r34-41</t>
        </is>
      </c>
      <c r="L374" s="77" t="inlineStr">
        <is>
          <t>2026-07-15</t>
        </is>
      </c>
      <c r="M374" s="77" t="inlineStr">
        <is>
          <t>Y</t>
        </is>
      </c>
      <c r="N374" s="136">
        <f>IF(ISNUMBER(timeseries!N25),timeseries!N25,"")</f>
        <v/>
      </c>
      <c r="O374" s="77" t="inlineStr">
        <is>
          <t>GBP/MWh nominal</t>
        </is>
      </c>
    </row>
    <row r="375" ht="15" customHeight="1" s="78">
      <c r="A375" s="77" t="inlineStr">
        <is>
          <t>UK</t>
        </is>
      </c>
      <c r="B375" s="77" t="n">
        <v>2020</v>
      </c>
      <c r="C375" s="77" t="inlineStr">
        <is>
          <t>medium</t>
        </is>
      </c>
      <c r="D375" s="77" t="inlineStr">
        <is>
          <t>E1</t>
        </is>
      </c>
      <c r="E375" s="77" t="inlineStr">
        <is>
          <t>DUoS capacity charge</t>
        </is>
      </c>
      <c r="F375" s="77" t="inlineStr">
        <is>
          <t>3 Network</t>
        </is>
      </c>
      <c r="G375" s="77" t="inlineStr">
        <is>
          <t>distribution network charge</t>
        </is>
      </c>
      <c r="H375" s="77" t="inlineStr">
        <is>
          <t>i</t>
        </is>
      </c>
      <c r="I375" s="77">
        <f>IF(ISNUMBER(N375),N375*fx_deflator!$I$15*fx_deflator!$M$15,"")</f>
        <v/>
      </c>
      <c r="J375" s="77" t="inlineStr">
        <is>
          <t>NPg (Yorkshire) LC14 CDCM statements; D28 reconstruction 2010-16</t>
        </is>
      </c>
      <c r="K375" s="77" t="inlineStr">
        <is>
          <t>stage4_uk r34-41</t>
        </is>
      </c>
      <c r="L375" s="77" t="inlineStr">
        <is>
          <t>2026-07-15</t>
        </is>
      </c>
      <c r="M375" s="77" t="inlineStr">
        <is>
          <t>Y</t>
        </is>
      </c>
      <c r="N375" s="136">
        <f>IF(ISNUMBER(timeseries!N26),timeseries!N26,"")</f>
        <v/>
      </c>
      <c r="O375" s="77" t="inlineStr">
        <is>
          <t>GBP/MWh nominal</t>
        </is>
      </c>
    </row>
    <row r="376" ht="15" customHeight="1" s="78">
      <c r="A376" s="77" t="inlineStr">
        <is>
          <t>UK</t>
        </is>
      </c>
      <c r="B376" s="77" t="n">
        <v>2020</v>
      </c>
      <c r="C376" s="77" t="inlineStr">
        <is>
          <t>medium</t>
        </is>
      </c>
      <c r="D376" s="77" t="inlineStr">
        <is>
          <t>E1</t>
        </is>
      </c>
      <c r="E376" s="77" t="inlineStr">
        <is>
          <t>BSUoS (demand-only from 04/2023)</t>
        </is>
      </c>
      <c r="F376" s="77" t="inlineStr">
        <is>
          <t>4 System services &amp; balancing</t>
        </is>
      </c>
      <c r="G376" s="77" t="inlineStr">
        <is>
          <t>balancing charge</t>
        </is>
      </c>
      <c r="H376" s="77" t="inlineStr">
        <is>
          <t>i</t>
        </is>
      </c>
      <c r="I376" s="77">
        <f>IF(ISNUMBER(N376),N376*fx_deflator!$I$15*fx_deflator!$M$15,"")</f>
        <v/>
      </c>
      <c r="J376" s="77" t="inlineStr">
        <is>
          <t>NESO bsuos-fixed-tariffs + HH RF settlement files (own annual avg 2010-22)</t>
        </is>
      </c>
      <c r="K376" s="77" t="inlineStr">
        <is>
          <t>stage4_uk r28-30</t>
        </is>
      </c>
      <c r="L376" s="77" t="inlineStr">
        <is>
          <t>2026-07-15</t>
        </is>
      </c>
      <c r="M376" s="77" t="inlineStr">
        <is>
          <t>Y</t>
        </is>
      </c>
      <c r="N376" s="77">
        <f>IF(ISNUMBER(timeseries!N8),timeseries!N8,"")</f>
        <v/>
      </c>
      <c r="O376" s="77" t="inlineStr">
        <is>
          <t>GBP/MWh nominal</t>
        </is>
      </c>
    </row>
    <row r="377" ht="15" customHeight="1" s="78">
      <c r="A377" s="77" t="inlineStr">
        <is>
          <t>UK</t>
        </is>
      </c>
      <c r="B377" s="77" t="n">
        <v>2020</v>
      </c>
      <c r="C377" s="77" t="inlineStr">
        <is>
          <t>medium</t>
        </is>
      </c>
      <c r="D377" s="77" t="inlineStr">
        <is>
          <t>E1</t>
        </is>
      </c>
      <c r="E377" s="77" t="inlineStr">
        <is>
          <t>AAHEDC</t>
        </is>
      </c>
      <c r="F377" s="77" t="inlineStr">
        <is>
          <t>3 Network</t>
        </is>
      </c>
      <c r="G377" s="77" t="inlineStr">
        <is>
          <t>network levy (hydro benefit)</t>
        </is>
      </c>
      <c r="H377" s="77" t="inlineStr">
        <is>
          <t>ii (pays cross-subsidy to N Scotland consumers)</t>
        </is>
      </c>
      <c r="I377" s="77">
        <f>IF(ISNUMBER(N377),N377*fx_deflator!$I$15*fx_deflator!$M$15,"")</f>
        <v/>
      </c>
      <c r="J377" s="77" t="inlineStr">
        <is>
          <t>NG/ESO AAHEDC charging statements &amp; final tariff letters</t>
        </is>
      </c>
      <c r="K377" s="77" t="inlineStr">
        <is>
          <t>stage4_uk r31</t>
        </is>
      </c>
      <c r="L377" s="77" t="inlineStr">
        <is>
          <t>2026-07-15</t>
        </is>
      </c>
      <c r="M377" s="77" t="inlineStr">
        <is>
          <t>N</t>
        </is>
      </c>
      <c r="N377" s="77">
        <f>IF(ISNUMBER(timeseries!N9),timeseries!N9,"")</f>
        <v/>
      </c>
      <c r="O377" s="77" t="inlineStr">
        <is>
          <t>GBP/MWh nominal</t>
        </is>
      </c>
      <c r="P377" s="77" t="inlineStr">
        <is>
          <t>not in NCC base (conservative, unverified)</t>
        </is>
      </c>
    </row>
    <row r="378" ht="15" customHeight="1" s="78">
      <c r="A378" s="77" t="inlineStr">
        <is>
          <t>UK</t>
        </is>
      </c>
      <c r="B378" s="77" t="n">
        <v>2020</v>
      </c>
      <c r="C378" s="77" t="inlineStr">
        <is>
          <t>medium</t>
        </is>
      </c>
      <c r="D378" s="77" t="inlineStr">
        <is>
          <t>E1</t>
        </is>
      </c>
      <c r="E378" s="77" t="inlineStr">
        <is>
          <t>RO (buy-out x obligation)</t>
        </is>
      </c>
      <c r="F378" s="77" t="inlineStr">
        <is>
          <t>2 Gen capital recovery</t>
        </is>
      </c>
      <c r="G378" s="77" t="inlineStr">
        <is>
          <t>renewables levy</t>
        </is>
      </c>
      <c r="H378" s="77" t="inlineStr">
        <is>
          <t>i</t>
        </is>
      </c>
      <c r="I378" s="77">
        <f>IF(ISNUMBER(N378),N378*fx_deflator!$I$15*fx_deflator!$M$15,"")</f>
        <v/>
      </c>
      <c r="J378" s="77" t="inlineStr">
        <is>
          <t>Ofgem RO guidance OFG1164 Table 1.1 (buy-out x obligation)</t>
        </is>
      </c>
      <c r="K378" s="77" t="inlineStr">
        <is>
          <t>stage4_uk r12-14</t>
        </is>
      </c>
      <c r="L378" s="77" t="inlineStr">
        <is>
          <t>2026-07-15</t>
        </is>
      </c>
      <c r="M378" s="77" t="inlineStr">
        <is>
          <t>Y</t>
        </is>
      </c>
      <c r="N378" s="136">
        <f>IF(ISNUMBER(timeseries!N10),timeseries!N10,"")</f>
        <v/>
      </c>
      <c r="O378" s="77" t="inlineStr">
        <is>
          <t>GBP/MWh nominal</t>
        </is>
      </c>
    </row>
    <row r="379" ht="15" customHeight="1" s="78">
      <c r="A379" s="77" t="inlineStr">
        <is>
          <t>UK</t>
        </is>
      </c>
      <c r="B379" s="77" t="n">
        <v>2020</v>
      </c>
      <c r="C379" s="77" t="inlineStr">
        <is>
          <t>medium</t>
        </is>
      </c>
      <c r="D379" s="77" t="inlineStr">
        <is>
          <t>E1</t>
        </is>
      </c>
      <c r="E379" s="77" t="inlineStr">
        <is>
          <t>CfD Interim Levy Rate (annual avg)</t>
        </is>
      </c>
      <c r="F379" s="77" t="inlineStr">
        <is>
          <t>2 Gen capital recovery</t>
        </is>
      </c>
      <c r="G379" s="77" t="inlineStr">
        <is>
          <t>renewables levy</t>
        </is>
      </c>
      <c r="H379" s="77" t="inlineStr">
        <is>
          <t>i</t>
        </is>
      </c>
      <c r="I379" s="77">
        <f>IF(ISNUMBER(N379),N379*fx_deflator!$I$15*fx_deflator!$M$15,"")</f>
        <v/>
      </c>
      <c r="J379" s="77" t="inlineStr">
        <is>
          <t>LCCC Actual ILR Income dataset (quarterly avg)</t>
        </is>
      </c>
      <c r="K379" s="77" t="inlineStr">
        <is>
          <t>stage4_uk r15-19</t>
        </is>
      </c>
      <c r="L379" s="77" t="inlineStr">
        <is>
          <t>2026-07-15</t>
        </is>
      </c>
      <c r="M379" s="77" t="inlineStr">
        <is>
          <t>Y</t>
        </is>
      </c>
      <c r="N379" s="136">
        <f>IF(ISNUMBER(timeseries!N11),timeseries!N11,"")</f>
        <v/>
      </c>
      <c r="O379" s="77" t="inlineStr">
        <is>
          <t>GBP/MWh nominal</t>
        </is>
      </c>
    </row>
    <row r="380" ht="15" customHeight="1" s="78">
      <c r="A380" s="77" t="inlineStr">
        <is>
          <t>UK</t>
        </is>
      </c>
      <c r="B380" s="77" t="n">
        <v>2020</v>
      </c>
      <c r="C380" s="77" t="inlineStr">
        <is>
          <t>medium</t>
        </is>
      </c>
      <c r="D380" s="77" t="inlineStr">
        <is>
          <t>E1</t>
        </is>
      </c>
      <c r="E380" s="77" t="inlineStr">
        <is>
          <t>FiT levelisation</t>
        </is>
      </c>
      <c r="F380" s="77" t="inlineStr">
        <is>
          <t>2 Gen capital recovery</t>
        </is>
      </c>
      <c r="G380" s="77" t="inlineStr">
        <is>
          <t>renewables levy</t>
        </is>
      </c>
      <c r="H380" s="77" t="inlineStr">
        <is>
          <t>i</t>
        </is>
      </c>
      <c r="I380" s="77">
        <f>IF(ISNUMBER(N380),N380*fx_deflator!$I$15*fx_deflator!$M$15,"")</f>
        <v/>
      </c>
      <c r="J380" s="77" t="inlineStr">
        <is>
          <t>Ofgem FIT Annual Reports SY1-SY15; D27 for 2010-14</t>
        </is>
      </c>
      <c r="K380" s="77" t="inlineStr">
        <is>
          <t>stage4_uk r20</t>
        </is>
      </c>
      <c r="L380" s="77" t="inlineStr">
        <is>
          <t>2026-07-15</t>
        </is>
      </c>
      <c r="M380" s="77" t="inlineStr">
        <is>
          <t>Y</t>
        </is>
      </c>
      <c r="N380" s="77">
        <f>IF(ISNUMBER(timeseries!N12),timeseries!N12,"")</f>
        <v/>
      </c>
      <c r="O380" s="77" t="inlineStr">
        <is>
          <t>GBP/MWh nominal</t>
        </is>
      </c>
      <c r="P380" s="77" t="inlineStr">
        <is>
          <t>2025 unpublished (Q32) — row absent, gap stated</t>
        </is>
      </c>
    </row>
    <row r="381" ht="15" customHeight="1" s="78">
      <c r="A381" s="77" t="inlineStr">
        <is>
          <t>UK</t>
        </is>
      </c>
      <c r="B381" s="77" t="n">
        <v>2020</v>
      </c>
      <c r="C381" s="77" t="inlineStr">
        <is>
          <t>medium</t>
        </is>
      </c>
      <c r="D381" s="77" t="inlineStr">
        <is>
          <t>E1</t>
        </is>
      </c>
      <c r="E381" s="77" t="inlineStr">
        <is>
          <t>Capacity Market (derived per-MWh)</t>
        </is>
      </c>
      <c r="F381" s="77" t="inlineStr">
        <is>
          <t>2 Gen capital recovery</t>
        </is>
      </c>
      <c r="G381" s="77" t="inlineStr">
        <is>
          <t>capacity market levy</t>
        </is>
      </c>
      <c r="H381" s="77" t="inlineStr">
        <is>
          <t>i</t>
        </is>
      </c>
      <c r="I381" s="77">
        <f>IF(ISNUMBER(N381),N381*fx_deflator!$I$15*fx_deflator!$M$15,"")</f>
        <v/>
      </c>
      <c r="J381" s="77" t="inlineStr">
        <is>
          <t>EMRS Key Figures for Payments (derived per-MWh, D30)</t>
        </is>
      </c>
      <c r="K381" s="77" t="inlineStr">
        <is>
          <t>stage4_uk r21</t>
        </is>
      </c>
      <c r="L381" s="77" t="inlineStr">
        <is>
          <t>2026-07-15</t>
        </is>
      </c>
      <c r="M381" s="77" t="inlineStr">
        <is>
          <t>Y</t>
        </is>
      </c>
      <c r="N381" s="77">
        <f>IF(ISNUMBER(timeseries!N13),timeseries!N13,"")</f>
        <v/>
      </c>
      <c r="O381" s="77" t="inlineStr">
        <is>
          <t>GBP/MWh nominal</t>
        </is>
      </c>
      <c r="P381" s="77" t="inlineStr">
        <is>
          <t>function 2 per D9</t>
        </is>
      </c>
    </row>
    <row r="382" ht="15" customHeight="1" s="78">
      <c r="A382" s="77" t="inlineStr">
        <is>
          <t>UK</t>
        </is>
      </c>
      <c r="B382" s="77" t="n">
        <v>2020</v>
      </c>
      <c r="C382" s="77" t="inlineStr">
        <is>
          <t>medium</t>
        </is>
      </c>
      <c r="D382" s="77" t="inlineStr">
        <is>
          <t>E1</t>
        </is>
      </c>
      <c r="E382" s="77" t="inlineStr">
        <is>
          <t>CCL (main rate; CCA discount not modelled)</t>
        </is>
      </c>
      <c r="F382" s="77" t="inlineStr">
        <is>
          <t>5 General taxation &amp; levies</t>
        </is>
      </c>
      <c r="G382" s="77" t="inlineStr">
        <is>
          <t>climate levy (tax)</t>
        </is>
      </c>
      <c r="H382" s="77" t="inlineStr">
        <is>
          <t>i</t>
        </is>
      </c>
      <c r="I382" s="77">
        <f>IF(ISNUMBER(N382),N382*fx_deflator!$I$15*fx_deflator!$M$15,"")</f>
        <v/>
      </c>
      <c r="J382" s="77" t="inlineStr">
        <is>
          <t>HMRC Environmental Taxes Bulletin, historical rates Table 1</t>
        </is>
      </c>
      <c r="K382" s="77" t="inlineStr">
        <is>
          <t>stage4_uk r22</t>
        </is>
      </c>
      <c r="L382" s="77" t="inlineStr">
        <is>
          <t>2026-07-15</t>
        </is>
      </c>
      <c r="M382" s="77" t="inlineStr">
        <is>
          <t>N</t>
        </is>
      </c>
      <c r="N382" s="136">
        <f>IF(ISNUMBER(timeseries!N14),timeseries!N14,"")</f>
        <v/>
      </c>
      <c r="O382" s="77" t="inlineStr">
        <is>
          <t>GBP/MWh nominal</t>
        </is>
      </c>
    </row>
    <row r="383" ht="15" customHeight="1" s="78">
      <c r="A383" s="77" t="inlineStr">
        <is>
          <t>UK</t>
        </is>
      </c>
      <c r="B383" s="77" t="n">
        <v>2021</v>
      </c>
      <c r="C383" s="77" t="inlineStr">
        <is>
          <t>medium</t>
        </is>
      </c>
      <c r="D383" s="77" t="inlineStr">
        <is>
          <t>E1</t>
        </is>
      </c>
      <c r="E383" s="77" t="inlineStr">
        <is>
          <t>Wholesale (rolling year-ahead baseload; DA proxy &lt;=2021)</t>
        </is>
      </c>
      <c r="F383" s="77" t="inlineStr">
        <is>
          <t>1 Commodity</t>
        </is>
      </c>
      <c r="G383" s="77" t="inlineStr">
        <is>
          <t>wholesale market</t>
        </is>
      </c>
      <c r="H383" s="77" t="inlineStr">
        <is>
          <t>i</t>
        </is>
      </c>
      <c r="I383" s="77">
        <f>IF(ISNUMBER(N383),N383*fx_deflator!$I$16*fx_deflator!$M$16,"")</f>
        <v/>
      </c>
      <c r="J383" s="77" t="inlineStr">
        <is>
          <t>Ofgem data portal — DA baseload monthly avg (proxy &lt;=2021, D22); Forward Delivery Contracts (D21)</t>
        </is>
      </c>
      <c r="K383" s="77" t="inlineStr">
        <is>
          <t>stage4_uk r7-9</t>
        </is>
      </c>
      <c r="L383" s="77" t="inlineStr">
        <is>
          <t>2026-07-15</t>
        </is>
      </c>
      <c r="M383" s="77" t="inlineStr">
        <is>
          <t>Y</t>
        </is>
      </c>
      <c r="N383" s="136">
        <f>IF(ISNUMBER(timeseries!O22),timeseries!O22,"")</f>
        <v/>
      </c>
      <c r="O383" s="77" t="inlineStr">
        <is>
          <t>GBP/MWh nominal</t>
        </is>
      </c>
      <c r="P383" s="77" t="inlineStr">
        <is>
          <t>identical E1/E2; embedded carbon memo inside this item</t>
        </is>
      </c>
    </row>
    <row r="384" ht="15" customHeight="1" s="78">
      <c r="A384" s="77" t="inlineStr">
        <is>
          <t>UK</t>
        </is>
      </c>
      <c r="B384" s="77" t="n">
        <v>2021</v>
      </c>
      <c r="C384" s="77" t="inlineStr">
        <is>
          <t>medium</t>
        </is>
      </c>
      <c r="D384" s="77" t="inlineStr">
        <is>
          <t>E1</t>
        </is>
      </c>
      <c r="E384" s="77" t="inlineStr">
        <is>
          <t>TNUoS demand (zone 5; TCR banded residual from 2023)</t>
        </is>
      </c>
      <c r="F384" s="77" t="inlineStr">
        <is>
          <t>3 Network</t>
        </is>
      </c>
      <c r="G384" s="77" t="inlineStr">
        <is>
          <t>transmission network charge</t>
        </is>
      </c>
      <c r="H384" s="77" t="inlineStr">
        <is>
          <t>i</t>
        </is>
      </c>
      <c r="I384" s="77">
        <f>IF(ISNUMBER(N384),N384*fx_deflator!$I$16*fx_deflator!$M$16,"")</f>
        <v/>
      </c>
      <c r="J384" s="77" t="inlineStr">
        <is>
          <t>NESO TNUoS tariff documents (compendium doc 50736; Final TNUoS 2023/24-2026/27 Table 10)</t>
        </is>
      </c>
      <c r="K384" s="77" t="inlineStr">
        <is>
          <t>stage4_uk r25-27</t>
        </is>
      </c>
      <c r="L384" s="77" t="inlineStr">
        <is>
          <t>2026-07-15</t>
        </is>
      </c>
      <c r="M384" s="77" t="inlineStr">
        <is>
          <t>Y</t>
        </is>
      </c>
      <c r="N384" s="136">
        <f>IF(ISNUMBER(timeseries!O23),timeseries!O23,"")</f>
        <v/>
      </c>
      <c r="O384" s="77" t="inlineStr">
        <is>
          <t>GBP/MWh nominal</t>
        </is>
      </c>
    </row>
    <row r="385" ht="15" customHeight="1" s="78">
      <c r="A385" s="77" t="inlineStr">
        <is>
          <t>UK</t>
        </is>
      </c>
      <c r="B385" s="77" t="n">
        <v>2021</v>
      </c>
      <c r="C385" s="77" t="inlineStr">
        <is>
          <t>medium</t>
        </is>
      </c>
      <c r="D385" s="77" t="inlineStr">
        <is>
          <t>E1</t>
        </is>
      </c>
      <c r="E385" s="77" t="inlineStr">
        <is>
          <t>DUoS unit rates (NPg CDCM red/amber/green, uniform-operation weights)</t>
        </is>
      </c>
      <c r="F385" s="77" t="inlineStr">
        <is>
          <t>3 Network</t>
        </is>
      </c>
      <c r="G385" s="77" t="inlineStr">
        <is>
          <t>distribution network charge</t>
        </is>
      </c>
      <c r="H385" s="77" t="inlineStr">
        <is>
          <t>i</t>
        </is>
      </c>
      <c r="I385" s="77">
        <f>IF(ISNUMBER(N385),N385*fx_deflator!$I$16*fx_deflator!$M$16,"")</f>
        <v/>
      </c>
      <c r="J385" s="77" t="inlineStr">
        <is>
          <t>NPg (Yorkshire) LC14 CDCM statements; D28 reconstruction 2010-16</t>
        </is>
      </c>
      <c r="K385" s="77" t="inlineStr">
        <is>
          <t>stage4_uk r34-41</t>
        </is>
      </c>
      <c r="L385" s="77" t="inlineStr">
        <is>
          <t>2026-07-15</t>
        </is>
      </c>
      <c r="M385" s="77" t="inlineStr">
        <is>
          <t>Y</t>
        </is>
      </c>
      <c r="N385" s="136">
        <f>IF(ISNUMBER(timeseries!O24),timeseries!O24,"")</f>
        <v/>
      </c>
      <c r="O385" s="77" t="inlineStr">
        <is>
          <t>GBP/MWh nominal</t>
        </is>
      </c>
    </row>
    <row r="386" ht="15" customHeight="1" s="78">
      <c r="A386" s="77" t="inlineStr">
        <is>
          <t>UK</t>
        </is>
      </c>
      <c r="B386" s="77" t="n">
        <v>2021</v>
      </c>
      <c r="C386" s="77" t="inlineStr">
        <is>
          <t>medium</t>
        </is>
      </c>
      <c r="D386" s="77" t="inlineStr">
        <is>
          <t>E1</t>
        </is>
      </c>
      <c r="E386" s="77" t="inlineStr">
        <is>
          <t>DUoS fixed charge (TCR Band-4 residual from 2022/23)</t>
        </is>
      </c>
      <c r="F386" s="77" t="inlineStr">
        <is>
          <t>3 Network</t>
        </is>
      </c>
      <c r="G386" s="77" t="inlineStr">
        <is>
          <t>distribution network charge</t>
        </is>
      </c>
      <c r="H386" s="77" t="inlineStr">
        <is>
          <t>i</t>
        </is>
      </c>
      <c r="I386" s="77">
        <f>IF(ISNUMBER(N386),N386*fx_deflator!$I$16*fx_deflator!$M$16,"")</f>
        <v/>
      </c>
      <c r="J386" s="77" t="inlineStr">
        <is>
          <t>NPg (Yorkshire) LC14 CDCM statements; D28 reconstruction 2010-16</t>
        </is>
      </c>
      <c r="K386" s="77" t="inlineStr">
        <is>
          <t>stage4_uk r34-41</t>
        </is>
      </c>
      <c r="L386" s="77" t="inlineStr">
        <is>
          <t>2026-07-15</t>
        </is>
      </c>
      <c r="M386" s="77" t="inlineStr">
        <is>
          <t>Y</t>
        </is>
      </c>
      <c r="N386" s="136">
        <f>IF(ISNUMBER(timeseries!O25),timeseries!O25,"")</f>
        <v/>
      </c>
      <c r="O386" s="77" t="inlineStr">
        <is>
          <t>GBP/MWh nominal</t>
        </is>
      </c>
    </row>
    <row r="387" ht="15" customHeight="1" s="78">
      <c r="A387" s="77" t="inlineStr">
        <is>
          <t>UK</t>
        </is>
      </c>
      <c r="B387" s="77" t="n">
        <v>2021</v>
      </c>
      <c r="C387" s="77" t="inlineStr">
        <is>
          <t>medium</t>
        </is>
      </c>
      <c r="D387" s="77" t="inlineStr">
        <is>
          <t>E1</t>
        </is>
      </c>
      <c r="E387" s="77" t="inlineStr">
        <is>
          <t>DUoS capacity charge</t>
        </is>
      </c>
      <c r="F387" s="77" t="inlineStr">
        <is>
          <t>3 Network</t>
        </is>
      </c>
      <c r="G387" s="77" t="inlineStr">
        <is>
          <t>distribution network charge</t>
        </is>
      </c>
      <c r="H387" s="77" t="inlineStr">
        <is>
          <t>i</t>
        </is>
      </c>
      <c r="I387" s="77">
        <f>IF(ISNUMBER(N387),N387*fx_deflator!$I$16*fx_deflator!$M$16,"")</f>
        <v/>
      </c>
      <c r="J387" s="77" t="inlineStr">
        <is>
          <t>NPg (Yorkshire) LC14 CDCM statements; D28 reconstruction 2010-16</t>
        </is>
      </c>
      <c r="K387" s="77" t="inlineStr">
        <is>
          <t>stage4_uk r34-41</t>
        </is>
      </c>
      <c r="L387" s="77" t="inlineStr">
        <is>
          <t>2026-07-15</t>
        </is>
      </c>
      <c r="M387" s="77" t="inlineStr">
        <is>
          <t>Y</t>
        </is>
      </c>
      <c r="N387" s="136">
        <f>IF(ISNUMBER(timeseries!O26),timeseries!O26,"")</f>
        <v/>
      </c>
      <c r="O387" s="77" t="inlineStr">
        <is>
          <t>GBP/MWh nominal</t>
        </is>
      </c>
    </row>
    <row r="388" ht="15" customHeight="1" s="78">
      <c r="A388" s="77" t="inlineStr">
        <is>
          <t>UK</t>
        </is>
      </c>
      <c r="B388" s="77" t="n">
        <v>2021</v>
      </c>
      <c r="C388" s="77" t="inlineStr">
        <is>
          <t>medium</t>
        </is>
      </c>
      <c r="D388" s="77" t="inlineStr">
        <is>
          <t>E1</t>
        </is>
      </c>
      <c r="E388" s="77" t="inlineStr">
        <is>
          <t>BSUoS (demand-only from 04/2023)</t>
        </is>
      </c>
      <c r="F388" s="77" t="inlineStr">
        <is>
          <t>4 System services &amp; balancing</t>
        </is>
      </c>
      <c r="G388" s="77" t="inlineStr">
        <is>
          <t>balancing charge</t>
        </is>
      </c>
      <c r="H388" s="77" t="inlineStr">
        <is>
          <t>i</t>
        </is>
      </c>
      <c r="I388" s="77">
        <f>IF(ISNUMBER(N388),N388*fx_deflator!$I$16*fx_deflator!$M$16,"")</f>
        <v/>
      </c>
      <c r="J388" s="77" t="inlineStr">
        <is>
          <t>NESO bsuos-fixed-tariffs + HH RF settlement files (own annual avg 2010-22)</t>
        </is>
      </c>
      <c r="K388" s="77" t="inlineStr">
        <is>
          <t>stage4_uk r28-30</t>
        </is>
      </c>
      <c r="L388" s="77" t="inlineStr">
        <is>
          <t>2026-07-15</t>
        </is>
      </c>
      <c r="M388" s="77" t="inlineStr">
        <is>
          <t>Y</t>
        </is>
      </c>
      <c r="N388" s="77">
        <f>IF(ISNUMBER(timeseries!O8),timeseries!O8,"")</f>
        <v/>
      </c>
      <c r="O388" s="77" t="inlineStr">
        <is>
          <t>GBP/MWh nominal</t>
        </is>
      </c>
    </row>
    <row r="389" ht="15" customHeight="1" s="78">
      <c r="A389" s="77" t="inlineStr">
        <is>
          <t>UK</t>
        </is>
      </c>
      <c r="B389" s="77" t="n">
        <v>2021</v>
      </c>
      <c r="C389" s="77" t="inlineStr">
        <is>
          <t>medium</t>
        </is>
      </c>
      <c r="D389" s="77" t="inlineStr">
        <is>
          <t>E1</t>
        </is>
      </c>
      <c r="E389" s="77" t="inlineStr">
        <is>
          <t>AAHEDC</t>
        </is>
      </c>
      <c r="F389" s="77" t="inlineStr">
        <is>
          <t>3 Network</t>
        </is>
      </c>
      <c r="G389" s="77" t="inlineStr">
        <is>
          <t>network levy (hydro benefit)</t>
        </is>
      </c>
      <c r="H389" s="77" t="inlineStr">
        <is>
          <t>ii (pays cross-subsidy to N Scotland consumers)</t>
        </is>
      </c>
      <c r="I389" s="77">
        <f>IF(ISNUMBER(N389),N389*fx_deflator!$I$16*fx_deflator!$M$16,"")</f>
        <v/>
      </c>
      <c r="J389" s="77" t="inlineStr">
        <is>
          <t>NG/ESO AAHEDC charging statements &amp; final tariff letters</t>
        </is>
      </c>
      <c r="K389" s="77" t="inlineStr">
        <is>
          <t>stage4_uk r31</t>
        </is>
      </c>
      <c r="L389" s="77" t="inlineStr">
        <is>
          <t>2026-07-15</t>
        </is>
      </c>
      <c r="M389" s="77" t="inlineStr">
        <is>
          <t>N</t>
        </is>
      </c>
      <c r="N389" s="136">
        <f>IF(ISNUMBER(timeseries!O9),timeseries!O9,"")</f>
        <v/>
      </c>
      <c r="O389" s="77" t="inlineStr">
        <is>
          <t>GBP/MWh nominal</t>
        </is>
      </c>
      <c r="P389" s="77" t="inlineStr">
        <is>
          <t>not in NCC base (conservative, unverified)</t>
        </is>
      </c>
    </row>
    <row r="390" ht="15" customHeight="1" s="78">
      <c r="A390" s="77" t="inlineStr">
        <is>
          <t>UK</t>
        </is>
      </c>
      <c r="B390" s="77" t="n">
        <v>2021</v>
      </c>
      <c r="C390" s="77" t="inlineStr">
        <is>
          <t>medium</t>
        </is>
      </c>
      <c r="D390" s="77" t="inlineStr">
        <is>
          <t>E1</t>
        </is>
      </c>
      <c r="E390" s="77" t="inlineStr">
        <is>
          <t>RO (buy-out x obligation)</t>
        </is>
      </c>
      <c r="F390" s="77" t="inlineStr">
        <is>
          <t>2 Gen capital recovery</t>
        </is>
      </c>
      <c r="G390" s="77" t="inlineStr">
        <is>
          <t>renewables levy</t>
        </is>
      </c>
      <c r="H390" s="77" t="inlineStr">
        <is>
          <t>i</t>
        </is>
      </c>
      <c r="I390" s="77">
        <f>IF(ISNUMBER(N390),N390*fx_deflator!$I$16*fx_deflator!$M$16,"")</f>
        <v/>
      </c>
      <c r="J390" s="77" t="inlineStr">
        <is>
          <t>Ofgem RO guidance OFG1164 Table 1.1 (buy-out x obligation)</t>
        </is>
      </c>
      <c r="K390" s="77" t="inlineStr">
        <is>
          <t>stage4_uk r12-14</t>
        </is>
      </c>
      <c r="L390" s="77" t="inlineStr">
        <is>
          <t>2026-07-15</t>
        </is>
      </c>
      <c r="M390" s="77" t="inlineStr">
        <is>
          <t>Y</t>
        </is>
      </c>
      <c r="N390" s="136">
        <f>IF(ISNUMBER(timeseries!O10),timeseries!O10,"")</f>
        <v/>
      </c>
      <c r="O390" s="77" t="inlineStr">
        <is>
          <t>GBP/MWh nominal</t>
        </is>
      </c>
    </row>
    <row r="391" ht="15" customHeight="1" s="78">
      <c r="A391" s="77" t="inlineStr">
        <is>
          <t>UK</t>
        </is>
      </c>
      <c r="B391" s="77" t="n">
        <v>2021</v>
      </c>
      <c r="C391" s="77" t="inlineStr">
        <is>
          <t>medium</t>
        </is>
      </c>
      <c r="D391" s="77" t="inlineStr">
        <is>
          <t>E1</t>
        </is>
      </c>
      <c r="E391" s="77" t="inlineStr">
        <is>
          <t>CfD Interim Levy Rate (annual avg)</t>
        </is>
      </c>
      <c r="F391" s="77" t="inlineStr">
        <is>
          <t>2 Gen capital recovery</t>
        </is>
      </c>
      <c r="G391" s="77" t="inlineStr">
        <is>
          <t>renewables levy</t>
        </is>
      </c>
      <c r="H391" s="77" t="inlineStr">
        <is>
          <t>i</t>
        </is>
      </c>
      <c r="I391" s="77">
        <f>IF(ISNUMBER(N391),N391*fx_deflator!$I$16*fx_deflator!$M$16,"")</f>
        <v/>
      </c>
      <c r="J391" s="77" t="inlineStr">
        <is>
          <t>LCCC Actual ILR Income dataset (quarterly avg)</t>
        </is>
      </c>
      <c r="K391" s="77" t="inlineStr">
        <is>
          <t>stage4_uk r15-19</t>
        </is>
      </c>
      <c r="L391" s="77" t="inlineStr">
        <is>
          <t>2026-07-15</t>
        </is>
      </c>
      <c r="M391" s="77" t="inlineStr">
        <is>
          <t>Y</t>
        </is>
      </c>
      <c r="N391" s="136">
        <f>IF(ISNUMBER(timeseries!O11),timeseries!O11,"")</f>
        <v/>
      </c>
      <c r="O391" s="77" t="inlineStr">
        <is>
          <t>GBP/MWh nominal</t>
        </is>
      </c>
    </row>
    <row r="392" ht="15" customHeight="1" s="78">
      <c r="A392" s="77" t="inlineStr">
        <is>
          <t>UK</t>
        </is>
      </c>
      <c r="B392" s="77" t="n">
        <v>2021</v>
      </c>
      <c r="C392" s="77" t="inlineStr">
        <is>
          <t>medium</t>
        </is>
      </c>
      <c r="D392" s="77" t="inlineStr">
        <is>
          <t>E1</t>
        </is>
      </c>
      <c r="E392" s="77" t="inlineStr">
        <is>
          <t>FiT levelisation</t>
        </is>
      </c>
      <c r="F392" s="77" t="inlineStr">
        <is>
          <t>2 Gen capital recovery</t>
        </is>
      </c>
      <c r="G392" s="77" t="inlineStr">
        <is>
          <t>renewables levy</t>
        </is>
      </c>
      <c r="H392" s="77" t="inlineStr">
        <is>
          <t>i</t>
        </is>
      </c>
      <c r="I392" s="77">
        <f>IF(ISNUMBER(N392),N392*fx_deflator!$I$16*fx_deflator!$M$16,"")</f>
        <v/>
      </c>
      <c r="J392" s="77" t="inlineStr">
        <is>
          <t>Ofgem FIT Annual Reports SY1-SY15; D27 for 2010-14</t>
        </is>
      </c>
      <c r="K392" s="77" t="inlineStr">
        <is>
          <t>stage4_uk r20</t>
        </is>
      </c>
      <c r="L392" s="77" t="inlineStr">
        <is>
          <t>2026-07-15</t>
        </is>
      </c>
      <c r="M392" s="77" t="inlineStr">
        <is>
          <t>Y</t>
        </is>
      </c>
      <c r="N392" s="77">
        <f>IF(ISNUMBER(timeseries!O12),timeseries!O12,"")</f>
        <v/>
      </c>
      <c r="O392" s="77" t="inlineStr">
        <is>
          <t>GBP/MWh nominal</t>
        </is>
      </c>
      <c r="P392" s="77" t="inlineStr">
        <is>
          <t>2025 unpublished (Q32) — row absent, gap stated</t>
        </is>
      </c>
    </row>
    <row r="393" ht="15" customHeight="1" s="78">
      <c r="A393" s="77" t="inlineStr">
        <is>
          <t>UK</t>
        </is>
      </c>
      <c r="B393" s="77" t="n">
        <v>2021</v>
      </c>
      <c r="C393" s="77" t="inlineStr">
        <is>
          <t>medium</t>
        </is>
      </c>
      <c r="D393" s="77" t="inlineStr">
        <is>
          <t>E1</t>
        </is>
      </c>
      <c r="E393" s="77" t="inlineStr">
        <is>
          <t>Capacity Market (derived per-MWh)</t>
        </is>
      </c>
      <c r="F393" s="77" t="inlineStr">
        <is>
          <t>2 Gen capital recovery</t>
        </is>
      </c>
      <c r="G393" s="77" t="inlineStr">
        <is>
          <t>capacity market levy</t>
        </is>
      </c>
      <c r="H393" s="77" t="inlineStr">
        <is>
          <t>i</t>
        </is>
      </c>
      <c r="I393" s="77">
        <f>IF(ISNUMBER(N393),N393*fx_deflator!$I$16*fx_deflator!$M$16,"")</f>
        <v/>
      </c>
      <c r="J393" s="77" t="inlineStr">
        <is>
          <t>EMRS Key Figures for Payments (derived per-MWh, D30)</t>
        </is>
      </c>
      <c r="K393" s="77" t="inlineStr">
        <is>
          <t>stage4_uk r21</t>
        </is>
      </c>
      <c r="L393" s="77" t="inlineStr">
        <is>
          <t>2026-07-15</t>
        </is>
      </c>
      <c r="M393" s="77" t="inlineStr">
        <is>
          <t>Y</t>
        </is>
      </c>
      <c r="N393" s="77">
        <f>IF(ISNUMBER(timeseries!O13),timeseries!O13,"")</f>
        <v/>
      </c>
      <c r="O393" s="77" t="inlineStr">
        <is>
          <t>GBP/MWh nominal</t>
        </is>
      </c>
      <c r="P393" s="77" t="inlineStr">
        <is>
          <t>function 2 per D9</t>
        </is>
      </c>
    </row>
    <row r="394" ht="15" customHeight="1" s="78">
      <c r="A394" s="77" t="inlineStr">
        <is>
          <t>UK</t>
        </is>
      </c>
      <c r="B394" s="77" t="n">
        <v>2021</v>
      </c>
      <c r="C394" s="77" t="inlineStr">
        <is>
          <t>medium</t>
        </is>
      </c>
      <c r="D394" s="77" t="inlineStr">
        <is>
          <t>E1</t>
        </is>
      </c>
      <c r="E394" s="77" t="inlineStr">
        <is>
          <t>CCL (main rate; CCA discount not modelled)</t>
        </is>
      </c>
      <c r="F394" s="77" t="inlineStr">
        <is>
          <t>5 General taxation &amp; levies</t>
        </is>
      </c>
      <c r="G394" s="77" t="inlineStr">
        <is>
          <t>climate levy (tax)</t>
        </is>
      </c>
      <c r="H394" s="77" t="inlineStr">
        <is>
          <t>i</t>
        </is>
      </c>
      <c r="I394" s="77">
        <f>IF(ISNUMBER(N394),N394*fx_deflator!$I$16*fx_deflator!$M$16,"")</f>
        <v/>
      </c>
      <c r="J394" s="77" t="inlineStr">
        <is>
          <t>HMRC Environmental Taxes Bulletin, historical rates Table 1</t>
        </is>
      </c>
      <c r="K394" s="77" t="inlineStr">
        <is>
          <t>stage4_uk r22</t>
        </is>
      </c>
      <c r="L394" s="77" t="inlineStr">
        <is>
          <t>2026-07-15</t>
        </is>
      </c>
      <c r="M394" s="77" t="inlineStr">
        <is>
          <t>N</t>
        </is>
      </c>
      <c r="N394" s="136">
        <f>IF(ISNUMBER(timeseries!O14),timeseries!O14,"")</f>
        <v/>
      </c>
      <c r="O394" s="77" t="inlineStr">
        <is>
          <t>GBP/MWh nominal</t>
        </is>
      </c>
    </row>
    <row r="395" ht="15" customHeight="1" s="78">
      <c r="A395" s="77" t="inlineStr">
        <is>
          <t>UK</t>
        </is>
      </c>
      <c r="B395" s="77" t="n">
        <v>2022</v>
      </c>
      <c r="C395" s="77" t="inlineStr">
        <is>
          <t>medium</t>
        </is>
      </c>
      <c r="D395" s="77" t="inlineStr">
        <is>
          <t>E1</t>
        </is>
      </c>
      <c r="E395" s="77" t="inlineStr">
        <is>
          <t>Wholesale (rolling year-ahead baseload; DA proxy &lt;=2021)</t>
        </is>
      </c>
      <c r="F395" s="77" t="inlineStr">
        <is>
          <t>1 Commodity</t>
        </is>
      </c>
      <c r="G395" s="77" t="inlineStr">
        <is>
          <t>wholesale market</t>
        </is>
      </c>
      <c r="H395" s="77" t="inlineStr">
        <is>
          <t>i</t>
        </is>
      </c>
      <c r="I395" s="77">
        <f>IF(ISNUMBER(N395),N395*fx_deflator!$I$17*fx_deflator!$M$17,"")</f>
        <v/>
      </c>
      <c r="J395" s="77" t="inlineStr">
        <is>
          <t>Ofgem data portal — DA baseload monthly avg (proxy &lt;=2021, D22); Forward Delivery Contracts (D21)</t>
        </is>
      </c>
      <c r="K395" s="77" t="inlineStr">
        <is>
          <t>stage4_uk r7-9</t>
        </is>
      </c>
      <c r="L395" s="77" t="inlineStr">
        <is>
          <t>2026-07-15</t>
        </is>
      </c>
      <c r="M395" s="77" t="inlineStr">
        <is>
          <t>Y</t>
        </is>
      </c>
      <c r="N395" s="136">
        <f>IF(ISNUMBER(timeseries!P22),timeseries!P22,"")</f>
        <v/>
      </c>
      <c r="O395" s="77" t="inlineStr">
        <is>
          <t>GBP/MWh nominal</t>
        </is>
      </c>
      <c r="P395" s="77" t="inlineStr">
        <is>
          <t>identical E1/E2; embedded carbon memo inside this item</t>
        </is>
      </c>
    </row>
    <row r="396" ht="15" customHeight="1" s="78">
      <c r="A396" s="77" t="inlineStr">
        <is>
          <t>UK</t>
        </is>
      </c>
      <c r="B396" s="77" t="n">
        <v>2022</v>
      </c>
      <c r="C396" s="77" t="inlineStr">
        <is>
          <t>medium</t>
        </is>
      </c>
      <c r="D396" s="77" t="inlineStr">
        <is>
          <t>E1</t>
        </is>
      </c>
      <c r="E396" s="77" t="inlineStr">
        <is>
          <t>TNUoS demand (zone 5; TCR banded residual from 2023)</t>
        </is>
      </c>
      <c r="F396" s="77" t="inlineStr">
        <is>
          <t>3 Network</t>
        </is>
      </c>
      <c r="G396" s="77" t="inlineStr">
        <is>
          <t>transmission network charge</t>
        </is>
      </c>
      <c r="H396" s="77" t="inlineStr">
        <is>
          <t>i</t>
        </is>
      </c>
      <c r="I396" s="77">
        <f>IF(ISNUMBER(N396),N396*fx_deflator!$I$17*fx_deflator!$M$17,"")</f>
        <v/>
      </c>
      <c r="J396" s="77" t="inlineStr">
        <is>
          <t>NESO TNUoS tariff documents (compendium doc 50736; Final TNUoS 2023/24-2026/27 Table 10)</t>
        </is>
      </c>
      <c r="K396" s="77" t="inlineStr">
        <is>
          <t>stage4_uk r25-27</t>
        </is>
      </c>
      <c r="L396" s="77" t="inlineStr">
        <is>
          <t>2026-07-15</t>
        </is>
      </c>
      <c r="M396" s="77" t="inlineStr">
        <is>
          <t>Y</t>
        </is>
      </c>
      <c r="N396" s="136">
        <f>IF(ISNUMBER(timeseries!P23),timeseries!P23,"")</f>
        <v/>
      </c>
      <c r="O396" s="77" t="inlineStr">
        <is>
          <t>GBP/MWh nominal</t>
        </is>
      </c>
    </row>
    <row r="397" ht="15" customHeight="1" s="78">
      <c r="A397" s="77" t="inlineStr">
        <is>
          <t>UK</t>
        </is>
      </c>
      <c r="B397" s="77" t="n">
        <v>2022</v>
      </c>
      <c r="C397" s="77" t="inlineStr">
        <is>
          <t>medium</t>
        </is>
      </c>
      <c r="D397" s="77" t="inlineStr">
        <is>
          <t>E1</t>
        </is>
      </c>
      <c r="E397" s="77" t="inlineStr">
        <is>
          <t>DUoS unit rates (NPg CDCM red/amber/green, uniform-operation weights)</t>
        </is>
      </c>
      <c r="F397" s="77" t="inlineStr">
        <is>
          <t>3 Network</t>
        </is>
      </c>
      <c r="G397" s="77" t="inlineStr">
        <is>
          <t>distribution network charge</t>
        </is>
      </c>
      <c r="H397" s="77" t="inlineStr">
        <is>
          <t>i</t>
        </is>
      </c>
      <c r="I397" s="77">
        <f>IF(ISNUMBER(N397),N397*fx_deflator!$I$17*fx_deflator!$M$17,"")</f>
        <v/>
      </c>
      <c r="J397" s="77" t="inlineStr">
        <is>
          <t>NPg (Yorkshire) LC14 CDCM statements; D28 reconstruction 2010-16</t>
        </is>
      </c>
      <c r="K397" s="77" t="inlineStr">
        <is>
          <t>stage4_uk r34-41</t>
        </is>
      </c>
      <c r="L397" s="77" t="inlineStr">
        <is>
          <t>2026-07-15</t>
        </is>
      </c>
      <c r="M397" s="77" t="inlineStr">
        <is>
          <t>Y</t>
        </is>
      </c>
      <c r="N397" s="136">
        <f>IF(ISNUMBER(timeseries!P24),timeseries!P24,"")</f>
        <v/>
      </c>
      <c r="O397" s="77" t="inlineStr">
        <is>
          <t>GBP/MWh nominal</t>
        </is>
      </c>
    </row>
    <row r="398" ht="15" customHeight="1" s="78">
      <c r="A398" s="77" t="inlineStr">
        <is>
          <t>UK</t>
        </is>
      </c>
      <c r="B398" s="77" t="n">
        <v>2022</v>
      </c>
      <c r="C398" s="77" t="inlineStr">
        <is>
          <t>medium</t>
        </is>
      </c>
      <c r="D398" s="77" t="inlineStr">
        <is>
          <t>E1</t>
        </is>
      </c>
      <c r="E398" s="77" t="inlineStr">
        <is>
          <t>DUoS fixed charge (TCR Band-4 residual from 2022/23)</t>
        </is>
      </c>
      <c r="F398" s="77" t="inlineStr">
        <is>
          <t>3 Network</t>
        </is>
      </c>
      <c r="G398" s="77" t="inlineStr">
        <is>
          <t>distribution network charge</t>
        </is>
      </c>
      <c r="H398" s="77" t="inlineStr">
        <is>
          <t>i</t>
        </is>
      </c>
      <c r="I398" s="77">
        <f>IF(ISNUMBER(N398),N398*fx_deflator!$I$17*fx_deflator!$M$17,"")</f>
        <v/>
      </c>
      <c r="J398" s="77" t="inlineStr">
        <is>
          <t>NPg (Yorkshire) LC14 CDCM statements; D28 reconstruction 2010-16</t>
        </is>
      </c>
      <c r="K398" s="77" t="inlineStr">
        <is>
          <t>stage4_uk r34-41</t>
        </is>
      </c>
      <c r="L398" s="77" t="inlineStr">
        <is>
          <t>2026-07-15</t>
        </is>
      </c>
      <c r="M398" s="77" t="inlineStr">
        <is>
          <t>Y</t>
        </is>
      </c>
      <c r="N398" s="136">
        <f>IF(ISNUMBER(timeseries!P25),timeseries!P25,"")</f>
        <v/>
      </c>
      <c r="O398" s="77" t="inlineStr">
        <is>
          <t>GBP/MWh nominal</t>
        </is>
      </c>
    </row>
    <row r="399" ht="15" customHeight="1" s="78">
      <c r="A399" s="77" t="inlineStr">
        <is>
          <t>UK</t>
        </is>
      </c>
      <c r="B399" s="77" t="n">
        <v>2022</v>
      </c>
      <c r="C399" s="77" t="inlineStr">
        <is>
          <t>medium</t>
        </is>
      </c>
      <c r="D399" s="77" t="inlineStr">
        <is>
          <t>E1</t>
        </is>
      </c>
      <c r="E399" s="77" t="inlineStr">
        <is>
          <t>DUoS capacity charge</t>
        </is>
      </c>
      <c r="F399" s="77" t="inlineStr">
        <is>
          <t>3 Network</t>
        </is>
      </c>
      <c r="G399" s="77" t="inlineStr">
        <is>
          <t>distribution network charge</t>
        </is>
      </c>
      <c r="H399" s="77" t="inlineStr">
        <is>
          <t>i</t>
        </is>
      </c>
      <c r="I399" s="77">
        <f>IF(ISNUMBER(N399),N399*fx_deflator!$I$17*fx_deflator!$M$17,"")</f>
        <v/>
      </c>
      <c r="J399" s="77" t="inlineStr">
        <is>
          <t>NPg (Yorkshire) LC14 CDCM statements; D28 reconstruction 2010-16</t>
        </is>
      </c>
      <c r="K399" s="77" t="inlineStr">
        <is>
          <t>stage4_uk r34-41</t>
        </is>
      </c>
      <c r="L399" s="77" t="inlineStr">
        <is>
          <t>2026-07-15</t>
        </is>
      </c>
      <c r="M399" s="77" t="inlineStr">
        <is>
          <t>Y</t>
        </is>
      </c>
      <c r="N399" s="136">
        <f>IF(ISNUMBER(timeseries!P26),timeseries!P26,"")</f>
        <v/>
      </c>
      <c r="O399" s="77" t="inlineStr">
        <is>
          <t>GBP/MWh nominal</t>
        </is>
      </c>
    </row>
    <row r="400" ht="15" customHeight="1" s="78">
      <c r="A400" s="77" t="inlineStr">
        <is>
          <t>UK</t>
        </is>
      </c>
      <c r="B400" s="77" t="n">
        <v>2022</v>
      </c>
      <c r="C400" s="77" t="inlineStr">
        <is>
          <t>medium</t>
        </is>
      </c>
      <c r="D400" s="77" t="inlineStr">
        <is>
          <t>E1</t>
        </is>
      </c>
      <c r="E400" s="77" t="inlineStr">
        <is>
          <t>BSUoS (demand-only from 04/2023)</t>
        </is>
      </c>
      <c r="F400" s="77" t="inlineStr">
        <is>
          <t>4 System services &amp; balancing</t>
        </is>
      </c>
      <c r="G400" s="77" t="inlineStr">
        <is>
          <t>balancing charge</t>
        </is>
      </c>
      <c r="H400" s="77" t="inlineStr">
        <is>
          <t>i</t>
        </is>
      </c>
      <c r="I400" s="77">
        <f>IF(ISNUMBER(N400),N400*fx_deflator!$I$17*fx_deflator!$M$17,"")</f>
        <v/>
      </c>
      <c r="J400" s="77" t="inlineStr">
        <is>
          <t>NESO bsuos-fixed-tariffs + HH RF settlement files (own annual avg 2010-22)</t>
        </is>
      </c>
      <c r="K400" s="77" t="inlineStr">
        <is>
          <t>stage4_uk r28-30</t>
        </is>
      </c>
      <c r="L400" s="77" t="inlineStr">
        <is>
          <t>2026-07-15</t>
        </is>
      </c>
      <c r="M400" s="77" t="inlineStr">
        <is>
          <t>Y</t>
        </is>
      </c>
      <c r="N400" s="77">
        <f>IF(ISNUMBER(timeseries!P8),timeseries!P8,"")</f>
        <v/>
      </c>
      <c r="O400" s="77" t="inlineStr">
        <is>
          <t>GBP/MWh nominal</t>
        </is>
      </c>
    </row>
    <row r="401" ht="15" customHeight="1" s="78">
      <c r="A401" s="77" t="inlineStr">
        <is>
          <t>UK</t>
        </is>
      </c>
      <c r="B401" s="77" t="n">
        <v>2022</v>
      </c>
      <c r="C401" s="77" t="inlineStr">
        <is>
          <t>medium</t>
        </is>
      </c>
      <c r="D401" s="77" t="inlineStr">
        <is>
          <t>E1</t>
        </is>
      </c>
      <c r="E401" s="77" t="inlineStr">
        <is>
          <t>AAHEDC</t>
        </is>
      </c>
      <c r="F401" s="77" t="inlineStr">
        <is>
          <t>3 Network</t>
        </is>
      </c>
      <c r="G401" s="77" t="inlineStr">
        <is>
          <t>network levy (hydro benefit)</t>
        </is>
      </c>
      <c r="H401" s="77" t="inlineStr">
        <is>
          <t>ii (pays cross-subsidy to N Scotland consumers)</t>
        </is>
      </c>
      <c r="I401" s="77">
        <f>IF(ISNUMBER(N401),N401*fx_deflator!$I$17*fx_deflator!$M$17,"")</f>
        <v/>
      </c>
      <c r="J401" s="77" t="inlineStr">
        <is>
          <t>NG/ESO AAHEDC charging statements &amp; final tariff letters</t>
        </is>
      </c>
      <c r="K401" s="77" t="inlineStr">
        <is>
          <t>stage4_uk r31</t>
        </is>
      </c>
      <c r="L401" s="77" t="inlineStr">
        <is>
          <t>2026-07-15</t>
        </is>
      </c>
      <c r="M401" s="77" t="inlineStr">
        <is>
          <t>N</t>
        </is>
      </c>
      <c r="N401" s="136">
        <f>IF(ISNUMBER(timeseries!P9),timeseries!P9,"")</f>
        <v/>
      </c>
      <c r="O401" s="77" t="inlineStr">
        <is>
          <t>GBP/MWh nominal</t>
        </is>
      </c>
      <c r="P401" s="77" t="inlineStr">
        <is>
          <t>not in NCC base (conservative, unverified)</t>
        </is>
      </c>
    </row>
    <row r="402" ht="15" customHeight="1" s="78">
      <c r="A402" s="77" t="inlineStr">
        <is>
          <t>UK</t>
        </is>
      </c>
      <c r="B402" s="77" t="n">
        <v>2022</v>
      </c>
      <c r="C402" s="77" t="inlineStr">
        <is>
          <t>medium</t>
        </is>
      </c>
      <c r="D402" s="77" t="inlineStr">
        <is>
          <t>E1</t>
        </is>
      </c>
      <c r="E402" s="77" t="inlineStr">
        <is>
          <t>RO (buy-out x obligation)</t>
        </is>
      </c>
      <c r="F402" s="77" t="inlineStr">
        <is>
          <t>2 Gen capital recovery</t>
        </is>
      </c>
      <c r="G402" s="77" t="inlineStr">
        <is>
          <t>renewables levy</t>
        </is>
      </c>
      <c r="H402" s="77" t="inlineStr">
        <is>
          <t>i</t>
        </is>
      </c>
      <c r="I402" s="77">
        <f>IF(ISNUMBER(N402),N402*fx_deflator!$I$17*fx_deflator!$M$17,"")</f>
        <v/>
      </c>
      <c r="J402" s="77" t="inlineStr">
        <is>
          <t>Ofgem RO guidance OFG1164 Table 1.1 (buy-out x obligation)</t>
        </is>
      </c>
      <c r="K402" s="77" t="inlineStr">
        <is>
          <t>stage4_uk r12-14</t>
        </is>
      </c>
      <c r="L402" s="77" t="inlineStr">
        <is>
          <t>2026-07-15</t>
        </is>
      </c>
      <c r="M402" s="77" t="inlineStr">
        <is>
          <t>Y</t>
        </is>
      </c>
      <c r="N402" s="136">
        <f>IF(ISNUMBER(timeseries!P10),timeseries!P10,"")</f>
        <v/>
      </c>
      <c r="O402" s="77" t="inlineStr">
        <is>
          <t>GBP/MWh nominal</t>
        </is>
      </c>
    </row>
    <row r="403" ht="15" customHeight="1" s="78">
      <c r="A403" s="77" t="inlineStr">
        <is>
          <t>UK</t>
        </is>
      </c>
      <c r="B403" s="77" t="n">
        <v>2022</v>
      </c>
      <c r="C403" s="77" t="inlineStr">
        <is>
          <t>medium</t>
        </is>
      </c>
      <c r="D403" s="77" t="inlineStr">
        <is>
          <t>E1</t>
        </is>
      </c>
      <c r="E403" s="77" t="inlineStr">
        <is>
          <t>CfD Interim Levy Rate (annual avg)</t>
        </is>
      </c>
      <c r="F403" s="77" t="inlineStr">
        <is>
          <t>2 Gen capital recovery</t>
        </is>
      </c>
      <c r="G403" s="77" t="inlineStr">
        <is>
          <t>renewables levy</t>
        </is>
      </c>
      <c r="H403" s="77" t="inlineStr">
        <is>
          <t>i</t>
        </is>
      </c>
      <c r="I403" s="77">
        <f>IF(ISNUMBER(N403),N403*fx_deflator!$I$17*fx_deflator!$M$17,"")</f>
        <v/>
      </c>
      <c r="J403" s="77" t="inlineStr">
        <is>
          <t>LCCC Actual ILR Income dataset (quarterly avg)</t>
        </is>
      </c>
      <c r="K403" s="77" t="inlineStr">
        <is>
          <t>stage4_uk r15-19</t>
        </is>
      </c>
      <c r="L403" s="77" t="inlineStr">
        <is>
          <t>2026-07-15</t>
        </is>
      </c>
      <c r="M403" s="77" t="inlineStr">
        <is>
          <t>Y</t>
        </is>
      </c>
      <c r="N403" s="136">
        <f>IF(ISNUMBER(timeseries!P11),timeseries!P11,"")</f>
        <v/>
      </c>
      <c r="O403" s="77" t="inlineStr">
        <is>
          <t>GBP/MWh nominal</t>
        </is>
      </c>
    </row>
    <row r="404" ht="15" customHeight="1" s="78">
      <c r="A404" s="77" t="inlineStr">
        <is>
          <t>UK</t>
        </is>
      </c>
      <c r="B404" s="77" t="n">
        <v>2022</v>
      </c>
      <c r="C404" s="77" t="inlineStr">
        <is>
          <t>medium</t>
        </is>
      </c>
      <c r="D404" s="77" t="inlineStr">
        <is>
          <t>E1</t>
        </is>
      </c>
      <c r="E404" s="77" t="inlineStr">
        <is>
          <t>FiT levelisation</t>
        </is>
      </c>
      <c r="F404" s="77" t="inlineStr">
        <is>
          <t>2 Gen capital recovery</t>
        </is>
      </c>
      <c r="G404" s="77" t="inlineStr">
        <is>
          <t>renewables levy</t>
        </is>
      </c>
      <c r="H404" s="77" t="inlineStr">
        <is>
          <t>i</t>
        </is>
      </c>
      <c r="I404" s="77">
        <f>IF(ISNUMBER(N404),N404*fx_deflator!$I$17*fx_deflator!$M$17,"")</f>
        <v/>
      </c>
      <c r="J404" s="77" t="inlineStr">
        <is>
          <t>Ofgem FIT Annual Reports SY1-SY15; D27 for 2010-14</t>
        </is>
      </c>
      <c r="K404" s="77" t="inlineStr">
        <is>
          <t>stage4_uk r20</t>
        </is>
      </c>
      <c r="L404" s="77" t="inlineStr">
        <is>
          <t>2026-07-15</t>
        </is>
      </c>
      <c r="M404" s="77" t="inlineStr">
        <is>
          <t>Y</t>
        </is>
      </c>
      <c r="N404" s="77">
        <f>IF(ISNUMBER(timeseries!P12),timeseries!P12,"")</f>
        <v/>
      </c>
      <c r="O404" s="77" t="inlineStr">
        <is>
          <t>GBP/MWh nominal</t>
        </is>
      </c>
      <c r="P404" s="77" t="inlineStr">
        <is>
          <t>2025 unpublished (Q32) — row absent, gap stated</t>
        </is>
      </c>
    </row>
    <row r="405" ht="15" customHeight="1" s="78">
      <c r="A405" s="77" t="inlineStr">
        <is>
          <t>UK</t>
        </is>
      </c>
      <c r="B405" s="77" t="n">
        <v>2022</v>
      </c>
      <c r="C405" s="77" t="inlineStr">
        <is>
          <t>medium</t>
        </is>
      </c>
      <c r="D405" s="77" t="inlineStr">
        <is>
          <t>E1</t>
        </is>
      </c>
      <c r="E405" s="77" t="inlineStr">
        <is>
          <t>Capacity Market (derived per-MWh)</t>
        </is>
      </c>
      <c r="F405" s="77" t="inlineStr">
        <is>
          <t>2 Gen capital recovery</t>
        </is>
      </c>
      <c r="G405" s="77" t="inlineStr">
        <is>
          <t>capacity market levy</t>
        </is>
      </c>
      <c r="H405" s="77" t="inlineStr">
        <is>
          <t>i</t>
        </is>
      </c>
      <c r="I405" s="77">
        <f>IF(ISNUMBER(N405),N405*fx_deflator!$I$17*fx_deflator!$M$17,"")</f>
        <v/>
      </c>
      <c r="J405" s="77" t="inlineStr">
        <is>
          <t>EMRS Key Figures for Payments (derived per-MWh, D30)</t>
        </is>
      </c>
      <c r="K405" s="77" t="inlineStr">
        <is>
          <t>stage4_uk r21</t>
        </is>
      </c>
      <c r="L405" s="77" t="inlineStr">
        <is>
          <t>2026-07-15</t>
        </is>
      </c>
      <c r="M405" s="77" t="inlineStr">
        <is>
          <t>Y</t>
        </is>
      </c>
      <c r="N405" s="77">
        <f>IF(ISNUMBER(timeseries!P13),timeseries!P13,"")</f>
        <v/>
      </c>
      <c r="O405" s="77" t="inlineStr">
        <is>
          <t>GBP/MWh nominal</t>
        </is>
      </c>
      <c r="P405" s="77" t="inlineStr">
        <is>
          <t>function 2 per D9</t>
        </is>
      </c>
    </row>
    <row r="406" ht="15" customHeight="1" s="78">
      <c r="A406" s="77" t="inlineStr">
        <is>
          <t>UK</t>
        </is>
      </c>
      <c r="B406" s="77" t="n">
        <v>2022</v>
      </c>
      <c r="C406" s="77" t="inlineStr">
        <is>
          <t>medium</t>
        </is>
      </c>
      <c r="D406" s="77" t="inlineStr">
        <is>
          <t>E1</t>
        </is>
      </c>
      <c r="E406" s="77" t="inlineStr">
        <is>
          <t>CCL (main rate; CCA discount not modelled)</t>
        </is>
      </c>
      <c r="F406" s="77" t="inlineStr">
        <is>
          <t>5 General taxation &amp; levies</t>
        </is>
      </c>
      <c r="G406" s="77" t="inlineStr">
        <is>
          <t>climate levy (tax)</t>
        </is>
      </c>
      <c r="H406" s="77" t="inlineStr">
        <is>
          <t>i</t>
        </is>
      </c>
      <c r="I406" s="77">
        <f>IF(ISNUMBER(N406),N406*fx_deflator!$I$17*fx_deflator!$M$17,"")</f>
        <v/>
      </c>
      <c r="J406" s="77" t="inlineStr">
        <is>
          <t>HMRC Environmental Taxes Bulletin, historical rates Table 1</t>
        </is>
      </c>
      <c r="K406" s="77" t="inlineStr">
        <is>
          <t>stage4_uk r22</t>
        </is>
      </c>
      <c r="L406" s="77" t="inlineStr">
        <is>
          <t>2026-07-15</t>
        </is>
      </c>
      <c r="M406" s="77" t="inlineStr">
        <is>
          <t>N</t>
        </is>
      </c>
      <c r="N406" s="136">
        <f>IF(ISNUMBER(timeseries!P14),timeseries!P14,"")</f>
        <v/>
      </c>
      <c r="O406" s="77" t="inlineStr">
        <is>
          <t>GBP/MWh nominal</t>
        </is>
      </c>
    </row>
    <row r="407" ht="15" customHeight="1" s="78">
      <c r="A407" s="77" t="inlineStr">
        <is>
          <t>UK</t>
        </is>
      </c>
      <c r="B407" s="77" t="n">
        <v>2023</v>
      </c>
      <c r="C407" s="77" t="inlineStr">
        <is>
          <t>medium</t>
        </is>
      </c>
      <c r="D407" s="77" t="inlineStr">
        <is>
          <t>E1</t>
        </is>
      </c>
      <c r="E407" s="77" t="inlineStr">
        <is>
          <t>Wholesale (rolling year-ahead baseload; DA proxy &lt;=2021)</t>
        </is>
      </c>
      <c r="F407" s="77" t="inlineStr">
        <is>
          <t>1 Commodity</t>
        </is>
      </c>
      <c r="G407" s="77" t="inlineStr">
        <is>
          <t>wholesale market</t>
        </is>
      </c>
      <c r="H407" s="77" t="inlineStr">
        <is>
          <t>i</t>
        </is>
      </c>
      <c r="I407" s="77">
        <f>IF(ISNUMBER(N407),N407*fx_deflator!$I$18*fx_deflator!$M$18,"")</f>
        <v/>
      </c>
      <c r="J407" s="77" t="inlineStr">
        <is>
          <t>Ofgem data portal — DA baseload monthly avg (proxy &lt;=2021, D22); Forward Delivery Contracts (D21)</t>
        </is>
      </c>
      <c r="K407" s="77" t="inlineStr">
        <is>
          <t>stage4_uk r7-9</t>
        </is>
      </c>
      <c r="L407" s="77" t="inlineStr">
        <is>
          <t>2026-07-15</t>
        </is>
      </c>
      <c r="M407" s="77" t="inlineStr">
        <is>
          <t>Y</t>
        </is>
      </c>
      <c r="N407" s="136">
        <f>IF(ISNUMBER(timeseries!Q22),timeseries!Q22,"")</f>
        <v/>
      </c>
      <c r="O407" s="77" t="inlineStr">
        <is>
          <t>GBP/MWh nominal</t>
        </is>
      </c>
      <c r="P407" s="77" t="inlineStr">
        <is>
          <t>identical E1/E2; embedded carbon memo inside this item</t>
        </is>
      </c>
    </row>
    <row r="408" ht="15" customHeight="1" s="78">
      <c r="A408" s="77" t="inlineStr">
        <is>
          <t>UK</t>
        </is>
      </c>
      <c r="B408" s="77" t="n">
        <v>2023</v>
      </c>
      <c r="C408" s="77" t="inlineStr">
        <is>
          <t>medium</t>
        </is>
      </c>
      <c r="D408" s="77" t="inlineStr">
        <is>
          <t>E1</t>
        </is>
      </c>
      <c r="E408" s="77" t="inlineStr">
        <is>
          <t>TNUoS demand (zone 5; TCR banded residual from 2023)</t>
        </is>
      </c>
      <c r="F408" s="77" t="inlineStr">
        <is>
          <t>3 Network</t>
        </is>
      </c>
      <c r="G408" s="77" t="inlineStr">
        <is>
          <t>transmission network charge</t>
        </is>
      </c>
      <c r="H408" s="77" t="inlineStr">
        <is>
          <t>i</t>
        </is>
      </c>
      <c r="I408" s="77">
        <f>IF(ISNUMBER(N408),N408*fx_deflator!$I$18*fx_deflator!$M$18,"")</f>
        <v/>
      </c>
      <c r="J408" s="77" t="inlineStr">
        <is>
          <t>NESO TNUoS tariff documents (compendium doc 50736; Final TNUoS 2023/24-2026/27 Table 10)</t>
        </is>
      </c>
      <c r="K408" s="77" t="inlineStr">
        <is>
          <t>stage4_uk r25-27</t>
        </is>
      </c>
      <c r="L408" s="77" t="inlineStr">
        <is>
          <t>2026-07-15</t>
        </is>
      </c>
      <c r="M408" s="77" t="inlineStr">
        <is>
          <t>Y</t>
        </is>
      </c>
      <c r="N408" s="136">
        <f>IF(ISNUMBER(timeseries!Q23),timeseries!Q23,"")</f>
        <v/>
      </c>
      <c r="O408" s="77" t="inlineStr">
        <is>
          <t>GBP/MWh nominal</t>
        </is>
      </c>
    </row>
    <row r="409" ht="15" customHeight="1" s="78">
      <c r="A409" s="77" t="inlineStr">
        <is>
          <t>UK</t>
        </is>
      </c>
      <c r="B409" s="77" t="n">
        <v>2023</v>
      </c>
      <c r="C409" s="77" t="inlineStr">
        <is>
          <t>medium</t>
        </is>
      </c>
      <c r="D409" s="77" t="inlineStr">
        <is>
          <t>E1</t>
        </is>
      </c>
      <c r="E409" s="77" t="inlineStr">
        <is>
          <t>DUoS unit rates (NPg CDCM red/amber/green, uniform-operation weights)</t>
        </is>
      </c>
      <c r="F409" s="77" t="inlineStr">
        <is>
          <t>3 Network</t>
        </is>
      </c>
      <c r="G409" s="77" t="inlineStr">
        <is>
          <t>distribution network charge</t>
        </is>
      </c>
      <c r="H409" s="77" t="inlineStr">
        <is>
          <t>i</t>
        </is>
      </c>
      <c r="I409" s="77">
        <f>IF(ISNUMBER(N409),N409*fx_deflator!$I$18*fx_deflator!$M$18,"")</f>
        <v/>
      </c>
      <c r="J409" s="77" t="inlineStr">
        <is>
          <t>NPg (Yorkshire) LC14 CDCM statements; D28 reconstruction 2010-16</t>
        </is>
      </c>
      <c r="K409" s="77" t="inlineStr">
        <is>
          <t>stage4_uk r34-41</t>
        </is>
      </c>
      <c r="L409" s="77" t="inlineStr">
        <is>
          <t>2026-07-15</t>
        </is>
      </c>
      <c r="M409" s="77" t="inlineStr">
        <is>
          <t>Y</t>
        </is>
      </c>
      <c r="N409" s="136">
        <f>IF(ISNUMBER(timeseries!Q24),timeseries!Q24,"")</f>
        <v/>
      </c>
      <c r="O409" s="77" t="inlineStr">
        <is>
          <t>GBP/MWh nominal</t>
        </is>
      </c>
    </row>
    <row r="410" ht="15" customHeight="1" s="78">
      <c r="A410" s="77" t="inlineStr">
        <is>
          <t>UK</t>
        </is>
      </c>
      <c r="B410" s="77" t="n">
        <v>2023</v>
      </c>
      <c r="C410" s="77" t="inlineStr">
        <is>
          <t>medium</t>
        </is>
      </c>
      <c r="D410" s="77" t="inlineStr">
        <is>
          <t>E1</t>
        </is>
      </c>
      <c r="E410" s="77" t="inlineStr">
        <is>
          <t>DUoS fixed charge (TCR Band-4 residual from 2022/23)</t>
        </is>
      </c>
      <c r="F410" s="77" t="inlineStr">
        <is>
          <t>3 Network</t>
        </is>
      </c>
      <c r="G410" s="77" t="inlineStr">
        <is>
          <t>distribution network charge</t>
        </is>
      </c>
      <c r="H410" s="77" t="inlineStr">
        <is>
          <t>i</t>
        </is>
      </c>
      <c r="I410" s="77">
        <f>IF(ISNUMBER(N410),N410*fx_deflator!$I$18*fx_deflator!$M$18,"")</f>
        <v/>
      </c>
      <c r="J410" s="77" t="inlineStr">
        <is>
          <t>NPg (Yorkshire) LC14 CDCM statements; D28 reconstruction 2010-16</t>
        </is>
      </c>
      <c r="K410" s="77" t="inlineStr">
        <is>
          <t>stage4_uk r34-41</t>
        </is>
      </c>
      <c r="L410" s="77" t="inlineStr">
        <is>
          <t>2026-07-15</t>
        </is>
      </c>
      <c r="M410" s="77" t="inlineStr">
        <is>
          <t>Y</t>
        </is>
      </c>
      <c r="N410" s="136">
        <f>IF(ISNUMBER(timeseries!Q25),timeseries!Q25,"")</f>
        <v/>
      </c>
      <c r="O410" s="77" t="inlineStr">
        <is>
          <t>GBP/MWh nominal</t>
        </is>
      </c>
    </row>
    <row r="411" ht="15" customHeight="1" s="78">
      <c r="A411" s="77" t="inlineStr">
        <is>
          <t>UK</t>
        </is>
      </c>
      <c r="B411" s="77" t="n">
        <v>2023</v>
      </c>
      <c r="C411" s="77" t="inlineStr">
        <is>
          <t>medium</t>
        </is>
      </c>
      <c r="D411" s="77" t="inlineStr">
        <is>
          <t>E1</t>
        </is>
      </c>
      <c r="E411" s="77" t="inlineStr">
        <is>
          <t>DUoS capacity charge</t>
        </is>
      </c>
      <c r="F411" s="77" t="inlineStr">
        <is>
          <t>3 Network</t>
        </is>
      </c>
      <c r="G411" s="77" t="inlineStr">
        <is>
          <t>distribution network charge</t>
        </is>
      </c>
      <c r="H411" s="77" t="inlineStr">
        <is>
          <t>i</t>
        </is>
      </c>
      <c r="I411" s="77">
        <f>IF(ISNUMBER(N411),N411*fx_deflator!$I$18*fx_deflator!$M$18,"")</f>
        <v/>
      </c>
      <c r="J411" s="77" t="inlineStr">
        <is>
          <t>NPg (Yorkshire) LC14 CDCM statements; D28 reconstruction 2010-16</t>
        </is>
      </c>
      <c r="K411" s="77" t="inlineStr">
        <is>
          <t>stage4_uk r34-41</t>
        </is>
      </c>
      <c r="L411" s="77" t="inlineStr">
        <is>
          <t>2026-07-15</t>
        </is>
      </c>
      <c r="M411" s="77" t="inlineStr">
        <is>
          <t>Y</t>
        </is>
      </c>
      <c r="N411" s="136">
        <f>IF(ISNUMBER(timeseries!Q26),timeseries!Q26,"")</f>
        <v/>
      </c>
      <c r="O411" s="77" t="inlineStr">
        <is>
          <t>GBP/MWh nominal</t>
        </is>
      </c>
    </row>
    <row r="412" ht="15" customHeight="1" s="78">
      <c r="A412" s="77" t="inlineStr">
        <is>
          <t>UK</t>
        </is>
      </c>
      <c r="B412" s="77" t="n">
        <v>2023</v>
      </c>
      <c r="C412" s="77" t="inlineStr">
        <is>
          <t>medium</t>
        </is>
      </c>
      <c r="D412" s="77" t="inlineStr">
        <is>
          <t>E1</t>
        </is>
      </c>
      <c r="E412" s="77" t="inlineStr">
        <is>
          <t>BSUoS (demand-only from 04/2023)</t>
        </is>
      </c>
      <c r="F412" s="77" t="inlineStr">
        <is>
          <t>4 System services &amp; balancing</t>
        </is>
      </c>
      <c r="G412" s="77" t="inlineStr">
        <is>
          <t>balancing charge</t>
        </is>
      </c>
      <c r="H412" s="77" t="inlineStr">
        <is>
          <t>i</t>
        </is>
      </c>
      <c r="I412" s="77">
        <f>IF(ISNUMBER(N412),N412*fx_deflator!$I$18*fx_deflator!$M$18,"")</f>
        <v/>
      </c>
      <c r="J412" s="77" t="inlineStr">
        <is>
          <t>NESO bsuos-fixed-tariffs + HH RF settlement files (own annual avg 2010-22)</t>
        </is>
      </c>
      <c r="K412" s="77" t="inlineStr">
        <is>
          <t>stage4_uk r28-30</t>
        </is>
      </c>
      <c r="L412" s="77" t="inlineStr">
        <is>
          <t>2026-07-15</t>
        </is>
      </c>
      <c r="M412" s="77" t="inlineStr">
        <is>
          <t>Y</t>
        </is>
      </c>
      <c r="N412" s="77">
        <f>IF(ISNUMBER(timeseries!Q8),timeseries!Q8,"")</f>
        <v/>
      </c>
      <c r="O412" s="77" t="inlineStr">
        <is>
          <t>GBP/MWh nominal</t>
        </is>
      </c>
    </row>
    <row r="413" ht="15" customHeight="1" s="78">
      <c r="A413" s="77" t="inlineStr">
        <is>
          <t>UK</t>
        </is>
      </c>
      <c r="B413" s="77" t="n">
        <v>2023</v>
      </c>
      <c r="C413" s="77" t="inlineStr">
        <is>
          <t>medium</t>
        </is>
      </c>
      <c r="D413" s="77" t="inlineStr">
        <is>
          <t>E1</t>
        </is>
      </c>
      <c r="E413" s="77" t="inlineStr">
        <is>
          <t>AAHEDC</t>
        </is>
      </c>
      <c r="F413" s="77" t="inlineStr">
        <is>
          <t>3 Network</t>
        </is>
      </c>
      <c r="G413" s="77" t="inlineStr">
        <is>
          <t>network levy (hydro benefit)</t>
        </is>
      </c>
      <c r="H413" s="77" t="inlineStr">
        <is>
          <t>ii (pays cross-subsidy to N Scotland consumers)</t>
        </is>
      </c>
      <c r="I413" s="77">
        <f>IF(ISNUMBER(N413),N413*fx_deflator!$I$18*fx_deflator!$M$18,"")</f>
        <v/>
      </c>
      <c r="J413" s="77" t="inlineStr">
        <is>
          <t>NG/ESO AAHEDC charging statements &amp; final tariff letters</t>
        </is>
      </c>
      <c r="K413" s="77" t="inlineStr">
        <is>
          <t>stage4_uk r31</t>
        </is>
      </c>
      <c r="L413" s="77" t="inlineStr">
        <is>
          <t>2026-07-15</t>
        </is>
      </c>
      <c r="M413" s="77" t="inlineStr">
        <is>
          <t>N</t>
        </is>
      </c>
      <c r="N413" s="136">
        <f>IF(ISNUMBER(timeseries!Q9),timeseries!Q9,"")</f>
        <v/>
      </c>
      <c r="O413" s="77" t="inlineStr">
        <is>
          <t>GBP/MWh nominal</t>
        </is>
      </c>
      <c r="P413" s="77" t="inlineStr">
        <is>
          <t>not in NCC base (conservative, unverified)</t>
        </is>
      </c>
    </row>
    <row r="414" ht="15" customHeight="1" s="78">
      <c r="A414" s="77" t="inlineStr">
        <is>
          <t>UK</t>
        </is>
      </c>
      <c r="B414" s="77" t="n">
        <v>2023</v>
      </c>
      <c r="C414" s="77" t="inlineStr">
        <is>
          <t>medium</t>
        </is>
      </c>
      <c r="D414" s="77" t="inlineStr">
        <is>
          <t>E1</t>
        </is>
      </c>
      <c r="E414" s="77" t="inlineStr">
        <is>
          <t>RO (buy-out x obligation)</t>
        </is>
      </c>
      <c r="F414" s="77" t="inlineStr">
        <is>
          <t>2 Gen capital recovery</t>
        </is>
      </c>
      <c r="G414" s="77" t="inlineStr">
        <is>
          <t>renewables levy</t>
        </is>
      </c>
      <c r="H414" s="77" t="inlineStr">
        <is>
          <t>i</t>
        </is>
      </c>
      <c r="I414" s="77">
        <f>IF(ISNUMBER(N414),N414*fx_deflator!$I$18*fx_deflator!$M$18,"")</f>
        <v/>
      </c>
      <c r="J414" s="77" t="inlineStr">
        <is>
          <t>Ofgem RO guidance OFG1164 Table 1.1 (buy-out x obligation)</t>
        </is>
      </c>
      <c r="K414" s="77" t="inlineStr">
        <is>
          <t>stage4_uk r12-14</t>
        </is>
      </c>
      <c r="L414" s="77" t="inlineStr">
        <is>
          <t>2026-07-15</t>
        </is>
      </c>
      <c r="M414" s="77" t="inlineStr">
        <is>
          <t>Y</t>
        </is>
      </c>
      <c r="N414" s="136">
        <f>IF(ISNUMBER(timeseries!Q10),timeseries!Q10,"")</f>
        <v/>
      </c>
      <c r="O414" s="77" t="inlineStr">
        <is>
          <t>GBP/MWh nominal</t>
        </is>
      </c>
    </row>
    <row r="415" ht="15" customHeight="1" s="78">
      <c r="A415" s="77" t="inlineStr">
        <is>
          <t>UK</t>
        </is>
      </c>
      <c r="B415" s="77" t="n">
        <v>2023</v>
      </c>
      <c r="C415" s="77" t="inlineStr">
        <is>
          <t>medium</t>
        </is>
      </c>
      <c r="D415" s="77" t="inlineStr">
        <is>
          <t>E1</t>
        </is>
      </c>
      <c r="E415" s="77" t="inlineStr">
        <is>
          <t>CfD Interim Levy Rate (annual avg)</t>
        </is>
      </c>
      <c r="F415" s="77" t="inlineStr">
        <is>
          <t>2 Gen capital recovery</t>
        </is>
      </c>
      <c r="G415" s="77" t="inlineStr">
        <is>
          <t>renewables levy</t>
        </is>
      </c>
      <c r="H415" s="77" t="inlineStr">
        <is>
          <t>i</t>
        </is>
      </c>
      <c r="I415" s="77">
        <f>IF(ISNUMBER(N415),N415*fx_deflator!$I$18*fx_deflator!$M$18,"")</f>
        <v/>
      </c>
      <c r="J415" s="77" t="inlineStr">
        <is>
          <t>LCCC Actual ILR Income dataset (quarterly avg)</t>
        </is>
      </c>
      <c r="K415" s="77" t="inlineStr">
        <is>
          <t>stage4_uk r15-19</t>
        </is>
      </c>
      <c r="L415" s="77" t="inlineStr">
        <is>
          <t>2026-07-15</t>
        </is>
      </c>
      <c r="M415" s="77" t="inlineStr">
        <is>
          <t>Y</t>
        </is>
      </c>
      <c r="N415" s="136">
        <f>IF(ISNUMBER(timeseries!Q11),timeseries!Q11,"")</f>
        <v/>
      </c>
      <c r="O415" s="77" t="inlineStr">
        <is>
          <t>GBP/MWh nominal</t>
        </is>
      </c>
    </row>
    <row r="416" ht="15" customHeight="1" s="78">
      <c r="A416" s="77" t="inlineStr">
        <is>
          <t>UK</t>
        </is>
      </c>
      <c r="B416" s="77" t="n">
        <v>2023</v>
      </c>
      <c r="C416" s="77" t="inlineStr">
        <is>
          <t>medium</t>
        </is>
      </c>
      <c r="D416" s="77" t="inlineStr">
        <is>
          <t>E1</t>
        </is>
      </c>
      <c r="E416" s="77" t="inlineStr">
        <is>
          <t>FiT levelisation</t>
        </is>
      </c>
      <c r="F416" s="77" t="inlineStr">
        <is>
          <t>2 Gen capital recovery</t>
        </is>
      </c>
      <c r="G416" s="77" t="inlineStr">
        <is>
          <t>renewables levy</t>
        </is>
      </c>
      <c r="H416" s="77" t="inlineStr">
        <is>
          <t>i</t>
        </is>
      </c>
      <c r="I416" s="77">
        <f>IF(ISNUMBER(N416),N416*fx_deflator!$I$18*fx_deflator!$M$18,"")</f>
        <v/>
      </c>
      <c r="J416" s="77" t="inlineStr">
        <is>
          <t>Ofgem FIT Annual Reports SY1-SY15; D27 for 2010-14</t>
        </is>
      </c>
      <c r="K416" s="77" t="inlineStr">
        <is>
          <t>stage4_uk r20</t>
        </is>
      </c>
      <c r="L416" s="77" t="inlineStr">
        <is>
          <t>2026-07-15</t>
        </is>
      </c>
      <c r="M416" s="77" t="inlineStr">
        <is>
          <t>Y</t>
        </is>
      </c>
      <c r="N416" s="77">
        <f>IF(ISNUMBER(timeseries!Q12),timeseries!Q12,"")</f>
        <v/>
      </c>
      <c r="O416" s="77" t="inlineStr">
        <is>
          <t>GBP/MWh nominal</t>
        </is>
      </c>
      <c r="P416" s="77" t="inlineStr">
        <is>
          <t>2025 unpublished (Q32) — row absent, gap stated</t>
        </is>
      </c>
    </row>
    <row r="417" ht="15" customHeight="1" s="78">
      <c r="A417" s="77" t="inlineStr">
        <is>
          <t>UK</t>
        </is>
      </c>
      <c r="B417" s="77" t="n">
        <v>2023</v>
      </c>
      <c r="C417" s="77" t="inlineStr">
        <is>
          <t>medium</t>
        </is>
      </c>
      <c r="D417" s="77" t="inlineStr">
        <is>
          <t>E1</t>
        </is>
      </c>
      <c r="E417" s="77" t="inlineStr">
        <is>
          <t>Capacity Market (derived per-MWh)</t>
        </is>
      </c>
      <c r="F417" s="77" t="inlineStr">
        <is>
          <t>2 Gen capital recovery</t>
        </is>
      </c>
      <c r="G417" s="77" t="inlineStr">
        <is>
          <t>capacity market levy</t>
        </is>
      </c>
      <c r="H417" s="77" t="inlineStr">
        <is>
          <t>i</t>
        </is>
      </c>
      <c r="I417" s="77">
        <f>IF(ISNUMBER(N417),N417*fx_deflator!$I$18*fx_deflator!$M$18,"")</f>
        <v/>
      </c>
      <c r="J417" s="77" t="inlineStr">
        <is>
          <t>EMRS Key Figures for Payments (derived per-MWh, D30)</t>
        </is>
      </c>
      <c r="K417" s="77" t="inlineStr">
        <is>
          <t>stage4_uk r21</t>
        </is>
      </c>
      <c r="L417" s="77" t="inlineStr">
        <is>
          <t>2026-07-15</t>
        </is>
      </c>
      <c r="M417" s="77" t="inlineStr">
        <is>
          <t>Y</t>
        </is>
      </c>
      <c r="N417" s="77">
        <f>IF(ISNUMBER(timeseries!Q13),timeseries!Q13,"")</f>
        <v/>
      </c>
      <c r="O417" s="77" t="inlineStr">
        <is>
          <t>GBP/MWh nominal</t>
        </is>
      </c>
      <c r="P417" s="77" t="inlineStr">
        <is>
          <t>function 2 per D9</t>
        </is>
      </c>
    </row>
    <row r="418" ht="15" customHeight="1" s="78">
      <c r="A418" s="77" t="inlineStr">
        <is>
          <t>UK</t>
        </is>
      </c>
      <c r="B418" s="77" t="n">
        <v>2023</v>
      </c>
      <c r="C418" s="77" t="inlineStr">
        <is>
          <t>medium</t>
        </is>
      </c>
      <c r="D418" s="77" t="inlineStr">
        <is>
          <t>E1</t>
        </is>
      </c>
      <c r="E418" s="77" t="inlineStr">
        <is>
          <t>CCL (main rate; CCA discount not modelled)</t>
        </is>
      </c>
      <c r="F418" s="77" t="inlineStr">
        <is>
          <t>5 General taxation &amp; levies</t>
        </is>
      </c>
      <c r="G418" s="77" t="inlineStr">
        <is>
          <t>climate levy (tax)</t>
        </is>
      </c>
      <c r="H418" s="77" t="inlineStr">
        <is>
          <t>i</t>
        </is>
      </c>
      <c r="I418" s="77">
        <f>IF(ISNUMBER(N418),N418*fx_deflator!$I$18*fx_deflator!$M$18,"")</f>
        <v/>
      </c>
      <c r="J418" s="77" t="inlineStr">
        <is>
          <t>HMRC Environmental Taxes Bulletin, historical rates Table 1</t>
        </is>
      </c>
      <c r="K418" s="77" t="inlineStr">
        <is>
          <t>stage4_uk r22</t>
        </is>
      </c>
      <c r="L418" s="77" t="inlineStr">
        <is>
          <t>2026-07-15</t>
        </is>
      </c>
      <c r="M418" s="77" t="inlineStr">
        <is>
          <t>N</t>
        </is>
      </c>
      <c r="N418" s="136">
        <f>IF(ISNUMBER(timeseries!Q14),timeseries!Q14,"")</f>
        <v/>
      </c>
      <c r="O418" s="77" t="inlineStr">
        <is>
          <t>GBP/MWh nominal</t>
        </is>
      </c>
    </row>
    <row r="419" ht="15" customHeight="1" s="78">
      <c r="A419" s="77" t="inlineStr">
        <is>
          <t>UK</t>
        </is>
      </c>
      <c r="B419" s="77" t="n">
        <v>2024</v>
      </c>
      <c r="C419" s="77" t="inlineStr">
        <is>
          <t>medium</t>
        </is>
      </c>
      <c r="D419" s="77" t="inlineStr">
        <is>
          <t>E1</t>
        </is>
      </c>
      <c r="E419" s="77" t="inlineStr">
        <is>
          <t>Wholesale (rolling year-ahead baseload; DA proxy &lt;=2021)</t>
        </is>
      </c>
      <c r="F419" s="77" t="inlineStr">
        <is>
          <t>1 Commodity</t>
        </is>
      </c>
      <c r="G419" s="77" t="inlineStr">
        <is>
          <t>wholesale market</t>
        </is>
      </c>
      <c r="H419" s="77" t="inlineStr">
        <is>
          <t>i</t>
        </is>
      </c>
      <c r="I419" s="77">
        <f>IF(ISNUMBER(N419),N419*fx_deflator!$I$19*fx_deflator!$M$19,"")</f>
        <v/>
      </c>
      <c r="J419" s="77" t="inlineStr">
        <is>
          <t>Ofgem data portal — DA baseload monthly avg (proxy &lt;=2021, D22); Forward Delivery Contracts (D21)</t>
        </is>
      </c>
      <c r="K419" s="77" t="inlineStr">
        <is>
          <t>stage4_uk r7-9</t>
        </is>
      </c>
      <c r="L419" s="77" t="inlineStr">
        <is>
          <t>2026-07-15</t>
        </is>
      </c>
      <c r="M419" s="77" t="inlineStr">
        <is>
          <t>Y</t>
        </is>
      </c>
      <c r="N419" s="136">
        <f>IF(ISNUMBER(timeseries!R22),timeseries!R22,"")</f>
        <v/>
      </c>
      <c r="O419" s="77" t="inlineStr">
        <is>
          <t>GBP/MWh nominal</t>
        </is>
      </c>
      <c r="P419" s="77" t="inlineStr">
        <is>
          <t>identical E1/E2; embedded carbon memo inside this item</t>
        </is>
      </c>
    </row>
    <row r="420" ht="15" customHeight="1" s="78">
      <c r="A420" s="77" t="inlineStr">
        <is>
          <t>UK</t>
        </is>
      </c>
      <c r="B420" s="77" t="n">
        <v>2024</v>
      </c>
      <c r="C420" s="77" t="inlineStr">
        <is>
          <t>medium</t>
        </is>
      </c>
      <c r="D420" s="77" t="inlineStr">
        <is>
          <t>E1</t>
        </is>
      </c>
      <c r="E420" s="77" t="inlineStr">
        <is>
          <t>TNUoS demand (zone 5; TCR banded residual from 2023)</t>
        </is>
      </c>
      <c r="F420" s="77" t="inlineStr">
        <is>
          <t>3 Network</t>
        </is>
      </c>
      <c r="G420" s="77" t="inlineStr">
        <is>
          <t>transmission network charge</t>
        </is>
      </c>
      <c r="H420" s="77" t="inlineStr">
        <is>
          <t>i</t>
        </is>
      </c>
      <c r="I420" s="77">
        <f>IF(ISNUMBER(N420),N420*fx_deflator!$I$19*fx_deflator!$M$19,"")</f>
        <v/>
      </c>
      <c r="J420" s="77" t="inlineStr">
        <is>
          <t>NESO TNUoS tariff documents (compendium doc 50736; Final TNUoS 2023/24-2026/27 Table 10)</t>
        </is>
      </c>
      <c r="K420" s="77" t="inlineStr">
        <is>
          <t>stage4_uk r25-27</t>
        </is>
      </c>
      <c r="L420" s="77" t="inlineStr">
        <is>
          <t>2026-07-15</t>
        </is>
      </c>
      <c r="M420" s="77" t="inlineStr">
        <is>
          <t>Y</t>
        </is>
      </c>
      <c r="N420" s="136">
        <f>IF(ISNUMBER(timeseries!R23),timeseries!R23,"")</f>
        <v/>
      </c>
      <c r="O420" s="77" t="inlineStr">
        <is>
          <t>GBP/MWh nominal</t>
        </is>
      </c>
    </row>
    <row r="421" ht="15" customHeight="1" s="78">
      <c r="A421" s="77" t="inlineStr">
        <is>
          <t>UK</t>
        </is>
      </c>
      <c r="B421" s="77" t="n">
        <v>2024</v>
      </c>
      <c r="C421" s="77" t="inlineStr">
        <is>
          <t>medium</t>
        </is>
      </c>
      <c r="D421" s="77" t="inlineStr">
        <is>
          <t>E1</t>
        </is>
      </c>
      <c r="E421" s="77" t="inlineStr">
        <is>
          <t>DUoS unit rates (NPg CDCM red/amber/green, uniform-operation weights)</t>
        </is>
      </c>
      <c r="F421" s="77" t="inlineStr">
        <is>
          <t>3 Network</t>
        </is>
      </c>
      <c r="G421" s="77" t="inlineStr">
        <is>
          <t>distribution network charge</t>
        </is>
      </c>
      <c r="H421" s="77" t="inlineStr">
        <is>
          <t>i</t>
        </is>
      </c>
      <c r="I421" s="77">
        <f>IF(ISNUMBER(N421),N421*fx_deflator!$I$19*fx_deflator!$M$19,"")</f>
        <v/>
      </c>
      <c r="J421" s="77" t="inlineStr">
        <is>
          <t>NPg (Yorkshire) LC14 CDCM statements; D28 reconstruction 2010-16</t>
        </is>
      </c>
      <c r="K421" s="77" t="inlineStr">
        <is>
          <t>stage4_uk r34-41</t>
        </is>
      </c>
      <c r="L421" s="77" t="inlineStr">
        <is>
          <t>2026-07-15</t>
        </is>
      </c>
      <c r="M421" s="77" t="inlineStr">
        <is>
          <t>Y</t>
        </is>
      </c>
      <c r="N421" s="136">
        <f>IF(ISNUMBER(timeseries!R24),timeseries!R24,"")</f>
        <v/>
      </c>
      <c r="O421" s="77" t="inlineStr">
        <is>
          <t>GBP/MWh nominal</t>
        </is>
      </c>
    </row>
    <row r="422" ht="15" customHeight="1" s="78">
      <c r="A422" s="77" t="inlineStr">
        <is>
          <t>UK</t>
        </is>
      </c>
      <c r="B422" s="77" t="n">
        <v>2024</v>
      </c>
      <c r="C422" s="77" t="inlineStr">
        <is>
          <t>medium</t>
        </is>
      </c>
      <c r="D422" s="77" t="inlineStr">
        <is>
          <t>E1</t>
        </is>
      </c>
      <c r="E422" s="77" t="inlineStr">
        <is>
          <t>DUoS fixed charge (TCR Band-4 residual from 2022/23)</t>
        </is>
      </c>
      <c r="F422" s="77" t="inlineStr">
        <is>
          <t>3 Network</t>
        </is>
      </c>
      <c r="G422" s="77" t="inlineStr">
        <is>
          <t>distribution network charge</t>
        </is>
      </c>
      <c r="H422" s="77" t="inlineStr">
        <is>
          <t>i</t>
        </is>
      </c>
      <c r="I422" s="77">
        <f>IF(ISNUMBER(N422),N422*fx_deflator!$I$19*fx_deflator!$M$19,"")</f>
        <v/>
      </c>
      <c r="J422" s="77" t="inlineStr">
        <is>
          <t>NPg (Yorkshire) LC14 CDCM statements; D28 reconstruction 2010-16</t>
        </is>
      </c>
      <c r="K422" s="77" t="inlineStr">
        <is>
          <t>stage4_uk r34-41</t>
        </is>
      </c>
      <c r="L422" s="77" t="inlineStr">
        <is>
          <t>2026-07-15</t>
        </is>
      </c>
      <c r="M422" s="77" t="inlineStr">
        <is>
          <t>Y</t>
        </is>
      </c>
      <c r="N422" s="136">
        <f>IF(ISNUMBER(timeseries!R25),timeseries!R25,"")</f>
        <v/>
      </c>
      <c r="O422" s="77" t="inlineStr">
        <is>
          <t>GBP/MWh nominal</t>
        </is>
      </c>
    </row>
    <row r="423" ht="15" customHeight="1" s="78">
      <c r="A423" s="77" t="inlineStr">
        <is>
          <t>UK</t>
        </is>
      </c>
      <c r="B423" s="77" t="n">
        <v>2024</v>
      </c>
      <c r="C423" s="77" t="inlineStr">
        <is>
          <t>medium</t>
        </is>
      </c>
      <c r="D423" s="77" t="inlineStr">
        <is>
          <t>E1</t>
        </is>
      </c>
      <c r="E423" s="77" t="inlineStr">
        <is>
          <t>DUoS capacity charge</t>
        </is>
      </c>
      <c r="F423" s="77" t="inlineStr">
        <is>
          <t>3 Network</t>
        </is>
      </c>
      <c r="G423" s="77" t="inlineStr">
        <is>
          <t>distribution network charge</t>
        </is>
      </c>
      <c r="H423" s="77" t="inlineStr">
        <is>
          <t>i</t>
        </is>
      </c>
      <c r="I423" s="77">
        <f>IF(ISNUMBER(N423),N423*fx_deflator!$I$19*fx_deflator!$M$19,"")</f>
        <v/>
      </c>
      <c r="J423" s="77" t="inlineStr">
        <is>
          <t>NPg (Yorkshire) LC14 CDCM statements; D28 reconstruction 2010-16</t>
        </is>
      </c>
      <c r="K423" s="77" t="inlineStr">
        <is>
          <t>stage4_uk r34-41</t>
        </is>
      </c>
      <c r="L423" s="77" t="inlineStr">
        <is>
          <t>2026-07-15</t>
        </is>
      </c>
      <c r="M423" s="77" t="inlineStr">
        <is>
          <t>Y</t>
        </is>
      </c>
      <c r="N423" s="136">
        <f>IF(ISNUMBER(timeseries!R26),timeseries!R26,"")</f>
        <v/>
      </c>
      <c r="O423" s="77" t="inlineStr">
        <is>
          <t>GBP/MWh nominal</t>
        </is>
      </c>
    </row>
    <row r="424" ht="15" customHeight="1" s="78">
      <c r="A424" s="77" t="inlineStr">
        <is>
          <t>UK</t>
        </is>
      </c>
      <c r="B424" s="77" t="n">
        <v>2024</v>
      </c>
      <c r="C424" s="77" t="inlineStr">
        <is>
          <t>medium</t>
        </is>
      </c>
      <c r="D424" s="77" t="inlineStr">
        <is>
          <t>E1</t>
        </is>
      </c>
      <c r="E424" s="77" t="inlineStr">
        <is>
          <t>BSUoS (demand-only from 04/2023)</t>
        </is>
      </c>
      <c r="F424" s="77" t="inlineStr">
        <is>
          <t>4 System services &amp; balancing</t>
        </is>
      </c>
      <c r="G424" s="77" t="inlineStr">
        <is>
          <t>balancing charge</t>
        </is>
      </c>
      <c r="H424" s="77" t="inlineStr">
        <is>
          <t>i</t>
        </is>
      </c>
      <c r="I424" s="77">
        <f>IF(ISNUMBER(N424),N424*fx_deflator!$I$19*fx_deflator!$M$19,"")</f>
        <v/>
      </c>
      <c r="J424" s="77" t="inlineStr">
        <is>
          <t>NESO bsuos-fixed-tariffs + HH RF settlement files (own annual avg 2010-22)</t>
        </is>
      </c>
      <c r="K424" s="77" t="inlineStr">
        <is>
          <t>stage4_uk r28-30</t>
        </is>
      </c>
      <c r="L424" s="77" t="inlineStr">
        <is>
          <t>2026-07-15</t>
        </is>
      </c>
      <c r="M424" s="77" t="inlineStr">
        <is>
          <t>Y</t>
        </is>
      </c>
      <c r="N424" s="136">
        <f>IF(ISNUMBER(timeseries!R8),timeseries!R8,"")</f>
        <v/>
      </c>
      <c r="O424" s="77" t="inlineStr">
        <is>
          <t>GBP/MWh nominal</t>
        </is>
      </c>
    </row>
    <row r="425" ht="15" customHeight="1" s="78">
      <c r="A425" s="77" t="inlineStr">
        <is>
          <t>UK</t>
        </is>
      </c>
      <c r="B425" s="77" t="n">
        <v>2024</v>
      </c>
      <c r="C425" s="77" t="inlineStr">
        <is>
          <t>medium</t>
        </is>
      </c>
      <c r="D425" s="77" t="inlineStr">
        <is>
          <t>E1</t>
        </is>
      </c>
      <c r="E425" s="77" t="inlineStr">
        <is>
          <t>AAHEDC</t>
        </is>
      </c>
      <c r="F425" s="77" t="inlineStr">
        <is>
          <t>3 Network</t>
        </is>
      </c>
      <c r="G425" s="77" t="inlineStr">
        <is>
          <t>network levy (hydro benefit)</t>
        </is>
      </c>
      <c r="H425" s="77" t="inlineStr">
        <is>
          <t>ii (pays cross-subsidy to N Scotland consumers)</t>
        </is>
      </c>
      <c r="I425" s="77">
        <f>IF(ISNUMBER(N425),N425*fx_deflator!$I$19*fx_deflator!$M$19,"")</f>
        <v/>
      </c>
      <c r="J425" s="77" t="inlineStr">
        <is>
          <t>NG/ESO AAHEDC charging statements &amp; final tariff letters</t>
        </is>
      </c>
      <c r="K425" s="77" t="inlineStr">
        <is>
          <t>stage4_uk r31</t>
        </is>
      </c>
      <c r="L425" s="77" t="inlineStr">
        <is>
          <t>2026-07-15</t>
        </is>
      </c>
      <c r="M425" s="77" t="inlineStr">
        <is>
          <t>N</t>
        </is>
      </c>
      <c r="N425" s="136">
        <f>IF(ISNUMBER(timeseries!R9),timeseries!R9,"")</f>
        <v/>
      </c>
      <c r="O425" s="77" t="inlineStr">
        <is>
          <t>GBP/MWh nominal</t>
        </is>
      </c>
      <c r="P425" s="77" t="inlineStr">
        <is>
          <t>not in NCC base (conservative, unverified)</t>
        </is>
      </c>
    </row>
    <row r="426" ht="15" customHeight="1" s="78">
      <c r="A426" s="77" t="inlineStr">
        <is>
          <t>UK</t>
        </is>
      </c>
      <c r="B426" s="77" t="n">
        <v>2024</v>
      </c>
      <c r="C426" s="77" t="inlineStr">
        <is>
          <t>medium</t>
        </is>
      </c>
      <c r="D426" s="77" t="inlineStr">
        <is>
          <t>E1</t>
        </is>
      </c>
      <c r="E426" s="77" t="inlineStr">
        <is>
          <t>RO (buy-out x obligation)</t>
        </is>
      </c>
      <c r="F426" s="77" t="inlineStr">
        <is>
          <t>2 Gen capital recovery</t>
        </is>
      </c>
      <c r="G426" s="77" t="inlineStr">
        <is>
          <t>renewables levy</t>
        </is>
      </c>
      <c r="H426" s="77" t="inlineStr">
        <is>
          <t>i</t>
        </is>
      </c>
      <c r="I426" s="77">
        <f>IF(ISNUMBER(N426),N426*fx_deflator!$I$19*fx_deflator!$M$19,"")</f>
        <v/>
      </c>
      <c r="J426" s="77" t="inlineStr">
        <is>
          <t>Ofgem RO guidance OFG1164 Table 1.1 (buy-out x obligation)</t>
        </is>
      </c>
      <c r="K426" s="77" t="inlineStr">
        <is>
          <t>stage4_uk r12-14</t>
        </is>
      </c>
      <c r="L426" s="77" t="inlineStr">
        <is>
          <t>2026-07-15</t>
        </is>
      </c>
      <c r="M426" s="77" t="inlineStr">
        <is>
          <t>Y</t>
        </is>
      </c>
      <c r="N426" s="136">
        <f>IF(ISNUMBER(timeseries!R10),timeseries!R10,"")</f>
        <v/>
      </c>
      <c r="O426" s="77" t="inlineStr">
        <is>
          <t>GBP/MWh nominal</t>
        </is>
      </c>
    </row>
    <row r="427" ht="15" customHeight="1" s="78">
      <c r="A427" s="77" t="inlineStr">
        <is>
          <t>UK</t>
        </is>
      </c>
      <c r="B427" s="77" t="n">
        <v>2024</v>
      </c>
      <c r="C427" s="77" t="inlineStr">
        <is>
          <t>medium</t>
        </is>
      </c>
      <c r="D427" s="77" t="inlineStr">
        <is>
          <t>E1</t>
        </is>
      </c>
      <c r="E427" s="77" t="inlineStr">
        <is>
          <t>CfD Interim Levy Rate (annual avg)</t>
        </is>
      </c>
      <c r="F427" s="77" t="inlineStr">
        <is>
          <t>2 Gen capital recovery</t>
        </is>
      </c>
      <c r="G427" s="77" t="inlineStr">
        <is>
          <t>renewables levy</t>
        </is>
      </c>
      <c r="H427" s="77" t="inlineStr">
        <is>
          <t>i</t>
        </is>
      </c>
      <c r="I427" s="77">
        <f>IF(ISNUMBER(N427),N427*fx_deflator!$I$19*fx_deflator!$M$19,"")</f>
        <v/>
      </c>
      <c r="J427" s="77" t="inlineStr">
        <is>
          <t>LCCC Actual ILR Income dataset (quarterly avg)</t>
        </is>
      </c>
      <c r="K427" s="77" t="inlineStr">
        <is>
          <t>stage4_uk r15-19</t>
        </is>
      </c>
      <c r="L427" s="77" t="inlineStr">
        <is>
          <t>2026-07-15</t>
        </is>
      </c>
      <c r="M427" s="77" t="inlineStr">
        <is>
          <t>Y</t>
        </is>
      </c>
      <c r="N427" s="136">
        <f>IF(ISNUMBER(timeseries!R11),timeseries!R11,"")</f>
        <v/>
      </c>
      <c r="O427" s="77" t="inlineStr">
        <is>
          <t>GBP/MWh nominal</t>
        </is>
      </c>
    </row>
    <row r="428" ht="15" customHeight="1" s="78">
      <c r="A428" s="77" t="inlineStr">
        <is>
          <t>UK</t>
        </is>
      </c>
      <c r="B428" s="77" t="n">
        <v>2024</v>
      </c>
      <c r="C428" s="77" t="inlineStr">
        <is>
          <t>medium</t>
        </is>
      </c>
      <c r="D428" s="77" t="inlineStr">
        <is>
          <t>E1</t>
        </is>
      </c>
      <c r="E428" s="77" t="inlineStr">
        <is>
          <t>FiT levelisation</t>
        </is>
      </c>
      <c r="F428" s="77" t="inlineStr">
        <is>
          <t>2 Gen capital recovery</t>
        </is>
      </c>
      <c r="G428" s="77" t="inlineStr">
        <is>
          <t>renewables levy</t>
        </is>
      </c>
      <c r="H428" s="77" t="inlineStr">
        <is>
          <t>i</t>
        </is>
      </c>
      <c r="I428" s="77">
        <f>IF(ISNUMBER(N428),N428*fx_deflator!$I$19*fx_deflator!$M$19,"")</f>
        <v/>
      </c>
      <c r="J428" s="77" t="inlineStr">
        <is>
          <t>Ofgem FIT Annual Reports SY1-SY15; D27 for 2010-14</t>
        </is>
      </c>
      <c r="K428" s="77" t="inlineStr">
        <is>
          <t>stage4_uk r20</t>
        </is>
      </c>
      <c r="L428" s="77" t="inlineStr">
        <is>
          <t>2026-07-15</t>
        </is>
      </c>
      <c r="M428" s="77" t="inlineStr">
        <is>
          <t>Y</t>
        </is>
      </c>
      <c r="N428" s="77">
        <f>IF(ISNUMBER(timeseries!R12),timeseries!R12,"")</f>
        <v/>
      </c>
      <c r="O428" s="77" t="inlineStr">
        <is>
          <t>GBP/MWh nominal</t>
        </is>
      </c>
      <c r="P428" s="77" t="inlineStr">
        <is>
          <t>2025 unpublished (Q32) — row absent, gap stated</t>
        </is>
      </c>
    </row>
    <row r="429" ht="15" customHeight="1" s="78">
      <c r="A429" s="77" t="inlineStr">
        <is>
          <t>UK</t>
        </is>
      </c>
      <c r="B429" s="77" t="n">
        <v>2024</v>
      </c>
      <c r="C429" s="77" t="inlineStr">
        <is>
          <t>medium</t>
        </is>
      </c>
      <c r="D429" s="77" t="inlineStr">
        <is>
          <t>E1</t>
        </is>
      </c>
      <c r="E429" s="77" t="inlineStr">
        <is>
          <t>Capacity Market (derived per-MWh)</t>
        </is>
      </c>
      <c r="F429" s="77" t="inlineStr">
        <is>
          <t>2 Gen capital recovery</t>
        </is>
      </c>
      <c r="G429" s="77" t="inlineStr">
        <is>
          <t>capacity market levy</t>
        </is>
      </c>
      <c r="H429" s="77" t="inlineStr">
        <is>
          <t>i</t>
        </is>
      </c>
      <c r="I429" s="77">
        <f>IF(ISNUMBER(N429),N429*fx_deflator!$I$19*fx_deflator!$M$19,"")</f>
        <v/>
      </c>
      <c r="J429" s="77" t="inlineStr">
        <is>
          <t>EMRS Key Figures for Payments (derived per-MWh, D30)</t>
        </is>
      </c>
      <c r="K429" s="77" t="inlineStr">
        <is>
          <t>stage4_uk r21</t>
        </is>
      </c>
      <c r="L429" s="77" t="inlineStr">
        <is>
          <t>2026-07-15</t>
        </is>
      </c>
      <c r="M429" s="77" t="inlineStr">
        <is>
          <t>Y</t>
        </is>
      </c>
      <c r="N429" s="77">
        <f>IF(ISNUMBER(timeseries!R13),timeseries!R13,"")</f>
        <v/>
      </c>
      <c r="O429" s="77" t="inlineStr">
        <is>
          <t>GBP/MWh nominal</t>
        </is>
      </c>
      <c r="P429" s="77" t="inlineStr">
        <is>
          <t>function 2 per D9</t>
        </is>
      </c>
    </row>
    <row r="430" ht="15" customHeight="1" s="78">
      <c r="A430" s="77" t="inlineStr">
        <is>
          <t>UK</t>
        </is>
      </c>
      <c r="B430" s="77" t="n">
        <v>2024</v>
      </c>
      <c r="C430" s="77" t="inlineStr">
        <is>
          <t>medium</t>
        </is>
      </c>
      <c r="D430" s="77" t="inlineStr">
        <is>
          <t>E1</t>
        </is>
      </c>
      <c r="E430" s="77" t="inlineStr">
        <is>
          <t>CCL (main rate; CCA discount not modelled)</t>
        </is>
      </c>
      <c r="F430" s="77" t="inlineStr">
        <is>
          <t>5 General taxation &amp; levies</t>
        </is>
      </c>
      <c r="G430" s="77" t="inlineStr">
        <is>
          <t>climate levy (tax)</t>
        </is>
      </c>
      <c r="H430" s="77" t="inlineStr">
        <is>
          <t>i</t>
        </is>
      </c>
      <c r="I430" s="77">
        <f>IF(ISNUMBER(N430),N430*fx_deflator!$I$19*fx_deflator!$M$19,"")</f>
        <v/>
      </c>
      <c r="J430" s="77" t="inlineStr">
        <is>
          <t>HMRC Environmental Taxes Bulletin, historical rates Table 1</t>
        </is>
      </c>
      <c r="K430" s="77" t="inlineStr">
        <is>
          <t>stage4_uk r22</t>
        </is>
      </c>
      <c r="L430" s="77" t="inlineStr">
        <is>
          <t>2026-07-15</t>
        </is>
      </c>
      <c r="M430" s="77" t="inlineStr">
        <is>
          <t>N</t>
        </is>
      </c>
      <c r="N430" s="136">
        <f>IF(ISNUMBER(timeseries!R14),timeseries!R14,"")</f>
        <v/>
      </c>
      <c r="O430" s="77" t="inlineStr">
        <is>
          <t>GBP/MWh nominal</t>
        </is>
      </c>
    </row>
    <row r="431" ht="15" customHeight="1" s="78">
      <c r="A431" s="77" t="inlineStr">
        <is>
          <t>UK</t>
        </is>
      </c>
      <c r="B431" s="77" t="n">
        <v>2025</v>
      </c>
      <c r="C431" s="77" t="inlineStr">
        <is>
          <t>medium</t>
        </is>
      </c>
      <c r="D431" s="77" t="inlineStr">
        <is>
          <t>E1</t>
        </is>
      </c>
      <c r="E431" s="77" t="inlineStr">
        <is>
          <t>Wholesale (rolling year-ahead baseload; DA proxy &lt;=2021)</t>
        </is>
      </c>
      <c r="F431" s="77" t="inlineStr">
        <is>
          <t>1 Commodity</t>
        </is>
      </c>
      <c r="G431" s="77" t="inlineStr">
        <is>
          <t>wholesale market</t>
        </is>
      </c>
      <c r="H431" s="77" t="inlineStr">
        <is>
          <t>i</t>
        </is>
      </c>
      <c r="I431" s="77">
        <f>IF(ISNUMBER(N431),N431*fx_deflator!$I$20*fx_deflator!$M$20,"")</f>
        <v/>
      </c>
      <c r="J431" s="77" t="inlineStr">
        <is>
          <t>Ofgem data portal — DA baseload monthly avg (proxy &lt;=2021, D22); Forward Delivery Contracts (D21)</t>
        </is>
      </c>
      <c r="K431" s="77" t="inlineStr">
        <is>
          <t>stage4_uk r7-9</t>
        </is>
      </c>
      <c r="L431" s="77" t="inlineStr">
        <is>
          <t>2026-07-15</t>
        </is>
      </c>
      <c r="M431" s="77" t="inlineStr">
        <is>
          <t>Y</t>
        </is>
      </c>
      <c r="N431" s="136">
        <f>IF(ISNUMBER(timeseries!S22),timeseries!S22,"")</f>
        <v/>
      </c>
      <c r="O431" s="77" t="inlineStr">
        <is>
          <t>GBP/MWh nominal</t>
        </is>
      </c>
      <c r="P431" s="77" t="inlineStr">
        <is>
          <t>identical E1/E2; embedded carbon memo inside this item</t>
        </is>
      </c>
    </row>
    <row r="432" ht="15" customHeight="1" s="78">
      <c r="A432" s="77" t="inlineStr">
        <is>
          <t>UK</t>
        </is>
      </c>
      <c r="B432" s="77" t="n">
        <v>2025</v>
      </c>
      <c r="C432" s="77" t="inlineStr">
        <is>
          <t>medium</t>
        </is>
      </c>
      <c r="D432" s="77" t="inlineStr">
        <is>
          <t>E1</t>
        </is>
      </c>
      <c r="E432" s="77" t="inlineStr">
        <is>
          <t>TNUoS demand (zone 5; TCR banded residual from 2023)</t>
        </is>
      </c>
      <c r="F432" s="77" t="inlineStr">
        <is>
          <t>3 Network</t>
        </is>
      </c>
      <c r="G432" s="77" t="inlineStr">
        <is>
          <t>transmission network charge</t>
        </is>
      </c>
      <c r="H432" s="77" t="inlineStr">
        <is>
          <t>i</t>
        </is>
      </c>
      <c r="I432" s="77">
        <f>IF(ISNUMBER(N432),N432*fx_deflator!$I$20*fx_deflator!$M$20,"")</f>
        <v/>
      </c>
      <c r="J432" s="77" t="inlineStr">
        <is>
          <t>NESO TNUoS tariff documents (compendium doc 50736; Final TNUoS 2023/24-2026/27 Table 10)</t>
        </is>
      </c>
      <c r="K432" s="77" t="inlineStr">
        <is>
          <t>stage4_uk r25-27</t>
        </is>
      </c>
      <c r="L432" s="77" t="inlineStr">
        <is>
          <t>2026-07-15</t>
        </is>
      </c>
      <c r="M432" s="77" t="inlineStr">
        <is>
          <t>Y</t>
        </is>
      </c>
      <c r="N432" s="136">
        <f>IF(ISNUMBER(timeseries!S23),timeseries!S23,"")</f>
        <v/>
      </c>
      <c r="O432" s="77" t="inlineStr">
        <is>
          <t>GBP/MWh nominal</t>
        </is>
      </c>
    </row>
    <row r="433" ht="15" customHeight="1" s="78">
      <c r="A433" s="77" t="inlineStr">
        <is>
          <t>UK</t>
        </is>
      </c>
      <c r="B433" s="77" t="n">
        <v>2025</v>
      </c>
      <c r="C433" s="77" t="inlineStr">
        <is>
          <t>medium</t>
        </is>
      </c>
      <c r="D433" s="77" t="inlineStr">
        <is>
          <t>E1</t>
        </is>
      </c>
      <c r="E433" s="77" t="inlineStr">
        <is>
          <t>DUoS unit rates (NPg CDCM red/amber/green, uniform-operation weights)</t>
        </is>
      </c>
      <c r="F433" s="77" t="inlineStr">
        <is>
          <t>3 Network</t>
        </is>
      </c>
      <c r="G433" s="77" t="inlineStr">
        <is>
          <t>distribution network charge</t>
        </is>
      </c>
      <c r="H433" s="77" t="inlineStr">
        <is>
          <t>i</t>
        </is>
      </c>
      <c r="I433" s="77">
        <f>IF(ISNUMBER(N433),N433*fx_deflator!$I$20*fx_deflator!$M$20,"")</f>
        <v/>
      </c>
      <c r="J433" s="77" t="inlineStr">
        <is>
          <t>NPg (Yorkshire) LC14 CDCM statements; D28 reconstruction 2010-16</t>
        </is>
      </c>
      <c r="K433" s="77" t="inlineStr">
        <is>
          <t>stage4_uk r34-41</t>
        </is>
      </c>
      <c r="L433" s="77" t="inlineStr">
        <is>
          <t>2026-07-15</t>
        </is>
      </c>
      <c r="M433" s="77" t="inlineStr">
        <is>
          <t>Y</t>
        </is>
      </c>
      <c r="N433" s="136">
        <f>IF(ISNUMBER(timeseries!S24),timeseries!S24,"")</f>
        <v/>
      </c>
      <c r="O433" s="77" t="inlineStr">
        <is>
          <t>GBP/MWh nominal</t>
        </is>
      </c>
    </row>
    <row r="434" ht="15" customHeight="1" s="78">
      <c r="A434" s="77" t="inlineStr">
        <is>
          <t>UK</t>
        </is>
      </c>
      <c r="B434" s="77" t="n">
        <v>2025</v>
      </c>
      <c r="C434" s="77" t="inlineStr">
        <is>
          <t>medium</t>
        </is>
      </c>
      <c r="D434" s="77" t="inlineStr">
        <is>
          <t>E1</t>
        </is>
      </c>
      <c r="E434" s="77" t="inlineStr">
        <is>
          <t>DUoS fixed charge (TCR Band-4 residual from 2022/23)</t>
        </is>
      </c>
      <c r="F434" s="77" t="inlineStr">
        <is>
          <t>3 Network</t>
        </is>
      </c>
      <c r="G434" s="77" t="inlineStr">
        <is>
          <t>distribution network charge</t>
        </is>
      </c>
      <c r="H434" s="77" t="inlineStr">
        <is>
          <t>i</t>
        </is>
      </c>
      <c r="I434" s="77">
        <f>IF(ISNUMBER(N434),N434*fx_deflator!$I$20*fx_deflator!$M$20,"")</f>
        <v/>
      </c>
      <c r="J434" s="77" t="inlineStr">
        <is>
          <t>NPg (Yorkshire) LC14 CDCM statements; D28 reconstruction 2010-16</t>
        </is>
      </c>
      <c r="K434" s="77" t="inlineStr">
        <is>
          <t>stage4_uk r34-41</t>
        </is>
      </c>
      <c r="L434" s="77" t="inlineStr">
        <is>
          <t>2026-07-15</t>
        </is>
      </c>
      <c r="M434" s="77" t="inlineStr">
        <is>
          <t>Y</t>
        </is>
      </c>
      <c r="N434" s="136">
        <f>IF(ISNUMBER(timeseries!S25),timeseries!S25,"")</f>
        <v/>
      </c>
      <c r="O434" s="77" t="inlineStr">
        <is>
          <t>GBP/MWh nominal</t>
        </is>
      </c>
    </row>
    <row r="435" ht="15" customHeight="1" s="78">
      <c r="A435" s="77" t="inlineStr">
        <is>
          <t>UK</t>
        </is>
      </c>
      <c r="B435" s="77" t="n">
        <v>2025</v>
      </c>
      <c r="C435" s="77" t="inlineStr">
        <is>
          <t>medium</t>
        </is>
      </c>
      <c r="D435" s="77" t="inlineStr">
        <is>
          <t>E1</t>
        </is>
      </c>
      <c r="E435" s="77" t="inlineStr">
        <is>
          <t>DUoS capacity charge</t>
        </is>
      </c>
      <c r="F435" s="77" t="inlineStr">
        <is>
          <t>3 Network</t>
        </is>
      </c>
      <c r="G435" s="77" t="inlineStr">
        <is>
          <t>distribution network charge</t>
        </is>
      </c>
      <c r="H435" s="77" t="inlineStr">
        <is>
          <t>i</t>
        </is>
      </c>
      <c r="I435" s="77">
        <f>IF(ISNUMBER(N435),N435*fx_deflator!$I$20*fx_deflator!$M$20,"")</f>
        <v/>
      </c>
      <c r="J435" s="77" t="inlineStr">
        <is>
          <t>NPg (Yorkshire) LC14 CDCM statements; D28 reconstruction 2010-16</t>
        </is>
      </c>
      <c r="K435" s="77" t="inlineStr">
        <is>
          <t>stage4_uk r34-41</t>
        </is>
      </c>
      <c r="L435" s="77" t="inlineStr">
        <is>
          <t>2026-07-15</t>
        </is>
      </c>
      <c r="M435" s="77" t="inlineStr">
        <is>
          <t>Y</t>
        </is>
      </c>
      <c r="N435" s="136">
        <f>IF(ISNUMBER(timeseries!S26),timeseries!S26,"")</f>
        <v/>
      </c>
      <c r="O435" s="77" t="inlineStr">
        <is>
          <t>GBP/MWh nominal</t>
        </is>
      </c>
    </row>
    <row r="436" ht="15" customHeight="1" s="78">
      <c r="A436" s="77" t="inlineStr">
        <is>
          <t>UK</t>
        </is>
      </c>
      <c r="B436" s="77" t="n">
        <v>2025</v>
      </c>
      <c r="C436" s="77" t="inlineStr">
        <is>
          <t>medium</t>
        </is>
      </c>
      <c r="D436" s="77" t="inlineStr">
        <is>
          <t>E1</t>
        </is>
      </c>
      <c r="E436" s="77" t="inlineStr">
        <is>
          <t>BSUoS (demand-only from 04/2023)</t>
        </is>
      </c>
      <c r="F436" s="77" t="inlineStr">
        <is>
          <t>4 System services &amp; balancing</t>
        </is>
      </c>
      <c r="G436" s="77" t="inlineStr">
        <is>
          <t>balancing charge</t>
        </is>
      </c>
      <c r="H436" s="77" t="inlineStr">
        <is>
          <t>i</t>
        </is>
      </c>
      <c r="I436" s="77">
        <f>IF(ISNUMBER(N436),N436*fx_deflator!$I$20*fx_deflator!$M$20,"")</f>
        <v/>
      </c>
      <c r="J436" s="77" t="inlineStr">
        <is>
          <t>NESO bsuos-fixed-tariffs + HH RF settlement files (own annual avg 2010-22)</t>
        </is>
      </c>
      <c r="K436" s="77" t="inlineStr">
        <is>
          <t>stage4_uk r28-30</t>
        </is>
      </c>
      <c r="L436" s="77" t="inlineStr">
        <is>
          <t>2026-07-15</t>
        </is>
      </c>
      <c r="M436" s="77" t="inlineStr">
        <is>
          <t>Y</t>
        </is>
      </c>
      <c r="N436" s="136">
        <f>IF(ISNUMBER(timeseries!S8),timeseries!S8,"")</f>
        <v/>
      </c>
      <c r="O436" s="77" t="inlineStr">
        <is>
          <t>GBP/MWh nominal</t>
        </is>
      </c>
    </row>
    <row r="437" ht="15" customHeight="1" s="78">
      <c r="A437" s="77" t="inlineStr">
        <is>
          <t>UK</t>
        </is>
      </c>
      <c r="B437" s="77" t="n">
        <v>2025</v>
      </c>
      <c r="C437" s="77" t="inlineStr">
        <is>
          <t>medium</t>
        </is>
      </c>
      <c r="D437" s="77" t="inlineStr">
        <is>
          <t>E1</t>
        </is>
      </c>
      <c r="E437" s="77" t="inlineStr">
        <is>
          <t>AAHEDC</t>
        </is>
      </c>
      <c r="F437" s="77" t="inlineStr">
        <is>
          <t>3 Network</t>
        </is>
      </c>
      <c r="G437" s="77" t="inlineStr">
        <is>
          <t>network levy (hydro benefit)</t>
        </is>
      </c>
      <c r="H437" s="77" t="inlineStr">
        <is>
          <t>ii (pays cross-subsidy to N Scotland consumers)</t>
        </is>
      </c>
      <c r="I437" s="77">
        <f>IF(ISNUMBER(N437),N437*fx_deflator!$I$20*fx_deflator!$M$20,"")</f>
        <v/>
      </c>
      <c r="J437" s="77" t="inlineStr">
        <is>
          <t>NG/ESO AAHEDC charging statements &amp; final tariff letters</t>
        </is>
      </c>
      <c r="K437" s="77" t="inlineStr">
        <is>
          <t>stage4_uk r31</t>
        </is>
      </c>
      <c r="L437" s="77" t="inlineStr">
        <is>
          <t>2026-07-15</t>
        </is>
      </c>
      <c r="M437" s="77" t="inlineStr">
        <is>
          <t>N</t>
        </is>
      </c>
      <c r="N437" s="136">
        <f>IF(ISNUMBER(timeseries!S9),timeseries!S9,"")</f>
        <v/>
      </c>
      <c r="O437" s="77" t="inlineStr">
        <is>
          <t>GBP/MWh nominal</t>
        </is>
      </c>
      <c r="P437" s="77" t="inlineStr">
        <is>
          <t>not in NCC base (conservative, unverified)</t>
        </is>
      </c>
    </row>
    <row r="438" ht="15" customHeight="1" s="78">
      <c r="A438" s="77" t="inlineStr">
        <is>
          <t>UK</t>
        </is>
      </c>
      <c r="B438" s="77" t="n">
        <v>2025</v>
      </c>
      <c r="C438" s="77" t="inlineStr">
        <is>
          <t>medium</t>
        </is>
      </c>
      <c r="D438" s="77" t="inlineStr">
        <is>
          <t>E1</t>
        </is>
      </c>
      <c r="E438" s="77" t="inlineStr">
        <is>
          <t>RO (buy-out x obligation)</t>
        </is>
      </c>
      <c r="F438" s="77" t="inlineStr">
        <is>
          <t>2 Gen capital recovery</t>
        </is>
      </c>
      <c r="G438" s="77" t="inlineStr">
        <is>
          <t>renewables levy</t>
        </is>
      </c>
      <c r="H438" s="77" t="inlineStr">
        <is>
          <t>i</t>
        </is>
      </c>
      <c r="I438" s="77">
        <f>IF(ISNUMBER(N438),N438*fx_deflator!$I$20*fx_deflator!$M$20,"")</f>
        <v/>
      </c>
      <c r="J438" s="77" t="inlineStr">
        <is>
          <t>Ofgem RO guidance OFG1164 Table 1.1 (buy-out x obligation)</t>
        </is>
      </c>
      <c r="K438" s="77" t="inlineStr">
        <is>
          <t>stage4_uk r12-14</t>
        </is>
      </c>
      <c r="L438" s="77" t="inlineStr">
        <is>
          <t>2026-07-15</t>
        </is>
      </c>
      <c r="M438" s="77" t="inlineStr">
        <is>
          <t>Y</t>
        </is>
      </c>
      <c r="N438" s="136">
        <f>IF(ISNUMBER(timeseries!S10),timeseries!S10,"")</f>
        <v/>
      </c>
      <c r="O438" s="77" t="inlineStr">
        <is>
          <t>GBP/MWh nominal</t>
        </is>
      </c>
    </row>
    <row r="439" ht="15" customHeight="1" s="78">
      <c r="A439" s="77" t="inlineStr">
        <is>
          <t>UK</t>
        </is>
      </c>
      <c r="B439" s="77" t="n">
        <v>2025</v>
      </c>
      <c r="C439" s="77" t="inlineStr">
        <is>
          <t>medium</t>
        </is>
      </c>
      <c r="D439" s="77" t="inlineStr">
        <is>
          <t>E1</t>
        </is>
      </c>
      <c r="E439" s="77" t="inlineStr">
        <is>
          <t>CfD Interim Levy Rate (annual avg)</t>
        </is>
      </c>
      <c r="F439" s="77" t="inlineStr">
        <is>
          <t>2 Gen capital recovery</t>
        </is>
      </c>
      <c r="G439" s="77" t="inlineStr">
        <is>
          <t>renewables levy</t>
        </is>
      </c>
      <c r="H439" s="77" t="inlineStr">
        <is>
          <t>i</t>
        </is>
      </c>
      <c r="I439" s="77">
        <f>IF(ISNUMBER(N439),N439*fx_deflator!$I$20*fx_deflator!$M$20,"")</f>
        <v/>
      </c>
      <c r="J439" s="77" t="inlineStr">
        <is>
          <t>LCCC Actual ILR Income dataset (quarterly avg)</t>
        </is>
      </c>
      <c r="K439" s="77" t="inlineStr">
        <is>
          <t>stage4_uk r15-19</t>
        </is>
      </c>
      <c r="L439" s="77" t="inlineStr">
        <is>
          <t>2026-07-15</t>
        </is>
      </c>
      <c r="M439" s="77" t="inlineStr">
        <is>
          <t>Y</t>
        </is>
      </c>
      <c r="N439" s="136">
        <f>IF(ISNUMBER(timeseries!S11),timeseries!S11,"")</f>
        <v/>
      </c>
      <c r="O439" s="77" t="inlineStr">
        <is>
          <t>GBP/MWh nominal</t>
        </is>
      </c>
    </row>
    <row r="440" ht="15" customHeight="1" s="78">
      <c r="A440" s="77" t="inlineStr">
        <is>
          <t>UK</t>
        </is>
      </c>
      <c r="B440" s="77" t="n">
        <v>2025</v>
      </c>
      <c r="C440" s="77" t="inlineStr">
        <is>
          <t>medium</t>
        </is>
      </c>
      <c r="D440" s="77" t="inlineStr">
        <is>
          <t>E1</t>
        </is>
      </c>
      <c r="E440" s="77" t="inlineStr">
        <is>
          <t>Capacity Market (derived per-MWh)</t>
        </is>
      </c>
      <c r="F440" s="77" t="inlineStr">
        <is>
          <t>2 Gen capital recovery</t>
        </is>
      </c>
      <c r="G440" s="77" t="inlineStr">
        <is>
          <t>capacity market levy</t>
        </is>
      </c>
      <c r="H440" s="77" t="inlineStr">
        <is>
          <t>i</t>
        </is>
      </c>
      <c r="I440" s="77">
        <f>IF(ISNUMBER(N440),N440*fx_deflator!$I$20*fx_deflator!$M$20,"")</f>
        <v/>
      </c>
      <c r="J440" s="77" t="inlineStr">
        <is>
          <t>EMRS Key Figures for Payments (derived per-MWh, D30)</t>
        </is>
      </c>
      <c r="K440" s="77" t="inlineStr">
        <is>
          <t>stage4_uk r21</t>
        </is>
      </c>
      <c r="L440" s="77" t="inlineStr">
        <is>
          <t>2026-07-15</t>
        </is>
      </c>
      <c r="M440" s="77" t="inlineStr">
        <is>
          <t>Y</t>
        </is>
      </c>
      <c r="N440" s="77">
        <f>IF(ISNUMBER(timeseries!S13),timeseries!S13,"")</f>
        <v/>
      </c>
      <c r="O440" s="77" t="inlineStr">
        <is>
          <t>GBP/MWh nominal</t>
        </is>
      </c>
      <c r="P440" s="77" t="inlineStr">
        <is>
          <t>function 2 per D9</t>
        </is>
      </c>
    </row>
    <row r="441" ht="15" customHeight="1" s="78">
      <c r="A441" s="77" t="inlineStr">
        <is>
          <t>UK</t>
        </is>
      </c>
      <c r="B441" s="77" t="n">
        <v>2025</v>
      </c>
      <c r="C441" s="77" t="inlineStr">
        <is>
          <t>medium</t>
        </is>
      </c>
      <c r="D441" s="77" t="inlineStr">
        <is>
          <t>E1</t>
        </is>
      </c>
      <c r="E441" s="77" t="inlineStr">
        <is>
          <t>CCL (main rate; CCA discount not modelled)</t>
        </is>
      </c>
      <c r="F441" s="77" t="inlineStr">
        <is>
          <t>5 General taxation &amp; levies</t>
        </is>
      </c>
      <c r="G441" s="77" t="inlineStr">
        <is>
          <t>climate levy (tax)</t>
        </is>
      </c>
      <c r="H441" s="77" t="inlineStr">
        <is>
          <t>i</t>
        </is>
      </c>
      <c r="I441" s="77">
        <f>IF(ISNUMBER(N441),N441*fx_deflator!$I$20*fx_deflator!$M$20,"")</f>
        <v/>
      </c>
      <c r="J441" s="77" t="inlineStr">
        <is>
          <t>HMRC Environmental Taxes Bulletin, historical rates Table 1</t>
        </is>
      </c>
      <c r="K441" s="77" t="inlineStr">
        <is>
          <t>stage4_uk r22</t>
        </is>
      </c>
      <c r="L441" s="77" t="inlineStr">
        <is>
          <t>2026-07-15</t>
        </is>
      </c>
      <c r="M441" s="77" t="inlineStr">
        <is>
          <t>N</t>
        </is>
      </c>
      <c r="N441" s="136">
        <f>IF(ISNUMBER(timeseries!S14),timeseries!S14,"")</f>
        <v/>
      </c>
      <c r="O441" s="77" t="inlineStr">
        <is>
          <t>GBP/MWh nominal</t>
        </is>
      </c>
    </row>
    <row r="442" ht="15" customHeight="1" s="78">
      <c r="A442" s="77" t="inlineStr">
        <is>
          <t>UK</t>
        </is>
      </c>
      <c r="B442" s="77" t="n">
        <v>2025</v>
      </c>
      <c r="C442" s="77" t="inlineStr">
        <is>
          <t>medium</t>
        </is>
      </c>
      <c r="D442" s="77" t="inlineStr">
        <is>
          <t>E1</t>
        </is>
      </c>
      <c r="E442" s="77" t="inlineStr">
        <is>
          <t>EII Support Levy (funds NCC relief)</t>
        </is>
      </c>
      <c r="F442" s="77" t="inlineStr">
        <is>
          <t>5 General taxation &amp; levies</t>
        </is>
      </c>
      <c r="G442" s="77" t="inlineStr">
        <is>
          <t>supplier levy (ESL)</t>
        </is>
      </c>
      <c r="H442" s="77" t="inlineStr">
        <is>
          <t>i (payer side of the (ii) cross-subsidy instrument)</t>
        </is>
      </c>
      <c r="I442" s="77">
        <f>IF(ISNUMBER(N442),N442*fx_deflator!$I$20*fx_deflator!$M$20,"")</f>
        <v/>
      </c>
      <c r="J442" s="77" t="inlineStr">
        <is>
          <t>Elexon NCC supplier totals; D31 method</t>
        </is>
      </c>
      <c r="K442" s="77" t="inlineStr">
        <is>
          <t>stage4_uk r53</t>
        </is>
      </c>
      <c r="L442" s="77" t="inlineStr">
        <is>
          <t>2026-07-15</t>
        </is>
      </c>
      <c r="M442" s="77" t="inlineStr">
        <is>
          <t>Y</t>
        </is>
      </c>
      <c r="N442" s="77">
        <f>IF(ISNUMBER(stage4_uk!S53),stage4_uk!S53,"")</f>
        <v/>
      </c>
      <c r="O442" s="77" t="inlineStr">
        <is>
          <t>GBP/MWh nominal</t>
        </is>
      </c>
      <c r="P442" s="77" t="inlineStr">
        <is>
          <t>redistribution levy, not a network cost — tagged function 5 (D41); E2 exempt</t>
        </is>
      </c>
    </row>
    <row r="443" ht="15" customHeight="1" s="78">
      <c r="A443" s="77" t="inlineStr">
        <is>
          <t>UK</t>
        </is>
      </c>
      <c r="B443" s="77" t="n">
        <v>2010</v>
      </c>
      <c r="C443" s="77" t="inlineStr">
        <is>
          <t>medium</t>
        </is>
      </c>
      <c r="D443" s="77" t="inlineStr">
        <is>
          <t>E2</t>
        </is>
      </c>
      <c r="E443" s="77" t="inlineStr">
        <is>
          <t>Wholesale (rolling year-ahead baseload; DA proxy &lt;=2021)</t>
        </is>
      </c>
      <c r="F443" s="77" t="inlineStr">
        <is>
          <t>1 Commodity</t>
        </is>
      </c>
      <c r="G443" s="77" t="inlineStr">
        <is>
          <t>wholesale market</t>
        </is>
      </c>
      <c r="H443" s="77" t="inlineStr">
        <is>
          <t>i</t>
        </is>
      </c>
      <c r="I443" s="77">
        <f>IF(ISNUMBER(N443),N443*fx_deflator!$I$5*fx_deflator!$M$5,"")</f>
        <v/>
      </c>
      <c r="J443" s="77" t="inlineStr">
        <is>
          <t>Ofgem data portal — DA baseload monthly avg (proxy &lt;=2021, D22); Forward Delivery Contracts (D21)</t>
        </is>
      </c>
      <c r="K443" s="77" t="inlineStr">
        <is>
          <t>stage4_uk r7-9</t>
        </is>
      </c>
      <c r="L443" s="77" t="inlineStr">
        <is>
          <t>2026-07-15</t>
        </is>
      </c>
      <c r="M443" s="77" t="inlineStr">
        <is>
          <t>Y</t>
        </is>
      </c>
      <c r="N443" s="136">
        <f>IF(ISNUMBER(timeseries!D22),timeseries!D22,"")</f>
        <v/>
      </c>
      <c r="O443" s="77" t="inlineStr">
        <is>
          <t>GBP/MWh nominal</t>
        </is>
      </c>
      <c r="P443" s="77" t="inlineStr">
        <is>
          <t>identical E1/E2; embedded carbon memo inside this item</t>
        </is>
      </c>
    </row>
    <row r="444" ht="15" customHeight="1" s="78">
      <c r="A444" s="77" t="inlineStr">
        <is>
          <t>UK</t>
        </is>
      </c>
      <c r="B444" s="77" t="n">
        <v>2010</v>
      </c>
      <c r="C444" s="77" t="inlineStr">
        <is>
          <t>medium</t>
        </is>
      </c>
      <c r="D444" s="77" t="inlineStr">
        <is>
          <t>E2</t>
        </is>
      </c>
      <c r="E444" s="77" t="inlineStr">
        <is>
          <t>TNUoS demand (zone 5; TCR banded residual from 2023)</t>
        </is>
      </c>
      <c r="F444" s="77" t="inlineStr">
        <is>
          <t>3 Network</t>
        </is>
      </c>
      <c r="G444" s="77" t="inlineStr">
        <is>
          <t>transmission network charge</t>
        </is>
      </c>
      <c r="H444" s="77" t="inlineStr">
        <is>
          <t>i (post-NCC relief; relief funded via ESL = ii instrument)</t>
        </is>
      </c>
      <c r="I444" s="77">
        <f>IF(ISNUMBER(N444),N444*fx_deflator!$I$5*fx_deflator!$M$5,"")</f>
        <v/>
      </c>
      <c r="J444" s="77" t="inlineStr">
        <is>
          <t>NESO TNUoS tariff documents (compendium doc 50736; Final TNUoS 2023/24-2026/27 Table 10)</t>
        </is>
      </c>
      <c r="K444" s="77" t="inlineStr">
        <is>
          <t>stage4_uk r25-27</t>
        </is>
      </c>
      <c r="L444" s="77" t="inlineStr">
        <is>
          <t>2026-07-15</t>
        </is>
      </c>
      <c r="M444" s="77" t="inlineStr">
        <is>
          <t>Y</t>
        </is>
      </c>
      <c r="N444" s="77">
        <f>IF(ISNUMBER(timeseries!D23),timeseries!D23*(1-IF(ISNUMBER(stage4_uk!D48),stage4_uk!D48,0)),"")</f>
        <v/>
      </c>
      <c r="O444" s="77" t="inlineStr">
        <is>
          <t>GBP/MWh nominal</t>
        </is>
      </c>
    </row>
    <row r="445" ht="15" customHeight="1" s="78">
      <c r="A445" s="77" t="inlineStr">
        <is>
          <t>UK</t>
        </is>
      </c>
      <c r="B445" s="77" t="n">
        <v>2010</v>
      </c>
      <c r="C445" s="77" t="inlineStr">
        <is>
          <t>medium</t>
        </is>
      </c>
      <c r="D445" s="77" t="inlineStr">
        <is>
          <t>E2</t>
        </is>
      </c>
      <c r="E445" s="77" t="inlineStr">
        <is>
          <t>DUoS unit rates (NPg CDCM red/amber/green, uniform-operation weights)</t>
        </is>
      </c>
      <c r="F445" s="77" t="inlineStr">
        <is>
          <t>3 Network</t>
        </is>
      </c>
      <c r="G445" s="77" t="inlineStr">
        <is>
          <t>distribution network charge</t>
        </is>
      </c>
      <c r="H445" s="77" t="inlineStr">
        <is>
          <t>i (post-NCC relief)</t>
        </is>
      </c>
      <c r="I445" s="77">
        <f>IF(ISNUMBER(N445),N445*fx_deflator!$I$5*fx_deflator!$M$5,"")</f>
        <v/>
      </c>
      <c r="J445" s="77" t="inlineStr">
        <is>
          <t>NPg (Yorkshire) LC14 CDCM statements; D28 reconstruction 2010-16</t>
        </is>
      </c>
      <c r="K445" s="77" t="inlineStr">
        <is>
          <t>stage4_uk r34-41</t>
        </is>
      </c>
      <c r="L445" s="77" t="inlineStr">
        <is>
          <t>2026-07-15</t>
        </is>
      </c>
      <c r="M445" s="77" t="inlineStr">
        <is>
          <t>Y</t>
        </is>
      </c>
      <c r="N445" s="77">
        <f>IF(ISNUMBER(timeseries!D24),timeseries!D24*(1-IF(ISNUMBER(stage4_uk!D48),stage4_uk!D48,0)),"")</f>
        <v/>
      </c>
      <c r="O445" s="77" t="inlineStr">
        <is>
          <t>GBP/MWh nominal</t>
        </is>
      </c>
    </row>
    <row r="446" ht="15" customHeight="1" s="78">
      <c r="A446" s="77" t="inlineStr">
        <is>
          <t>UK</t>
        </is>
      </c>
      <c r="B446" s="77" t="n">
        <v>2010</v>
      </c>
      <c r="C446" s="77" t="inlineStr">
        <is>
          <t>medium</t>
        </is>
      </c>
      <c r="D446" s="77" t="inlineStr">
        <is>
          <t>E2</t>
        </is>
      </c>
      <c r="E446" s="77" t="inlineStr">
        <is>
          <t>DUoS fixed charge (TCR Band-4 residual from 2022/23)</t>
        </is>
      </c>
      <c r="F446" s="77" t="inlineStr">
        <is>
          <t>3 Network</t>
        </is>
      </c>
      <c r="G446" s="77" t="inlineStr">
        <is>
          <t>distribution network charge</t>
        </is>
      </c>
      <c r="H446" s="77" t="inlineStr">
        <is>
          <t>i (post-NCC relief)</t>
        </is>
      </c>
      <c r="I446" s="77">
        <f>IF(ISNUMBER(N446),N446*fx_deflator!$I$5*fx_deflator!$M$5,"")</f>
        <v/>
      </c>
      <c r="J446" s="77" t="inlineStr">
        <is>
          <t>NPg (Yorkshire) LC14 CDCM statements; D28 reconstruction 2010-16</t>
        </is>
      </c>
      <c r="K446" s="77" t="inlineStr">
        <is>
          <t>stage4_uk r34-41</t>
        </is>
      </c>
      <c r="L446" s="77" t="inlineStr">
        <is>
          <t>2026-07-15</t>
        </is>
      </c>
      <c r="M446" s="77" t="inlineStr">
        <is>
          <t>Y</t>
        </is>
      </c>
      <c r="N446" s="77">
        <f>IF(ISNUMBER(timeseries!D25),timeseries!D25*(1-IF(ISNUMBER(stage4_uk!D48),stage4_uk!D48,0)),"")</f>
        <v/>
      </c>
      <c r="O446" s="77" t="inlineStr">
        <is>
          <t>GBP/MWh nominal</t>
        </is>
      </c>
    </row>
    <row r="447" ht="15" customHeight="1" s="78">
      <c r="A447" s="77" t="inlineStr">
        <is>
          <t>UK</t>
        </is>
      </c>
      <c r="B447" s="77" t="n">
        <v>2010</v>
      </c>
      <c r="C447" s="77" t="inlineStr">
        <is>
          <t>medium</t>
        </is>
      </c>
      <c r="D447" s="77" t="inlineStr">
        <is>
          <t>E2</t>
        </is>
      </c>
      <c r="E447" s="77" t="inlineStr">
        <is>
          <t>DUoS capacity charge</t>
        </is>
      </c>
      <c r="F447" s="77" t="inlineStr">
        <is>
          <t>3 Network</t>
        </is>
      </c>
      <c r="G447" s="77" t="inlineStr">
        <is>
          <t>distribution network charge</t>
        </is>
      </c>
      <c r="H447" s="77" t="inlineStr">
        <is>
          <t>i (post-NCC relief)</t>
        </is>
      </c>
      <c r="I447" s="77">
        <f>IF(ISNUMBER(N447),N447*fx_deflator!$I$5*fx_deflator!$M$5,"")</f>
        <v/>
      </c>
      <c r="J447" s="77" t="inlineStr">
        <is>
          <t>NPg (Yorkshire) LC14 CDCM statements; D28 reconstruction 2010-16</t>
        </is>
      </c>
      <c r="K447" s="77" t="inlineStr">
        <is>
          <t>stage4_uk r34-41</t>
        </is>
      </c>
      <c r="L447" s="77" t="inlineStr">
        <is>
          <t>2026-07-15</t>
        </is>
      </c>
      <c r="M447" s="77" t="inlineStr">
        <is>
          <t>Y</t>
        </is>
      </c>
      <c r="N447" s="77">
        <f>IF(ISNUMBER(timeseries!D26),timeseries!D26*(1-IF(ISNUMBER(stage4_uk!D48),stage4_uk!D48,0)),"")</f>
        <v/>
      </c>
      <c r="O447" s="77" t="inlineStr">
        <is>
          <t>GBP/MWh nominal</t>
        </is>
      </c>
    </row>
    <row r="448" ht="15" customHeight="1" s="78">
      <c r="A448" s="77" t="inlineStr">
        <is>
          <t>UK</t>
        </is>
      </c>
      <c r="B448" s="77" t="n">
        <v>2010</v>
      </c>
      <c r="C448" s="77" t="inlineStr">
        <is>
          <t>medium</t>
        </is>
      </c>
      <c r="D448" s="77" t="inlineStr">
        <is>
          <t>E2</t>
        </is>
      </c>
      <c r="E448" s="77" t="inlineStr">
        <is>
          <t>BSUoS (demand-only from 04/2023)</t>
        </is>
      </c>
      <c r="F448" s="77" t="inlineStr">
        <is>
          <t>4 System services &amp; balancing</t>
        </is>
      </c>
      <c r="G448" s="77" t="inlineStr">
        <is>
          <t>balancing charge</t>
        </is>
      </c>
      <c r="H448" s="77" t="inlineStr">
        <is>
          <t>i (post-NCC relief)</t>
        </is>
      </c>
      <c r="I448" s="77">
        <f>IF(ISNUMBER(N448),N448*fx_deflator!$I$5*fx_deflator!$M$5,"")</f>
        <v/>
      </c>
      <c r="J448" s="77" t="inlineStr">
        <is>
          <t>NESO bsuos-fixed-tariffs + HH RF settlement files (own annual avg 2010-22)</t>
        </is>
      </c>
      <c r="K448" s="77" t="inlineStr">
        <is>
          <t>stage4_uk r28-30</t>
        </is>
      </c>
      <c r="L448" s="77" t="inlineStr">
        <is>
          <t>2026-07-15</t>
        </is>
      </c>
      <c r="M448" s="77" t="inlineStr">
        <is>
          <t>Y</t>
        </is>
      </c>
      <c r="N448" s="77">
        <f>IF(ISNUMBER(timeseries!D8),timeseries!D8*(1-IF(ISNUMBER(stage4_uk!D48),stage4_uk!D48,0)),"")</f>
        <v/>
      </c>
      <c r="O448" s="77" t="inlineStr">
        <is>
          <t>GBP/MWh nominal</t>
        </is>
      </c>
    </row>
    <row r="449" ht="15" customHeight="1" s="78">
      <c r="A449" s="77" t="inlineStr">
        <is>
          <t>UK</t>
        </is>
      </c>
      <c r="B449" s="77" t="n">
        <v>2010</v>
      </c>
      <c r="C449" s="77" t="inlineStr">
        <is>
          <t>medium</t>
        </is>
      </c>
      <c r="D449" s="77" t="inlineStr">
        <is>
          <t>E2</t>
        </is>
      </c>
      <c r="E449" s="77" t="inlineStr">
        <is>
          <t>AAHEDC</t>
        </is>
      </c>
      <c r="F449" s="77" t="inlineStr">
        <is>
          <t>3 Network</t>
        </is>
      </c>
      <c r="G449" s="77" t="inlineStr">
        <is>
          <t>network levy (hydro benefit)</t>
        </is>
      </c>
      <c r="H449" s="77" t="inlineStr">
        <is>
          <t>ii (pays cross-subsidy to N Scotland consumers)</t>
        </is>
      </c>
      <c r="I449" s="77">
        <f>IF(ISNUMBER(N449),N449*fx_deflator!$I$5*fx_deflator!$M$5,"")</f>
        <v/>
      </c>
      <c r="J449" s="77" t="inlineStr">
        <is>
          <t>NG/ESO AAHEDC charging statements &amp; final tariff letters</t>
        </is>
      </c>
      <c r="K449" s="77" t="inlineStr">
        <is>
          <t>stage4_uk r31</t>
        </is>
      </c>
      <c r="L449" s="77" t="inlineStr">
        <is>
          <t>2026-07-15</t>
        </is>
      </c>
      <c r="M449" s="77" t="inlineStr">
        <is>
          <t>N</t>
        </is>
      </c>
      <c r="N449" s="77">
        <f>IF(ISNUMBER(timeseries!D9),timeseries!D9,"")</f>
        <v/>
      </c>
      <c r="O449" s="77" t="inlineStr">
        <is>
          <t>GBP/MWh nominal</t>
        </is>
      </c>
      <c r="P449" s="77" t="inlineStr">
        <is>
          <t>not in NCC base (conservative, unverified)</t>
        </is>
      </c>
    </row>
    <row r="450" ht="15" customHeight="1" s="78">
      <c r="A450" s="77" t="inlineStr">
        <is>
          <t>UK</t>
        </is>
      </c>
      <c r="B450" s="77" t="n">
        <v>2010</v>
      </c>
      <c r="C450" s="77" t="inlineStr">
        <is>
          <t>medium</t>
        </is>
      </c>
      <c r="D450" s="77" t="inlineStr">
        <is>
          <t>E2</t>
        </is>
      </c>
      <c r="E450" s="77" t="inlineStr">
        <is>
          <t>RO (buy-out x obligation)</t>
        </is>
      </c>
      <c r="F450" s="77" t="inlineStr">
        <is>
          <t>2 Gen capital recovery</t>
        </is>
      </c>
      <c r="G450" s="77" t="inlineStr">
        <is>
          <t>renewables levy</t>
        </is>
      </c>
      <c r="H450" s="77" t="inlineStr">
        <is>
          <t>i</t>
        </is>
      </c>
      <c r="I450" s="77">
        <f>IF(ISNUMBER(N450),N450*fx_deflator!$I$5*fx_deflator!$M$5,"")</f>
        <v/>
      </c>
      <c r="J450" s="77" t="inlineStr">
        <is>
          <t>Ofgem RO guidance OFG1164 Table 1.1 (buy-out x obligation)</t>
        </is>
      </c>
      <c r="K450" s="77" t="inlineStr">
        <is>
          <t>stage4_uk r12-14</t>
        </is>
      </c>
      <c r="L450" s="77" t="inlineStr">
        <is>
          <t>2026-07-15</t>
        </is>
      </c>
      <c r="M450" s="77" t="inlineStr">
        <is>
          <t>Y</t>
        </is>
      </c>
      <c r="N450" s="77">
        <f>IF(ISNUMBER(timeseries!D10),timeseries!D10*(1-IF(ISNUMBER(stage4_uk!D45),stage4_uk!D45,0)),"")</f>
        <v/>
      </c>
      <c r="O450" s="77" t="inlineStr">
        <is>
          <t>GBP/MWh nominal</t>
        </is>
      </c>
    </row>
    <row r="451" ht="15" customHeight="1" s="78">
      <c r="A451" s="77" t="inlineStr">
        <is>
          <t>UK</t>
        </is>
      </c>
      <c r="B451" s="77" t="n">
        <v>2010</v>
      </c>
      <c r="C451" s="77" t="inlineStr">
        <is>
          <t>medium</t>
        </is>
      </c>
      <c r="D451" s="77" t="inlineStr">
        <is>
          <t>E2</t>
        </is>
      </c>
      <c r="E451" s="77" t="inlineStr">
        <is>
          <t>FiT levelisation</t>
        </is>
      </c>
      <c r="F451" s="77" t="inlineStr">
        <is>
          <t>2 Gen capital recovery</t>
        </is>
      </c>
      <c r="G451" s="77" t="inlineStr">
        <is>
          <t>renewables levy</t>
        </is>
      </c>
      <c r="H451" s="77" t="inlineStr">
        <is>
          <t>i</t>
        </is>
      </c>
      <c r="I451" s="77">
        <f>IF(ISNUMBER(N451),N451*fx_deflator!$I$5*fx_deflator!$M$5,"")</f>
        <v/>
      </c>
      <c r="J451" s="77" t="inlineStr">
        <is>
          <t>Ofgem FIT Annual Reports SY1-SY15; D27 for 2010-14</t>
        </is>
      </c>
      <c r="K451" s="77" t="inlineStr">
        <is>
          <t>stage4_uk r20</t>
        </is>
      </c>
      <c r="L451" s="77" t="inlineStr">
        <is>
          <t>2026-07-15</t>
        </is>
      </c>
      <c r="M451" s="77" t="inlineStr">
        <is>
          <t>Y</t>
        </is>
      </c>
      <c r="N451" s="77">
        <f>IF(ISNUMBER(timeseries!D12),timeseries!D12*(1-IF(ISNUMBER(stage4_uk!D46),stage4_uk!D46,0)),"")</f>
        <v/>
      </c>
      <c r="O451" s="77" t="inlineStr">
        <is>
          <t>GBP/MWh nominal</t>
        </is>
      </c>
      <c r="P451" s="77" t="inlineStr">
        <is>
          <t>2025 unpublished (Q32) — row absent, gap stated</t>
        </is>
      </c>
    </row>
    <row r="452" ht="15" customHeight="1" s="78">
      <c r="A452" s="77" t="inlineStr">
        <is>
          <t>UK</t>
        </is>
      </c>
      <c r="B452" s="77" t="n">
        <v>2010</v>
      </c>
      <c r="C452" s="77" t="inlineStr">
        <is>
          <t>medium</t>
        </is>
      </c>
      <c r="D452" s="77" t="inlineStr">
        <is>
          <t>E2</t>
        </is>
      </c>
      <c r="E452" s="77" t="inlineStr">
        <is>
          <t>CCL — EXEMPT for the relieved case (mineralogical/metallurgical, HMRC CCL1/3 s3.14; D71)</t>
        </is>
      </c>
      <c r="F452" s="77" t="inlineStr">
        <is>
          <t>5 General taxation &amp; levies</t>
        </is>
      </c>
      <c r="G452" s="77" t="inlineStr">
        <is>
          <t>climate levy (tax)</t>
        </is>
      </c>
      <c r="H452" s="77" t="inlineStr">
        <is>
          <t>i</t>
        </is>
      </c>
      <c r="I452" s="77">
        <f>IF(ISNUMBER(N452),N452*fx_deflator!$I$5*fx_deflator!$M$5,"")</f>
        <v/>
      </c>
      <c r="J452" s="77" t="inlineStr">
        <is>
          <t>HMRC Excise Notice CCL1/3 s3.14 + Annex A (exemption from 01.04.2014). S209</t>
        </is>
      </c>
      <c r="K452" s="77" t="inlineStr">
        <is>
          <t>stage4_uk r22</t>
        </is>
      </c>
      <c r="L452" s="77" t="inlineStr">
        <is>
          <t>2026-07-15</t>
        </is>
      </c>
      <c r="M452" s="77" t="inlineStr">
        <is>
          <t>N</t>
        </is>
      </c>
      <c r="N452" s="136">
        <f>IF(ISNUMBER(timeseries!D14),0,"")</f>
        <v/>
      </c>
      <c r="O452" s="77" t="inlineStr">
        <is>
          <t>GBP/MWh nominal</t>
        </is>
      </c>
    </row>
    <row r="453" ht="15" customHeight="1" s="78">
      <c r="A453" s="77" t="inlineStr">
        <is>
          <t>UK</t>
        </is>
      </c>
      <c r="B453" s="77" t="n">
        <v>2011</v>
      </c>
      <c r="C453" s="77" t="inlineStr">
        <is>
          <t>medium</t>
        </is>
      </c>
      <c r="D453" s="77" t="inlineStr">
        <is>
          <t>E2</t>
        </is>
      </c>
      <c r="E453" s="77" t="inlineStr">
        <is>
          <t>Wholesale (rolling year-ahead baseload; DA proxy &lt;=2021)</t>
        </is>
      </c>
      <c r="F453" s="77" t="inlineStr">
        <is>
          <t>1 Commodity</t>
        </is>
      </c>
      <c r="G453" s="77" t="inlineStr">
        <is>
          <t>wholesale market</t>
        </is>
      </c>
      <c r="H453" s="77" t="inlineStr">
        <is>
          <t>i</t>
        </is>
      </c>
      <c r="I453" s="77">
        <f>IF(ISNUMBER(N453),N453*fx_deflator!$I$6*fx_deflator!$M$6,"")</f>
        <v/>
      </c>
      <c r="J453" s="77" t="inlineStr">
        <is>
          <t>Ofgem data portal — DA baseload monthly avg (proxy &lt;=2021, D22); Forward Delivery Contracts (D21)</t>
        </is>
      </c>
      <c r="K453" s="77" t="inlineStr">
        <is>
          <t>stage4_uk r7-9</t>
        </is>
      </c>
      <c r="L453" s="77" t="inlineStr">
        <is>
          <t>2026-07-15</t>
        </is>
      </c>
      <c r="M453" s="77" t="inlineStr">
        <is>
          <t>Y</t>
        </is>
      </c>
      <c r="N453" s="136">
        <f>IF(ISNUMBER(timeseries!E22),timeseries!E22,"")</f>
        <v/>
      </c>
      <c r="O453" s="77" t="inlineStr">
        <is>
          <t>GBP/MWh nominal</t>
        </is>
      </c>
      <c r="P453" s="77" t="inlineStr">
        <is>
          <t>identical E1/E2; embedded carbon memo inside this item</t>
        </is>
      </c>
    </row>
    <row r="454" ht="15" customHeight="1" s="78">
      <c r="A454" s="77" t="inlineStr">
        <is>
          <t>UK</t>
        </is>
      </c>
      <c r="B454" s="77" t="n">
        <v>2011</v>
      </c>
      <c r="C454" s="77" t="inlineStr">
        <is>
          <t>medium</t>
        </is>
      </c>
      <c r="D454" s="77" t="inlineStr">
        <is>
          <t>E2</t>
        </is>
      </c>
      <c r="E454" s="77" t="inlineStr">
        <is>
          <t>TNUoS demand (zone 5; TCR banded residual from 2023)</t>
        </is>
      </c>
      <c r="F454" s="77" t="inlineStr">
        <is>
          <t>3 Network</t>
        </is>
      </c>
      <c r="G454" s="77" t="inlineStr">
        <is>
          <t>transmission network charge</t>
        </is>
      </c>
      <c r="H454" s="77" t="inlineStr">
        <is>
          <t>i (post-NCC relief; relief funded via ESL = ii instrument)</t>
        </is>
      </c>
      <c r="I454" s="77">
        <f>IF(ISNUMBER(N454),N454*fx_deflator!$I$6*fx_deflator!$M$6,"")</f>
        <v/>
      </c>
      <c r="J454" s="77" t="inlineStr">
        <is>
          <t>NESO TNUoS tariff documents (compendium doc 50736; Final TNUoS 2023/24-2026/27 Table 10)</t>
        </is>
      </c>
      <c r="K454" s="77" t="inlineStr">
        <is>
          <t>stage4_uk r25-27</t>
        </is>
      </c>
      <c r="L454" s="77" t="inlineStr">
        <is>
          <t>2026-07-15</t>
        </is>
      </c>
      <c r="M454" s="77" t="inlineStr">
        <is>
          <t>Y</t>
        </is>
      </c>
      <c r="N454" s="77">
        <f>IF(ISNUMBER(timeseries!E23),timeseries!E23*(1-IF(ISNUMBER(stage4_uk!E48),stage4_uk!E48,0)),"")</f>
        <v/>
      </c>
      <c r="O454" s="77" t="inlineStr">
        <is>
          <t>GBP/MWh nominal</t>
        </is>
      </c>
    </row>
    <row r="455" ht="15" customHeight="1" s="78">
      <c r="A455" s="77" t="inlineStr">
        <is>
          <t>UK</t>
        </is>
      </c>
      <c r="B455" s="77" t="n">
        <v>2011</v>
      </c>
      <c r="C455" s="77" t="inlineStr">
        <is>
          <t>medium</t>
        </is>
      </c>
      <c r="D455" s="77" t="inlineStr">
        <is>
          <t>E2</t>
        </is>
      </c>
      <c r="E455" s="77" t="inlineStr">
        <is>
          <t>DUoS unit rates (NPg CDCM red/amber/green, uniform-operation weights)</t>
        </is>
      </c>
      <c r="F455" s="77" t="inlineStr">
        <is>
          <t>3 Network</t>
        </is>
      </c>
      <c r="G455" s="77" t="inlineStr">
        <is>
          <t>distribution network charge</t>
        </is>
      </c>
      <c r="H455" s="77" t="inlineStr">
        <is>
          <t>i (post-NCC relief)</t>
        </is>
      </c>
      <c r="I455" s="77">
        <f>IF(ISNUMBER(N455),N455*fx_deflator!$I$6*fx_deflator!$M$6,"")</f>
        <v/>
      </c>
      <c r="J455" s="77" t="inlineStr">
        <is>
          <t>NPg (Yorkshire) LC14 CDCM statements; D28 reconstruction 2010-16</t>
        </is>
      </c>
      <c r="K455" s="77" t="inlineStr">
        <is>
          <t>stage4_uk r34-41</t>
        </is>
      </c>
      <c r="L455" s="77" t="inlineStr">
        <is>
          <t>2026-07-15</t>
        </is>
      </c>
      <c r="M455" s="77" t="inlineStr">
        <is>
          <t>Y</t>
        </is>
      </c>
      <c r="N455" s="77">
        <f>IF(ISNUMBER(timeseries!E24),timeseries!E24*(1-IF(ISNUMBER(stage4_uk!E48),stage4_uk!E48,0)),"")</f>
        <v/>
      </c>
      <c r="O455" s="77" t="inlineStr">
        <is>
          <t>GBP/MWh nominal</t>
        </is>
      </c>
    </row>
    <row r="456" ht="15" customHeight="1" s="78">
      <c r="A456" s="77" t="inlineStr">
        <is>
          <t>UK</t>
        </is>
      </c>
      <c r="B456" s="77" t="n">
        <v>2011</v>
      </c>
      <c r="C456" s="77" t="inlineStr">
        <is>
          <t>medium</t>
        </is>
      </c>
      <c r="D456" s="77" t="inlineStr">
        <is>
          <t>E2</t>
        </is>
      </c>
      <c r="E456" s="77" t="inlineStr">
        <is>
          <t>DUoS fixed charge (TCR Band-4 residual from 2022/23)</t>
        </is>
      </c>
      <c r="F456" s="77" t="inlineStr">
        <is>
          <t>3 Network</t>
        </is>
      </c>
      <c r="G456" s="77" t="inlineStr">
        <is>
          <t>distribution network charge</t>
        </is>
      </c>
      <c r="H456" s="77" t="inlineStr">
        <is>
          <t>i (post-NCC relief)</t>
        </is>
      </c>
      <c r="I456" s="77">
        <f>IF(ISNUMBER(N456),N456*fx_deflator!$I$6*fx_deflator!$M$6,"")</f>
        <v/>
      </c>
      <c r="J456" s="77" t="inlineStr">
        <is>
          <t>NPg (Yorkshire) LC14 CDCM statements; D28 reconstruction 2010-16</t>
        </is>
      </c>
      <c r="K456" s="77" t="inlineStr">
        <is>
          <t>stage4_uk r34-41</t>
        </is>
      </c>
      <c r="L456" s="77" t="inlineStr">
        <is>
          <t>2026-07-15</t>
        </is>
      </c>
      <c r="M456" s="77" t="inlineStr">
        <is>
          <t>Y</t>
        </is>
      </c>
      <c r="N456" s="77">
        <f>IF(ISNUMBER(timeseries!E25),timeseries!E25*(1-IF(ISNUMBER(stage4_uk!E48),stage4_uk!E48,0)),"")</f>
        <v/>
      </c>
      <c r="O456" s="77" t="inlineStr">
        <is>
          <t>GBP/MWh nominal</t>
        </is>
      </c>
    </row>
    <row r="457" ht="15" customHeight="1" s="78">
      <c r="A457" s="77" t="inlineStr">
        <is>
          <t>UK</t>
        </is>
      </c>
      <c r="B457" s="77" t="n">
        <v>2011</v>
      </c>
      <c r="C457" s="77" t="inlineStr">
        <is>
          <t>medium</t>
        </is>
      </c>
      <c r="D457" s="77" t="inlineStr">
        <is>
          <t>E2</t>
        </is>
      </c>
      <c r="E457" s="77" t="inlineStr">
        <is>
          <t>DUoS capacity charge</t>
        </is>
      </c>
      <c r="F457" s="77" t="inlineStr">
        <is>
          <t>3 Network</t>
        </is>
      </c>
      <c r="G457" s="77" t="inlineStr">
        <is>
          <t>distribution network charge</t>
        </is>
      </c>
      <c r="H457" s="77" t="inlineStr">
        <is>
          <t>i (post-NCC relief)</t>
        </is>
      </c>
      <c r="I457" s="77">
        <f>IF(ISNUMBER(N457),N457*fx_deflator!$I$6*fx_deflator!$M$6,"")</f>
        <v/>
      </c>
      <c r="J457" s="77" t="inlineStr">
        <is>
          <t>NPg (Yorkshire) LC14 CDCM statements; D28 reconstruction 2010-16</t>
        </is>
      </c>
      <c r="K457" s="77" t="inlineStr">
        <is>
          <t>stage4_uk r34-41</t>
        </is>
      </c>
      <c r="L457" s="77" t="inlineStr">
        <is>
          <t>2026-07-15</t>
        </is>
      </c>
      <c r="M457" s="77" t="inlineStr">
        <is>
          <t>Y</t>
        </is>
      </c>
      <c r="N457" s="77">
        <f>IF(ISNUMBER(timeseries!E26),timeseries!E26*(1-IF(ISNUMBER(stage4_uk!E48),stage4_uk!E48,0)),"")</f>
        <v/>
      </c>
      <c r="O457" s="77" t="inlineStr">
        <is>
          <t>GBP/MWh nominal</t>
        </is>
      </c>
    </row>
    <row r="458" ht="15" customHeight="1" s="78">
      <c r="A458" s="77" t="inlineStr">
        <is>
          <t>UK</t>
        </is>
      </c>
      <c r="B458" s="77" t="n">
        <v>2011</v>
      </c>
      <c r="C458" s="77" t="inlineStr">
        <is>
          <t>medium</t>
        </is>
      </c>
      <c r="D458" s="77" t="inlineStr">
        <is>
          <t>E2</t>
        </is>
      </c>
      <c r="E458" s="77" t="inlineStr">
        <is>
          <t>BSUoS (demand-only from 04/2023)</t>
        </is>
      </c>
      <c r="F458" s="77" t="inlineStr">
        <is>
          <t>4 System services &amp; balancing</t>
        </is>
      </c>
      <c r="G458" s="77" t="inlineStr">
        <is>
          <t>balancing charge</t>
        </is>
      </c>
      <c r="H458" s="77" t="inlineStr">
        <is>
          <t>i (post-NCC relief)</t>
        </is>
      </c>
      <c r="I458" s="77">
        <f>IF(ISNUMBER(N458),N458*fx_deflator!$I$6*fx_deflator!$M$6,"")</f>
        <v/>
      </c>
      <c r="J458" s="77" t="inlineStr">
        <is>
          <t>NESO bsuos-fixed-tariffs + HH RF settlement files (own annual avg 2010-22)</t>
        </is>
      </c>
      <c r="K458" s="77" t="inlineStr">
        <is>
          <t>stage4_uk r28-30</t>
        </is>
      </c>
      <c r="L458" s="77" t="inlineStr">
        <is>
          <t>2026-07-15</t>
        </is>
      </c>
      <c r="M458" s="77" t="inlineStr">
        <is>
          <t>Y</t>
        </is>
      </c>
      <c r="N458" s="77">
        <f>IF(ISNUMBER(timeseries!E8),timeseries!E8*(1-IF(ISNUMBER(stage4_uk!E48),stage4_uk!E48,0)),"")</f>
        <v/>
      </c>
      <c r="O458" s="77" t="inlineStr">
        <is>
          <t>GBP/MWh nominal</t>
        </is>
      </c>
    </row>
    <row r="459" ht="15" customHeight="1" s="78">
      <c r="A459" s="77" t="inlineStr">
        <is>
          <t>UK</t>
        </is>
      </c>
      <c r="B459" s="77" t="n">
        <v>2011</v>
      </c>
      <c r="C459" s="77" t="inlineStr">
        <is>
          <t>medium</t>
        </is>
      </c>
      <c r="D459" s="77" t="inlineStr">
        <is>
          <t>E2</t>
        </is>
      </c>
      <c r="E459" s="77" t="inlineStr">
        <is>
          <t>AAHEDC</t>
        </is>
      </c>
      <c r="F459" s="77" t="inlineStr">
        <is>
          <t>3 Network</t>
        </is>
      </c>
      <c r="G459" s="77" t="inlineStr">
        <is>
          <t>network levy (hydro benefit)</t>
        </is>
      </c>
      <c r="H459" s="77" t="inlineStr">
        <is>
          <t>ii (pays cross-subsidy to N Scotland consumers)</t>
        </is>
      </c>
      <c r="I459" s="77">
        <f>IF(ISNUMBER(N459),N459*fx_deflator!$I$6*fx_deflator!$M$6,"")</f>
        <v/>
      </c>
      <c r="J459" s="77" t="inlineStr">
        <is>
          <t>NG/ESO AAHEDC charging statements &amp; final tariff letters</t>
        </is>
      </c>
      <c r="K459" s="77" t="inlineStr">
        <is>
          <t>stage4_uk r31</t>
        </is>
      </c>
      <c r="L459" s="77" t="inlineStr">
        <is>
          <t>2026-07-15</t>
        </is>
      </c>
      <c r="M459" s="77" t="inlineStr">
        <is>
          <t>N</t>
        </is>
      </c>
      <c r="N459" s="77">
        <f>IF(ISNUMBER(timeseries!E9),timeseries!E9,"")</f>
        <v/>
      </c>
      <c r="O459" s="77" t="inlineStr">
        <is>
          <t>GBP/MWh nominal</t>
        </is>
      </c>
      <c r="P459" s="77" t="inlineStr">
        <is>
          <t>not in NCC base (conservative, unverified)</t>
        </is>
      </c>
    </row>
    <row r="460" ht="15" customHeight="1" s="78">
      <c r="A460" s="77" t="inlineStr">
        <is>
          <t>UK</t>
        </is>
      </c>
      <c r="B460" s="77" t="n">
        <v>2011</v>
      </c>
      <c r="C460" s="77" t="inlineStr">
        <is>
          <t>medium</t>
        </is>
      </c>
      <c r="D460" s="77" t="inlineStr">
        <is>
          <t>E2</t>
        </is>
      </c>
      <c r="E460" s="77" t="inlineStr">
        <is>
          <t>RO (buy-out x obligation)</t>
        </is>
      </c>
      <c r="F460" s="77" t="inlineStr">
        <is>
          <t>2 Gen capital recovery</t>
        </is>
      </c>
      <c r="G460" s="77" t="inlineStr">
        <is>
          <t>renewables levy</t>
        </is>
      </c>
      <c r="H460" s="77" t="inlineStr">
        <is>
          <t>i</t>
        </is>
      </c>
      <c r="I460" s="77">
        <f>IF(ISNUMBER(N460),N460*fx_deflator!$I$6*fx_deflator!$M$6,"")</f>
        <v/>
      </c>
      <c r="J460" s="77" t="inlineStr">
        <is>
          <t>Ofgem RO guidance OFG1164 Table 1.1 (buy-out x obligation)</t>
        </is>
      </c>
      <c r="K460" s="77" t="inlineStr">
        <is>
          <t>stage4_uk r12-14</t>
        </is>
      </c>
      <c r="L460" s="77" t="inlineStr">
        <is>
          <t>2026-07-15</t>
        </is>
      </c>
      <c r="M460" s="77" t="inlineStr">
        <is>
          <t>Y</t>
        </is>
      </c>
      <c r="N460" s="77">
        <f>IF(ISNUMBER(timeseries!E10),timeseries!E10*(1-IF(ISNUMBER(stage4_uk!E45),stage4_uk!E45,0)),"")</f>
        <v/>
      </c>
      <c r="O460" s="77" t="inlineStr">
        <is>
          <t>GBP/MWh nominal</t>
        </is>
      </c>
    </row>
    <row r="461" ht="15" customHeight="1" s="78">
      <c r="A461" s="77" t="inlineStr">
        <is>
          <t>UK</t>
        </is>
      </c>
      <c r="B461" s="77" t="n">
        <v>2011</v>
      </c>
      <c r="C461" s="77" t="inlineStr">
        <is>
          <t>medium</t>
        </is>
      </c>
      <c r="D461" s="77" t="inlineStr">
        <is>
          <t>E2</t>
        </is>
      </c>
      <c r="E461" s="77" t="inlineStr">
        <is>
          <t>FiT levelisation</t>
        </is>
      </c>
      <c r="F461" s="77" t="inlineStr">
        <is>
          <t>2 Gen capital recovery</t>
        </is>
      </c>
      <c r="G461" s="77" t="inlineStr">
        <is>
          <t>renewables levy</t>
        </is>
      </c>
      <c r="H461" s="77" t="inlineStr">
        <is>
          <t>i</t>
        </is>
      </c>
      <c r="I461" s="77">
        <f>IF(ISNUMBER(N461),N461*fx_deflator!$I$6*fx_deflator!$M$6,"")</f>
        <v/>
      </c>
      <c r="J461" s="77" t="inlineStr">
        <is>
          <t>Ofgem FIT Annual Reports SY1-SY15; D27 for 2010-14</t>
        </is>
      </c>
      <c r="K461" s="77" t="inlineStr">
        <is>
          <t>stage4_uk r20</t>
        </is>
      </c>
      <c r="L461" s="77" t="inlineStr">
        <is>
          <t>2026-07-15</t>
        </is>
      </c>
      <c r="M461" s="77" t="inlineStr">
        <is>
          <t>Y</t>
        </is>
      </c>
      <c r="N461" s="77">
        <f>IF(ISNUMBER(timeseries!E12),timeseries!E12*(1-IF(ISNUMBER(stage4_uk!E46),stage4_uk!E46,0)),"")</f>
        <v/>
      </c>
      <c r="O461" s="77" t="inlineStr">
        <is>
          <t>GBP/MWh nominal</t>
        </is>
      </c>
      <c r="P461" s="77" t="inlineStr">
        <is>
          <t>2025 unpublished (Q32) — row absent, gap stated</t>
        </is>
      </c>
    </row>
    <row r="462" ht="15" customHeight="1" s="78">
      <c r="A462" s="77" t="inlineStr">
        <is>
          <t>UK</t>
        </is>
      </c>
      <c r="B462" s="77" t="n">
        <v>2011</v>
      </c>
      <c r="C462" s="77" t="inlineStr">
        <is>
          <t>medium</t>
        </is>
      </c>
      <c r="D462" s="77" t="inlineStr">
        <is>
          <t>E2</t>
        </is>
      </c>
      <c r="E462" s="77" t="inlineStr">
        <is>
          <t>CCL — EXEMPT for the relieved case (mineralogical/metallurgical, HMRC CCL1/3 s3.14; D71)</t>
        </is>
      </c>
      <c r="F462" s="77" t="inlineStr">
        <is>
          <t>5 General taxation &amp; levies</t>
        </is>
      </c>
      <c r="G462" s="77" t="inlineStr">
        <is>
          <t>climate levy (tax)</t>
        </is>
      </c>
      <c r="H462" s="77" t="inlineStr">
        <is>
          <t>i</t>
        </is>
      </c>
      <c r="I462" s="77">
        <f>IF(ISNUMBER(N462),N462*fx_deflator!$I$6*fx_deflator!$M$6,"")</f>
        <v/>
      </c>
      <c r="J462" s="77" t="inlineStr">
        <is>
          <t>HMRC Excise Notice CCL1/3 s3.14 + Annex A (exemption from 01.04.2014). S209</t>
        </is>
      </c>
      <c r="K462" s="77" t="inlineStr">
        <is>
          <t>stage4_uk r22</t>
        </is>
      </c>
      <c r="L462" s="77" t="inlineStr">
        <is>
          <t>2026-07-15</t>
        </is>
      </c>
      <c r="M462" s="77" t="inlineStr">
        <is>
          <t>N</t>
        </is>
      </c>
      <c r="N462" s="136">
        <f>IF(ISNUMBER(timeseries!E14),0,"")</f>
        <v/>
      </c>
      <c r="O462" s="77" t="inlineStr">
        <is>
          <t>GBP/MWh nominal</t>
        </is>
      </c>
    </row>
    <row r="463" ht="15" customHeight="1" s="78">
      <c r="A463" s="77" t="inlineStr">
        <is>
          <t>UK</t>
        </is>
      </c>
      <c r="B463" s="77" t="n">
        <v>2012</v>
      </c>
      <c r="C463" s="77" t="inlineStr">
        <is>
          <t>medium</t>
        </is>
      </c>
      <c r="D463" s="77" t="inlineStr">
        <is>
          <t>E2</t>
        </is>
      </c>
      <c r="E463" s="77" t="inlineStr">
        <is>
          <t>Wholesale (rolling year-ahead baseload; DA proxy &lt;=2021)</t>
        </is>
      </c>
      <c r="F463" s="77" t="inlineStr">
        <is>
          <t>1 Commodity</t>
        </is>
      </c>
      <c r="G463" s="77" t="inlineStr">
        <is>
          <t>wholesale market</t>
        </is>
      </c>
      <c r="H463" s="77" t="inlineStr">
        <is>
          <t>i</t>
        </is>
      </c>
      <c r="I463" s="77">
        <f>IF(ISNUMBER(N463),N463*fx_deflator!$I$7*fx_deflator!$M$7,"")</f>
        <v/>
      </c>
      <c r="J463" s="77" t="inlineStr">
        <is>
          <t>Ofgem data portal — DA baseload monthly avg (proxy &lt;=2021, D22); Forward Delivery Contracts (D21)</t>
        </is>
      </c>
      <c r="K463" s="77" t="inlineStr">
        <is>
          <t>stage4_uk r7-9</t>
        </is>
      </c>
      <c r="L463" s="77" t="inlineStr">
        <is>
          <t>2026-07-15</t>
        </is>
      </c>
      <c r="M463" s="77" t="inlineStr">
        <is>
          <t>Y</t>
        </is>
      </c>
      <c r="N463" s="136">
        <f>IF(ISNUMBER(timeseries!F22),timeseries!F22,"")</f>
        <v/>
      </c>
      <c r="O463" s="77" t="inlineStr">
        <is>
          <t>GBP/MWh nominal</t>
        </is>
      </c>
      <c r="P463" s="77" t="inlineStr">
        <is>
          <t>identical E1/E2; embedded carbon memo inside this item</t>
        </is>
      </c>
    </row>
    <row r="464" ht="15" customHeight="1" s="78">
      <c r="A464" s="77" t="inlineStr">
        <is>
          <t>UK</t>
        </is>
      </c>
      <c r="B464" s="77" t="n">
        <v>2012</v>
      </c>
      <c r="C464" s="77" t="inlineStr">
        <is>
          <t>medium</t>
        </is>
      </c>
      <c r="D464" s="77" t="inlineStr">
        <is>
          <t>E2</t>
        </is>
      </c>
      <c r="E464" s="77" t="inlineStr">
        <is>
          <t>TNUoS demand (zone 5; TCR banded residual from 2023)</t>
        </is>
      </c>
      <c r="F464" s="77" t="inlineStr">
        <is>
          <t>3 Network</t>
        </is>
      </c>
      <c r="G464" s="77" t="inlineStr">
        <is>
          <t>transmission network charge</t>
        </is>
      </c>
      <c r="H464" s="77" t="inlineStr">
        <is>
          <t>i (post-NCC relief; relief funded via ESL = ii instrument)</t>
        </is>
      </c>
      <c r="I464" s="77">
        <f>IF(ISNUMBER(N464),N464*fx_deflator!$I$7*fx_deflator!$M$7,"")</f>
        <v/>
      </c>
      <c r="J464" s="77" t="inlineStr">
        <is>
          <t>NESO TNUoS tariff documents (compendium doc 50736; Final TNUoS 2023/24-2026/27 Table 10)</t>
        </is>
      </c>
      <c r="K464" s="77" t="inlineStr">
        <is>
          <t>stage4_uk r25-27</t>
        </is>
      </c>
      <c r="L464" s="77" t="inlineStr">
        <is>
          <t>2026-07-15</t>
        </is>
      </c>
      <c r="M464" s="77" t="inlineStr">
        <is>
          <t>Y</t>
        </is>
      </c>
      <c r="N464" s="77">
        <f>IF(ISNUMBER(timeseries!F23),timeseries!F23*(1-IF(ISNUMBER(stage4_uk!F48),stage4_uk!F48,0)),"")</f>
        <v/>
      </c>
      <c r="O464" s="77" t="inlineStr">
        <is>
          <t>GBP/MWh nominal</t>
        </is>
      </c>
    </row>
    <row r="465" ht="15" customHeight="1" s="78">
      <c r="A465" s="77" t="inlineStr">
        <is>
          <t>UK</t>
        </is>
      </c>
      <c r="B465" s="77" t="n">
        <v>2012</v>
      </c>
      <c r="C465" s="77" t="inlineStr">
        <is>
          <t>medium</t>
        </is>
      </c>
      <c r="D465" s="77" t="inlineStr">
        <is>
          <t>E2</t>
        </is>
      </c>
      <c r="E465" s="77" t="inlineStr">
        <is>
          <t>DUoS unit rates (NPg CDCM red/amber/green, uniform-operation weights)</t>
        </is>
      </c>
      <c r="F465" s="77" t="inlineStr">
        <is>
          <t>3 Network</t>
        </is>
      </c>
      <c r="G465" s="77" t="inlineStr">
        <is>
          <t>distribution network charge</t>
        </is>
      </c>
      <c r="H465" s="77" t="inlineStr">
        <is>
          <t>i (post-NCC relief)</t>
        </is>
      </c>
      <c r="I465" s="77">
        <f>IF(ISNUMBER(N465),N465*fx_deflator!$I$7*fx_deflator!$M$7,"")</f>
        <v/>
      </c>
      <c r="J465" s="77" t="inlineStr">
        <is>
          <t>NPg (Yorkshire) LC14 CDCM statements; D28 reconstruction 2010-16</t>
        </is>
      </c>
      <c r="K465" s="77" t="inlineStr">
        <is>
          <t>stage4_uk r34-41</t>
        </is>
      </c>
      <c r="L465" s="77" t="inlineStr">
        <is>
          <t>2026-07-15</t>
        </is>
      </c>
      <c r="M465" s="77" t="inlineStr">
        <is>
          <t>Y</t>
        </is>
      </c>
      <c r="N465" s="77">
        <f>IF(ISNUMBER(timeseries!F24),timeseries!F24*(1-IF(ISNUMBER(stage4_uk!F48),stage4_uk!F48,0)),"")</f>
        <v/>
      </c>
      <c r="O465" s="77" t="inlineStr">
        <is>
          <t>GBP/MWh nominal</t>
        </is>
      </c>
    </row>
    <row r="466" ht="15" customHeight="1" s="78">
      <c r="A466" s="77" t="inlineStr">
        <is>
          <t>UK</t>
        </is>
      </c>
      <c r="B466" s="77" t="n">
        <v>2012</v>
      </c>
      <c r="C466" s="77" t="inlineStr">
        <is>
          <t>medium</t>
        </is>
      </c>
      <c r="D466" s="77" t="inlineStr">
        <is>
          <t>E2</t>
        </is>
      </c>
      <c r="E466" s="77" t="inlineStr">
        <is>
          <t>DUoS fixed charge (TCR Band-4 residual from 2022/23)</t>
        </is>
      </c>
      <c r="F466" s="77" t="inlineStr">
        <is>
          <t>3 Network</t>
        </is>
      </c>
      <c r="G466" s="77" t="inlineStr">
        <is>
          <t>distribution network charge</t>
        </is>
      </c>
      <c r="H466" s="77" t="inlineStr">
        <is>
          <t>i (post-NCC relief)</t>
        </is>
      </c>
      <c r="I466" s="77">
        <f>IF(ISNUMBER(N466),N466*fx_deflator!$I$7*fx_deflator!$M$7,"")</f>
        <v/>
      </c>
      <c r="J466" s="77" t="inlineStr">
        <is>
          <t>NPg (Yorkshire) LC14 CDCM statements; D28 reconstruction 2010-16</t>
        </is>
      </c>
      <c r="K466" s="77" t="inlineStr">
        <is>
          <t>stage4_uk r34-41</t>
        </is>
      </c>
      <c r="L466" s="77" t="inlineStr">
        <is>
          <t>2026-07-15</t>
        </is>
      </c>
      <c r="M466" s="77" t="inlineStr">
        <is>
          <t>Y</t>
        </is>
      </c>
      <c r="N466" s="77">
        <f>IF(ISNUMBER(timeseries!F25),timeseries!F25*(1-IF(ISNUMBER(stage4_uk!F48),stage4_uk!F48,0)),"")</f>
        <v/>
      </c>
      <c r="O466" s="77" t="inlineStr">
        <is>
          <t>GBP/MWh nominal</t>
        </is>
      </c>
    </row>
    <row r="467" ht="15" customHeight="1" s="78">
      <c r="A467" s="77" t="inlineStr">
        <is>
          <t>UK</t>
        </is>
      </c>
      <c r="B467" s="77" t="n">
        <v>2012</v>
      </c>
      <c r="C467" s="77" t="inlineStr">
        <is>
          <t>medium</t>
        </is>
      </c>
      <c r="D467" s="77" t="inlineStr">
        <is>
          <t>E2</t>
        </is>
      </c>
      <c r="E467" s="77" t="inlineStr">
        <is>
          <t>DUoS capacity charge</t>
        </is>
      </c>
      <c r="F467" s="77" t="inlineStr">
        <is>
          <t>3 Network</t>
        </is>
      </c>
      <c r="G467" s="77" t="inlineStr">
        <is>
          <t>distribution network charge</t>
        </is>
      </c>
      <c r="H467" s="77" t="inlineStr">
        <is>
          <t>i (post-NCC relief)</t>
        </is>
      </c>
      <c r="I467" s="77">
        <f>IF(ISNUMBER(N467),N467*fx_deflator!$I$7*fx_deflator!$M$7,"")</f>
        <v/>
      </c>
      <c r="J467" s="77" t="inlineStr">
        <is>
          <t>NPg (Yorkshire) LC14 CDCM statements; D28 reconstruction 2010-16</t>
        </is>
      </c>
      <c r="K467" s="77" t="inlineStr">
        <is>
          <t>stage4_uk r34-41</t>
        </is>
      </c>
      <c r="L467" s="77" t="inlineStr">
        <is>
          <t>2026-07-15</t>
        </is>
      </c>
      <c r="M467" s="77" t="inlineStr">
        <is>
          <t>Y</t>
        </is>
      </c>
      <c r="N467" s="77">
        <f>IF(ISNUMBER(timeseries!F26),timeseries!F26*(1-IF(ISNUMBER(stage4_uk!F48),stage4_uk!F48,0)),"")</f>
        <v/>
      </c>
      <c r="O467" s="77" t="inlineStr">
        <is>
          <t>GBP/MWh nominal</t>
        </is>
      </c>
    </row>
    <row r="468" ht="15" customHeight="1" s="78">
      <c r="A468" s="77" t="inlineStr">
        <is>
          <t>UK</t>
        </is>
      </c>
      <c r="B468" s="77" t="n">
        <v>2012</v>
      </c>
      <c r="C468" s="77" t="inlineStr">
        <is>
          <t>medium</t>
        </is>
      </c>
      <c r="D468" s="77" t="inlineStr">
        <is>
          <t>E2</t>
        </is>
      </c>
      <c r="E468" s="77" t="inlineStr">
        <is>
          <t>BSUoS (demand-only from 04/2023)</t>
        </is>
      </c>
      <c r="F468" s="77" t="inlineStr">
        <is>
          <t>4 System services &amp; balancing</t>
        </is>
      </c>
      <c r="G468" s="77" t="inlineStr">
        <is>
          <t>balancing charge</t>
        </is>
      </c>
      <c r="H468" s="77" t="inlineStr">
        <is>
          <t>i (post-NCC relief)</t>
        </is>
      </c>
      <c r="I468" s="77">
        <f>IF(ISNUMBER(N468),N468*fx_deflator!$I$7*fx_deflator!$M$7,"")</f>
        <v/>
      </c>
      <c r="J468" s="77" t="inlineStr">
        <is>
          <t>NESO bsuos-fixed-tariffs + HH RF settlement files (own annual avg 2010-22)</t>
        </is>
      </c>
      <c r="K468" s="77" t="inlineStr">
        <is>
          <t>stage4_uk r28-30</t>
        </is>
      </c>
      <c r="L468" s="77" t="inlineStr">
        <is>
          <t>2026-07-15</t>
        </is>
      </c>
      <c r="M468" s="77" t="inlineStr">
        <is>
          <t>Y</t>
        </is>
      </c>
      <c r="N468" s="77">
        <f>IF(ISNUMBER(timeseries!F8),timeseries!F8*(1-IF(ISNUMBER(stage4_uk!F48),stage4_uk!F48,0)),"")</f>
        <v/>
      </c>
      <c r="O468" s="77" t="inlineStr">
        <is>
          <t>GBP/MWh nominal</t>
        </is>
      </c>
    </row>
    <row r="469" ht="15" customHeight="1" s="78">
      <c r="A469" s="77" t="inlineStr">
        <is>
          <t>UK</t>
        </is>
      </c>
      <c r="B469" s="77" t="n">
        <v>2012</v>
      </c>
      <c r="C469" s="77" t="inlineStr">
        <is>
          <t>medium</t>
        </is>
      </c>
      <c r="D469" s="77" t="inlineStr">
        <is>
          <t>E2</t>
        </is>
      </c>
      <c r="E469" s="77" t="inlineStr">
        <is>
          <t>AAHEDC</t>
        </is>
      </c>
      <c r="F469" s="77" t="inlineStr">
        <is>
          <t>3 Network</t>
        </is>
      </c>
      <c r="G469" s="77" t="inlineStr">
        <is>
          <t>network levy (hydro benefit)</t>
        </is>
      </c>
      <c r="H469" s="77" t="inlineStr">
        <is>
          <t>ii (pays cross-subsidy to N Scotland consumers)</t>
        </is>
      </c>
      <c r="I469" s="77">
        <f>IF(ISNUMBER(N469),N469*fx_deflator!$I$7*fx_deflator!$M$7,"")</f>
        <v/>
      </c>
      <c r="J469" s="77" t="inlineStr">
        <is>
          <t>NG/ESO AAHEDC charging statements &amp; final tariff letters</t>
        </is>
      </c>
      <c r="K469" s="77" t="inlineStr">
        <is>
          <t>stage4_uk r31</t>
        </is>
      </c>
      <c r="L469" s="77" t="inlineStr">
        <is>
          <t>2026-07-15</t>
        </is>
      </c>
      <c r="M469" s="77" t="inlineStr">
        <is>
          <t>N</t>
        </is>
      </c>
      <c r="N469" s="77">
        <f>IF(ISNUMBER(timeseries!F9),timeseries!F9,"")</f>
        <v/>
      </c>
      <c r="O469" s="77" t="inlineStr">
        <is>
          <t>GBP/MWh nominal</t>
        </is>
      </c>
      <c r="P469" s="77" t="inlineStr">
        <is>
          <t>not in NCC base (conservative, unverified)</t>
        </is>
      </c>
    </row>
    <row r="470" ht="15" customHeight="1" s="78">
      <c r="A470" s="77" t="inlineStr">
        <is>
          <t>UK</t>
        </is>
      </c>
      <c r="B470" s="77" t="n">
        <v>2012</v>
      </c>
      <c r="C470" s="77" t="inlineStr">
        <is>
          <t>medium</t>
        </is>
      </c>
      <c r="D470" s="77" t="inlineStr">
        <is>
          <t>E2</t>
        </is>
      </c>
      <c r="E470" s="77" t="inlineStr">
        <is>
          <t>RO (buy-out x obligation)</t>
        </is>
      </c>
      <c r="F470" s="77" t="inlineStr">
        <is>
          <t>2 Gen capital recovery</t>
        </is>
      </c>
      <c r="G470" s="77" t="inlineStr">
        <is>
          <t>renewables levy</t>
        </is>
      </c>
      <c r="H470" s="77" t="inlineStr">
        <is>
          <t>i</t>
        </is>
      </c>
      <c r="I470" s="77">
        <f>IF(ISNUMBER(N470),N470*fx_deflator!$I$7*fx_deflator!$M$7,"")</f>
        <v/>
      </c>
      <c r="J470" s="77" t="inlineStr">
        <is>
          <t>Ofgem RO guidance OFG1164 Table 1.1 (buy-out x obligation)</t>
        </is>
      </c>
      <c r="K470" s="77" t="inlineStr">
        <is>
          <t>stage4_uk r12-14</t>
        </is>
      </c>
      <c r="L470" s="77" t="inlineStr">
        <is>
          <t>2026-07-15</t>
        </is>
      </c>
      <c r="M470" s="77" t="inlineStr">
        <is>
          <t>Y</t>
        </is>
      </c>
      <c r="N470" s="77">
        <f>IF(ISNUMBER(timeseries!F10),timeseries!F10*(1-IF(ISNUMBER(stage4_uk!F45),stage4_uk!F45,0)),"")</f>
        <v/>
      </c>
      <c r="O470" s="77" t="inlineStr">
        <is>
          <t>GBP/MWh nominal</t>
        </is>
      </c>
    </row>
    <row r="471" ht="15" customHeight="1" s="78">
      <c r="A471" s="77" t="inlineStr">
        <is>
          <t>UK</t>
        </is>
      </c>
      <c r="B471" s="77" t="n">
        <v>2012</v>
      </c>
      <c r="C471" s="77" t="inlineStr">
        <is>
          <t>medium</t>
        </is>
      </c>
      <c r="D471" s="77" t="inlineStr">
        <is>
          <t>E2</t>
        </is>
      </c>
      <c r="E471" s="77" t="inlineStr">
        <is>
          <t>FiT levelisation</t>
        </is>
      </c>
      <c r="F471" s="77" t="inlineStr">
        <is>
          <t>2 Gen capital recovery</t>
        </is>
      </c>
      <c r="G471" s="77" t="inlineStr">
        <is>
          <t>renewables levy</t>
        </is>
      </c>
      <c r="H471" s="77" t="inlineStr">
        <is>
          <t>i</t>
        </is>
      </c>
      <c r="I471" s="77">
        <f>IF(ISNUMBER(N471),N471*fx_deflator!$I$7*fx_deflator!$M$7,"")</f>
        <v/>
      </c>
      <c r="J471" s="77" t="inlineStr">
        <is>
          <t>Ofgem FIT Annual Reports SY1-SY15; D27 for 2010-14</t>
        </is>
      </c>
      <c r="K471" s="77" t="inlineStr">
        <is>
          <t>stage4_uk r20</t>
        </is>
      </c>
      <c r="L471" s="77" t="inlineStr">
        <is>
          <t>2026-07-15</t>
        </is>
      </c>
      <c r="M471" s="77" t="inlineStr">
        <is>
          <t>Y</t>
        </is>
      </c>
      <c r="N471" s="77">
        <f>IF(ISNUMBER(timeseries!F12),timeseries!F12*(1-IF(ISNUMBER(stage4_uk!F46),stage4_uk!F46,0)),"")</f>
        <v/>
      </c>
      <c r="O471" s="77" t="inlineStr">
        <is>
          <t>GBP/MWh nominal</t>
        </is>
      </c>
      <c r="P471" s="77" t="inlineStr">
        <is>
          <t>2025 unpublished (Q32) — row absent, gap stated</t>
        </is>
      </c>
    </row>
    <row r="472" ht="15" customHeight="1" s="78">
      <c r="A472" s="77" t="inlineStr">
        <is>
          <t>UK</t>
        </is>
      </c>
      <c r="B472" s="77" t="n">
        <v>2012</v>
      </c>
      <c r="C472" s="77" t="inlineStr">
        <is>
          <t>medium</t>
        </is>
      </c>
      <c r="D472" s="77" t="inlineStr">
        <is>
          <t>E2</t>
        </is>
      </c>
      <c r="E472" s="77" t="inlineStr">
        <is>
          <t>CCL — EXEMPT for the relieved case (mineralogical/metallurgical, HMRC CCL1/3 s3.14; D71)</t>
        </is>
      </c>
      <c r="F472" s="77" t="inlineStr">
        <is>
          <t>5 General taxation &amp; levies</t>
        </is>
      </c>
      <c r="G472" s="77" t="inlineStr">
        <is>
          <t>climate levy (tax)</t>
        </is>
      </c>
      <c r="H472" s="77" t="inlineStr">
        <is>
          <t>i</t>
        </is>
      </c>
      <c r="I472" s="77">
        <f>IF(ISNUMBER(N472),N472*fx_deflator!$I$7*fx_deflator!$M$7,"")</f>
        <v/>
      </c>
      <c r="J472" s="77" t="inlineStr">
        <is>
          <t>HMRC Excise Notice CCL1/3 s3.14 + Annex A (exemption from 01.04.2014). S209</t>
        </is>
      </c>
      <c r="K472" s="77" t="inlineStr">
        <is>
          <t>stage4_uk r22</t>
        </is>
      </c>
      <c r="L472" s="77" t="inlineStr">
        <is>
          <t>2026-07-15</t>
        </is>
      </c>
      <c r="M472" s="77" t="inlineStr">
        <is>
          <t>N</t>
        </is>
      </c>
      <c r="N472" s="136">
        <f>IF(ISNUMBER(timeseries!F14),0,"")</f>
        <v/>
      </c>
      <c r="O472" s="77" t="inlineStr">
        <is>
          <t>GBP/MWh nominal</t>
        </is>
      </c>
    </row>
    <row r="473" ht="15" customHeight="1" s="78">
      <c r="A473" s="77" t="inlineStr">
        <is>
          <t>UK</t>
        </is>
      </c>
      <c r="B473" s="77" t="n">
        <v>2013</v>
      </c>
      <c r="C473" s="77" t="inlineStr">
        <is>
          <t>medium</t>
        </is>
      </c>
      <c r="D473" s="77" t="inlineStr">
        <is>
          <t>E2</t>
        </is>
      </c>
      <c r="E473" s="77" t="inlineStr">
        <is>
          <t>Wholesale (rolling year-ahead baseload; DA proxy &lt;=2021)</t>
        </is>
      </c>
      <c r="F473" s="77" t="inlineStr">
        <is>
          <t>1 Commodity</t>
        </is>
      </c>
      <c r="G473" s="77" t="inlineStr">
        <is>
          <t>wholesale market</t>
        </is>
      </c>
      <c r="H473" s="77" t="inlineStr">
        <is>
          <t>i</t>
        </is>
      </c>
      <c r="I473" s="77">
        <f>IF(ISNUMBER(N473),N473*fx_deflator!$I$8*fx_deflator!$M$8,"")</f>
        <v/>
      </c>
      <c r="J473" s="77" t="inlineStr">
        <is>
          <t>Ofgem data portal — DA baseload monthly avg (proxy &lt;=2021, D22); Forward Delivery Contracts (D21)</t>
        </is>
      </c>
      <c r="K473" s="77" t="inlineStr">
        <is>
          <t>stage4_uk r7-9</t>
        </is>
      </c>
      <c r="L473" s="77" t="inlineStr">
        <is>
          <t>2026-07-15</t>
        </is>
      </c>
      <c r="M473" s="77" t="inlineStr">
        <is>
          <t>Y</t>
        </is>
      </c>
      <c r="N473" s="136">
        <f>IF(ISNUMBER(timeseries!G22),timeseries!G22,"")</f>
        <v/>
      </c>
      <c r="O473" s="77" t="inlineStr">
        <is>
          <t>GBP/MWh nominal</t>
        </is>
      </c>
      <c r="P473" s="77" t="inlineStr">
        <is>
          <t>identical E1/E2; embedded carbon memo inside this item</t>
        </is>
      </c>
    </row>
    <row r="474" ht="15" customHeight="1" s="78">
      <c r="A474" s="77" t="inlineStr">
        <is>
          <t>UK</t>
        </is>
      </c>
      <c r="B474" s="77" t="n">
        <v>2013</v>
      </c>
      <c r="C474" s="77" t="inlineStr">
        <is>
          <t>medium</t>
        </is>
      </c>
      <c r="D474" s="77" t="inlineStr">
        <is>
          <t>E2</t>
        </is>
      </c>
      <c r="E474" s="77" t="inlineStr">
        <is>
          <t>TNUoS demand (zone 5; TCR banded residual from 2023)</t>
        </is>
      </c>
      <c r="F474" s="77" t="inlineStr">
        <is>
          <t>3 Network</t>
        </is>
      </c>
      <c r="G474" s="77" t="inlineStr">
        <is>
          <t>transmission network charge</t>
        </is>
      </c>
      <c r="H474" s="77" t="inlineStr">
        <is>
          <t>i (post-NCC relief; relief funded via ESL = ii instrument)</t>
        </is>
      </c>
      <c r="I474" s="77">
        <f>IF(ISNUMBER(N474),N474*fx_deflator!$I$8*fx_deflator!$M$8,"")</f>
        <v/>
      </c>
      <c r="J474" s="77" t="inlineStr">
        <is>
          <t>NESO TNUoS tariff documents (compendium doc 50736; Final TNUoS 2023/24-2026/27 Table 10)</t>
        </is>
      </c>
      <c r="K474" s="77" t="inlineStr">
        <is>
          <t>stage4_uk r25-27</t>
        </is>
      </c>
      <c r="L474" s="77" t="inlineStr">
        <is>
          <t>2026-07-15</t>
        </is>
      </c>
      <c r="M474" s="77" t="inlineStr">
        <is>
          <t>Y</t>
        </is>
      </c>
      <c r="N474" s="77">
        <f>IF(ISNUMBER(timeseries!G23),timeseries!G23*(1-IF(ISNUMBER(stage4_uk!G48),stage4_uk!G48,0)),"")</f>
        <v/>
      </c>
      <c r="O474" s="77" t="inlineStr">
        <is>
          <t>GBP/MWh nominal</t>
        </is>
      </c>
    </row>
    <row r="475" ht="15" customHeight="1" s="78">
      <c r="A475" s="77" t="inlineStr">
        <is>
          <t>UK</t>
        </is>
      </c>
      <c r="B475" s="77" t="n">
        <v>2013</v>
      </c>
      <c r="C475" s="77" t="inlineStr">
        <is>
          <t>medium</t>
        </is>
      </c>
      <c r="D475" s="77" t="inlineStr">
        <is>
          <t>E2</t>
        </is>
      </c>
      <c r="E475" s="77" t="inlineStr">
        <is>
          <t>DUoS unit rates (NPg CDCM red/amber/green, uniform-operation weights)</t>
        </is>
      </c>
      <c r="F475" s="77" t="inlineStr">
        <is>
          <t>3 Network</t>
        </is>
      </c>
      <c r="G475" s="77" t="inlineStr">
        <is>
          <t>distribution network charge</t>
        </is>
      </c>
      <c r="H475" s="77" t="inlineStr">
        <is>
          <t>i (post-NCC relief)</t>
        </is>
      </c>
      <c r="I475" s="77">
        <f>IF(ISNUMBER(N475),N475*fx_deflator!$I$8*fx_deflator!$M$8,"")</f>
        <v/>
      </c>
      <c r="J475" s="77" t="inlineStr">
        <is>
          <t>NPg (Yorkshire) LC14 CDCM statements; D28 reconstruction 2010-16</t>
        </is>
      </c>
      <c r="K475" s="77" t="inlineStr">
        <is>
          <t>stage4_uk r34-41</t>
        </is>
      </c>
      <c r="L475" s="77" t="inlineStr">
        <is>
          <t>2026-07-15</t>
        </is>
      </c>
      <c r="M475" s="77" t="inlineStr">
        <is>
          <t>Y</t>
        </is>
      </c>
      <c r="N475" s="77">
        <f>IF(ISNUMBER(timeseries!G24),timeseries!G24*(1-IF(ISNUMBER(stage4_uk!G48),stage4_uk!G48,0)),"")</f>
        <v/>
      </c>
      <c r="O475" s="77" t="inlineStr">
        <is>
          <t>GBP/MWh nominal</t>
        </is>
      </c>
    </row>
    <row r="476" ht="15" customHeight="1" s="78">
      <c r="A476" s="77" t="inlineStr">
        <is>
          <t>UK</t>
        </is>
      </c>
      <c r="B476" s="77" t="n">
        <v>2013</v>
      </c>
      <c r="C476" s="77" t="inlineStr">
        <is>
          <t>medium</t>
        </is>
      </c>
      <c r="D476" s="77" t="inlineStr">
        <is>
          <t>E2</t>
        </is>
      </c>
      <c r="E476" s="77" t="inlineStr">
        <is>
          <t>DUoS fixed charge (TCR Band-4 residual from 2022/23)</t>
        </is>
      </c>
      <c r="F476" s="77" t="inlineStr">
        <is>
          <t>3 Network</t>
        </is>
      </c>
      <c r="G476" s="77" t="inlineStr">
        <is>
          <t>distribution network charge</t>
        </is>
      </c>
      <c r="H476" s="77" t="inlineStr">
        <is>
          <t>i (post-NCC relief)</t>
        </is>
      </c>
      <c r="I476" s="77">
        <f>IF(ISNUMBER(N476),N476*fx_deflator!$I$8*fx_deflator!$M$8,"")</f>
        <v/>
      </c>
      <c r="J476" s="77" t="inlineStr">
        <is>
          <t>NPg (Yorkshire) LC14 CDCM statements; D28 reconstruction 2010-16</t>
        </is>
      </c>
      <c r="K476" s="77" t="inlineStr">
        <is>
          <t>stage4_uk r34-41</t>
        </is>
      </c>
      <c r="L476" s="77" t="inlineStr">
        <is>
          <t>2026-07-15</t>
        </is>
      </c>
      <c r="M476" s="77" t="inlineStr">
        <is>
          <t>Y</t>
        </is>
      </c>
      <c r="N476" s="77">
        <f>IF(ISNUMBER(timeseries!G25),timeseries!G25*(1-IF(ISNUMBER(stage4_uk!G48),stage4_uk!G48,0)),"")</f>
        <v/>
      </c>
      <c r="O476" s="77" t="inlineStr">
        <is>
          <t>GBP/MWh nominal</t>
        </is>
      </c>
    </row>
    <row r="477" ht="15" customHeight="1" s="78">
      <c r="A477" s="77" t="inlineStr">
        <is>
          <t>UK</t>
        </is>
      </c>
      <c r="B477" s="77" t="n">
        <v>2013</v>
      </c>
      <c r="C477" s="77" t="inlineStr">
        <is>
          <t>medium</t>
        </is>
      </c>
      <c r="D477" s="77" t="inlineStr">
        <is>
          <t>E2</t>
        </is>
      </c>
      <c r="E477" s="77" t="inlineStr">
        <is>
          <t>DUoS capacity charge</t>
        </is>
      </c>
      <c r="F477" s="77" t="inlineStr">
        <is>
          <t>3 Network</t>
        </is>
      </c>
      <c r="G477" s="77" t="inlineStr">
        <is>
          <t>distribution network charge</t>
        </is>
      </c>
      <c r="H477" s="77" t="inlineStr">
        <is>
          <t>i (post-NCC relief)</t>
        </is>
      </c>
      <c r="I477" s="77">
        <f>IF(ISNUMBER(N477),N477*fx_deflator!$I$8*fx_deflator!$M$8,"")</f>
        <v/>
      </c>
      <c r="J477" s="77" t="inlineStr">
        <is>
          <t>NPg (Yorkshire) LC14 CDCM statements; D28 reconstruction 2010-16</t>
        </is>
      </c>
      <c r="K477" s="77" t="inlineStr">
        <is>
          <t>stage4_uk r34-41</t>
        </is>
      </c>
      <c r="L477" s="77" t="inlineStr">
        <is>
          <t>2026-07-15</t>
        </is>
      </c>
      <c r="M477" s="77" t="inlineStr">
        <is>
          <t>Y</t>
        </is>
      </c>
      <c r="N477" s="77">
        <f>IF(ISNUMBER(timeseries!G26),timeseries!G26*(1-IF(ISNUMBER(stage4_uk!G48),stage4_uk!G48,0)),"")</f>
        <v/>
      </c>
      <c r="O477" s="77" t="inlineStr">
        <is>
          <t>GBP/MWh nominal</t>
        </is>
      </c>
    </row>
    <row r="478" ht="15" customHeight="1" s="78">
      <c r="A478" s="77" t="inlineStr">
        <is>
          <t>UK</t>
        </is>
      </c>
      <c r="B478" s="77" t="n">
        <v>2013</v>
      </c>
      <c r="C478" s="77" t="inlineStr">
        <is>
          <t>medium</t>
        </is>
      </c>
      <c r="D478" s="77" t="inlineStr">
        <is>
          <t>E2</t>
        </is>
      </c>
      <c r="E478" s="77" t="inlineStr">
        <is>
          <t>BSUoS (demand-only from 04/2023)</t>
        </is>
      </c>
      <c r="F478" s="77" t="inlineStr">
        <is>
          <t>4 System services &amp; balancing</t>
        </is>
      </c>
      <c r="G478" s="77" t="inlineStr">
        <is>
          <t>balancing charge</t>
        </is>
      </c>
      <c r="H478" s="77" t="inlineStr">
        <is>
          <t>i (post-NCC relief)</t>
        </is>
      </c>
      <c r="I478" s="77">
        <f>IF(ISNUMBER(N478),N478*fx_deflator!$I$8*fx_deflator!$M$8,"")</f>
        <v/>
      </c>
      <c r="J478" s="77" t="inlineStr">
        <is>
          <t>NESO bsuos-fixed-tariffs + HH RF settlement files (own annual avg 2010-22)</t>
        </is>
      </c>
      <c r="K478" s="77" t="inlineStr">
        <is>
          <t>stage4_uk r28-30</t>
        </is>
      </c>
      <c r="L478" s="77" t="inlineStr">
        <is>
          <t>2026-07-15</t>
        </is>
      </c>
      <c r="M478" s="77" t="inlineStr">
        <is>
          <t>Y</t>
        </is>
      </c>
      <c r="N478" s="77">
        <f>IF(ISNUMBER(timeseries!G8),timeseries!G8*(1-IF(ISNUMBER(stage4_uk!G48),stage4_uk!G48,0)),"")</f>
        <v/>
      </c>
      <c r="O478" s="77" t="inlineStr">
        <is>
          <t>GBP/MWh nominal</t>
        </is>
      </c>
    </row>
    <row r="479" ht="15" customHeight="1" s="78">
      <c r="A479" s="77" t="inlineStr">
        <is>
          <t>UK</t>
        </is>
      </c>
      <c r="B479" s="77" t="n">
        <v>2013</v>
      </c>
      <c r="C479" s="77" t="inlineStr">
        <is>
          <t>medium</t>
        </is>
      </c>
      <c r="D479" s="77" t="inlineStr">
        <is>
          <t>E2</t>
        </is>
      </c>
      <c r="E479" s="77" t="inlineStr">
        <is>
          <t>AAHEDC</t>
        </is>
      </c>
      <c r="F479" s="77" t="inlineStr">
        <is>
          <t>3 Network</t>
        </is>
      </c>
      <c r="G479" s="77" t="inlineStr">
        <is>
          <t>network levy (hydro benefit)</t>
        </is>
      </c>
      <c r="H479" s="77" t="inlineStr">
        <is>
          <t>ii (pays cross-subsidy to N Scotland consumers)</t>
        </is>
      </c>
      <c r="I479" s="77">
        <f>IF(ISNUMBER(N479),N479*fx_deflator!$I$8*fx_deflator!$M$8,"")</f>
        <v/>
      </c>
      <c r="J479" s="77" t="inlineStr">
        <is>
          <t>NG/ESO AAHEDC charging statements &amp; final tariff letters</t>
        </is>
      </c>
      <c r="K479" s="77" t="inlineStr">
        <is>
          <t>stage4_uk r31</t>
        </is>
      </c>
      <c r="L479" s="77" t="inlineStr">
        <is>
          <t>2026-07-15</t>
        </is>
      </c>
      <c r="M479" s="77" t="inlineStr">
        <is>
          <t>N</t>
        </is>
      </c>
      <c r="N479" s="77">
        <f>IF(ISNUMBER(timeseries!G9),timeseries!G9,"")</f>
        <v/>
      </c>
      <c r="O479" s="77" t="inlineStr">
        <is>
          <t>GBP/MWh nominal</t>
        </is>
      </c>
      <c r="P479" s="77" t="inlineStr">
        <is>
          <t>not in NCC base (conservative, unverified)</t>
        </is>
      </c>
    </row>
    <row r="480" ht="15" customHeight="1" s="78">
      <c r="A480" s="77" t="inlineStr">
        <is>
          <t>UK</t>
        </is>
      </c>
      <c r="B480" s="77" t="n">
        <v>2013</v>
      </c>
      <c r="C480" s="77" t="inlineStr">
        <is>
          <t>medium</t>
        </is>
      </c>
      <c r="D480" s="77" t="inlineStr">
        <is>
          <t>E2</t>
        </is>
      </c>
      <c r="E480" s="77" t="inlineStr">
        <is>
          <t>RO (buy-out x obligation)</t>
        </is>
      </c>
      <c r="F480" s="77" t="inlineStr">
        <is>
          <t>2 Gen capital recovery</t>
        </is>
      </c>
      <c r="G480" s="77" t="inlineStr">
        <is>
          <t>renewables levy</t>
        </is>
      </c>
      <c r="H480" s="77" t="inlineStr">
        <is>
          <t>i</t>
        </is>
      </c>
      <c r="I480" s="77">
        <f>IF(ISNUMBER(N480),N480*fx_deflator!$I$8*fx_deflator!$M$8,"")</f>
        <v/>
      </c>
      <c r="J480" s="77" t="inlineStr">
        <is>
          <t>Ofgem RO guidance OFG1164 Table 1.1 (buy-out x obligation)</t>
        </is>
      </c>
      <c r="K480" s="77" t="inlineStr">
        <is>
          <t>stage4_uk r12-14</t>
        </is>
      </c>
      <c r="L480" s="77" t="inlineStr">
        <is>
          <t>2026-07-15</t>
        </is>
      </c>
      <c r="M480" s="77" t="inlineStr">
        <is>
          <t>Y</t>
        </is>
      </c>
      <c r="N480" s="77">
        <f>IF(ISNUMBER(timeseries!G10),timeseries!G10*(1-IF(ISNUMBER(stage4_uk!G45),stage4_uk!G45,0)),"")</f>
        <v/>
      </c>
      <c r="O480" s="77" t="inlineStr">
        <is>
          <t>GBP/MWh nominal</t>
        </is>
      </c>
    </row>
    <row r="481" ht="15" customHeight="1" s="78">
      <c r="A481" s="77" t="inlineStr">
        <is>
          <t>UK</t>
        </is>
      </c>
      <c r="B481" s="77" t="n">
        <v>2013</v>
      </c>
      <c r="C481" s="77" t="inlineStr">
        <is>
          <t>medium</t>
        </is>
      </c>
      <c r="D481" s="77" t="inlineStr">
        <is>
          <t>E2</t>
        </is>
      </c>
      <c r="E481" s="77" t="inlineStr">
        <is>
          <t>FiT levelisation</t>
        </is>
      </c>
      <c r="F481" s="77" t="inlineStr">
        <is>
          <t>2 Gen capital recovery</t>
        </is>
      </c>
      <c r="G481" s="77" t="inlineStr">
        <is>
          <t>renewables levy</t>
        </is>
      </c>
      <c r="H481" s="77" t="inlineStr">
        <is>
          <t>i</t>
        </is>
      </c>
      <c r="I481" s="77">
        <f>IF(ISNUMBER(N481),N481*fx_deflator!$I$8*fx_deflator!$M$8,"")</f>
        <v/>
      </c>
      <c r="J481" s="77" t="inlineStr">
        <is>
          <t>Ofgem FIT Annual Reports SY1-SY15; D27 for 2010-14</t>
        </is>
      </c>
      <c r="K481" s="77" t="inlineStr">
        <is>
          <t>stage4_uk r20</t>
        </is>
      </c>
      <c r="L481" s="77" t="inlineStr">
        <is>
          <t>2026-07-15</t>
        </is>
      </c>
      <c r="M481" s="77" t="inlineStr">
        <is>
          <t>Y</t>
        </is>
      </c>
      <c r="N481" s="77">
        <f>IF(ISNUMBER(timeseries!G12),timeseries!G12*(1-IF(ISNUMBER(stage4_uk!G46),stage4_uk!G46,0)),"")</f>
        <v/>
      </c>
      <c r="O481" s="77" t="inlineStr">
        <is>
          <t>GBP/MWh nominal</t>
        </is>
      </c>
      <c r="P481" s="77" t="inlineStr">
        <is>
          <t>2025 unpublished (Q32) — row absent, gap stated</t>
        </is>
      </c>
    </row>
    <row r="482" ht="15" customHeight="1" s="78">
      <c r="A482" s="77" t="inlineStr">
        <is>
          <t>UK</t>
        </is>
      </c>
      <c r="B482" s="77" t="n">
        <v>2013</v>
      </c>
      <c r="C482" s="77" t="inlineStr">
        <is>
          <t>medium</t>
        </is>
      </c>
      <c r="D482" s="77" t="inlineStr">
        <is>
          <t>E2</t>
        </is>
      </c>
      <c r="E482" s="77" t="inlineStr">
        <is>
          <t>CCL — EXEMPT for the relieved case (mineralogical/metallurgical, HMRC CCL1/3 s3.14; D71)</t>
        </is>
      </c>
      <c r="F482" s="77" t="inlineStr">
        <is>
          <t>5 General taxation &amp; levies</t>
        </is>
      </c>
      <c r="G482" s="77" t="inlineStr">
        <is>
          <t>climate levy (tax)</t>
        </is>
      </c>
      <c r="H482" s="77" t="inlineStr">
        <is>
          <t>i</t>
        </is>
      </c>
      <c r="I482" s="77">
        <f>IF(ISNUMBER(N482),N482*fx_deflator!$I$8*fx_deflator!$M$8,"")</f>
        <v/>
      </c>
      <c r="J482" s="77" t="inlineStr">
        <is>
          <t>HMRC Excise Notice CCL1/3 s3.14 + Annex A (exemption from 01.04.2014). S209</t>
        </is>
      </c>
      <c r="K482" s="77" t="inlineStr">
        <is>
          <t>stage4_uk r22</t>
        </is>
      </c>
      <c r="L482" s="77" t="inlineStr">
        <is>
          <t>2026-07-15</t>
        </is>
      </c>
      <c r="M482" s="77" t="inlineStr">
        <is>
          <t>N</t>
        </is>
      </c>
      <c r="N482" s="136">
        <f>IF(ISNUMBER(timeseries!G14),0,"")</f>
        <v/>
      </c>
      <c r="O482" s="77" t="inlineStr">
        <is>
          <t>GBP/MWh nominal</t>
        </is>
      </c>
    </row>
    <row r="483" ht="15" customHeight="1" s="78">
      <c r="A483" s="77" t="inlineStr">
        <is>
          <t>UK</t>
        </is>
      </c>
      <c r="B483" s="77" t="n">
        <v>2014</v>
      </c>
      <c r="C483" s="77" t="inlineStr">
        <is>
          <t>medium</t>
        </is>
      </c>
      <c r="D483" s="77" t="inlineStr">
        <is>
          <t>E2</t>
        </is>
      </c>
      <c r="E483" s="77" t="inlineStr">
        <is>
          <t>Wholesale (rolling year-ahead baseload; DA proxy &lt;=2021)</t>
        </is>
      </c>
      <c r="F483" s="77" t="inlineStr">
        <is>
          <t>1 Commodity</t>
        </is>
      </c>
      <c r="G483" s="77" t="inlineStr">
        <is>
          <t>wholesale market</t>
        </is>
      </c>
      <c r="H483" s="77" t="inlineStr">
        <is>
          <t>i</t>
        </is>
      </c>
      <c r="I483" s="77">
        <f>IF(ISNUMBER(N483),N483*fx_deflator!$I$9*fx_deflator!$M$9,"")</f>
        <v/>
      </c>
      <c r="J483" s="77" t="inlineStr">
        <is>
          <t>Ofgem data portal — DA baseload monthly avg (proxy &lt;=2021, D22); Forward Delivery Contracts (D21)</t>
        </is>
      </c>
      <c r="K483" s="77" t="inlineStr">
        <is>
          <t>stage4_uk r7-9</t>
        </is>
      </c>
      <c r="L483" s="77" t="inlineStr">
        <is>
          <t>2026-07-15</t>
        </is>
      </c>
      <c r="M483" s="77" t="inlineStr">
        <is>
          <t>Y</t>
        </is>
      </c>
      <c r="N483" s="136">
        <f>IF(ISNUMBER(timeseries!H22),timeseries!H22,"")</f>
        <v/>
      </c>
      <c r="O483" s="77" t="inlineStr">
        <is>
          <t>GBP/MWh nominal</t>
        </is>
      </c>
      <c r="P483" s="77" t="inlineStr">
        <is>
          <t>identical E1/E2; embedded carbon memo inside this item</t>
        </is>
      </c>
    </row>
    <row r="484" ht="15" customHeight="1" s="78">
      <c r="A484" s="77" t="inlineStr">
        <is>
          <t>UK</t>
        </is>
      </c>
      <c r="B484" s="77" t="n">
        <v>2014</v>
      </c>
      <c r="C484" s="77" t="inlineStr">
        <is>
          <t>medium</t>
        </is>
      </c>
      <c r="D484" s="77" t="inlineStr">
        <is>
          <t>E2</t>
        </is>
      </c>
      <c r="E484" s="77" t="inlineStr">
        <is>
          <t>TNUoS demand (zone 5; TCR banded residual from 2023)</t>
        </is>
      </c>
      <c r="F484" s="77" t="inlineStr">
        <is>
          <t>3 Network</t>
        </is>
      </c>
      <c r="G484" s="77" t="inlineStr">
        <is>
          <t>transmission network charge</t>
        </is>
      </c>
      <c r="H484" s="77" t="inlineStr">
        <is>
          <t>i (post-NCC relief; relief funded via ESL = ii instrument)</t>
        </is>
      </c>
      <c r="I484" s="77">
        <f>IF(ISNUMBER(N484),N484*fx_deflator!$I$9*fx_deflator!$M$9,"")</f>
        <v/>
      </c>
      <c r="J484" s="77" t="inlineStr">
        <is>
          <t>NESO TNUoS tariff documents (compendium doc 50736; Final TNUoS 2023/24-2026/27 Table 10)</t>
        </is>
      </c>
      <c r="K484" s="77" t="inlineStr">
        <is>
          <t>stage4_uk r25-27</t>
        </is>
      </c>
      <c r="L484" s="77" t="inlineStr">
        <is>
          <t>2026-07-15</t>
        </is>
      </c>
      <c r="M484" s="77" t="inlineStr">
        <is>
          <t>Y</t>
        </is>
      </c>
      <c r="N484" s="77">
        <f>IF(ISNUMBER(timeseries!H23),timeseries!H23*(1-IF(ISNUMBER(stage4_uk!H48),stage4_uk!H48,0)),"")</f>
        <v/>
      </c>
      <c r="O484" s="77" t="inlineStr">
        <is>
          <t>GBP/MWh nominal</t>
        </is>
      </c>
    </row>
    <row r="485" ht="15" customHeight="1" s="78">
      <c r="A485" s="77" t="inlineStr">
        <is>
          <t>UK</t>
        </is>
      </c>
      <c r="B485" s="77" t="n">
        <v>2014</v>
      </c>
      <c r="C485" s="77" t="inlineStr">
        <is>
          <t>medium</t>
        </is>
      </c>
      <c r="D485" s="77" t="inlineStr">
        <is>
          <t>E2</t>
        </is>
      </c>
      <c r="E485" s="77" t="inlineStr">
        <is>
          <t>DUoS unit rates (NPg CDCM red/amber/green, uniform-operation weights)</t>
        </is>
      </c>
      <c r="F485" s="77" t="inlineStr">
        <is>
          <t>3 Network</t>
        </is>
      </c>
      <c r="G485" s="77" t="inlineStr">
        <is>
          <t>distribution network charge</t>
        </is>
      </c>
      <c r="H485" s="77" t="inlineStr">
        <is>
          <t>i (post-NCC relief)</t>
        </is>
      </c>
      <c r="I485" s="77">
        <f>IF(ISNUMBER(N485),N485*fx_deflator!$I$9*fx_deflator!$M$9,"")</f>
        <v/>
      </c>
      <c r="J485" s="77" t="inlineStr">
        <is>
          <t>NPg (Yorkshire) LC14 CDCM statements; D28 reconstruction 2010-16</t>
        </is>
      </c>
      <c r="K485" s="77" t="inlineStr">
        <is>
          <t>stage4_uk r34-41</t>
        </is>
      </c>
      <c r="L485" s="77" t="inlineStr">
        <is>
          <t>2026-07-15</t>
        </is>
      </c>
      <c r="M485" s="77" t="inlineStr">
        <is>
          <t>Y</t>
        </is>
      </c>
      <c r="N485" s="77">
        <f>IF(ISNUMBER(timeseries!H24),timeseries!H24*(1-IF(ISNUMBER(stage4_uk!H48),stage4_uk!H48,0)),"")</f>
        <v/>
      </c>
      <c r="O485" s="77" t="inlineStr">
        <is>
          <t>GBP/MWh nominal</t>
        </is>
      </c>
    </row>
    <row r="486" ht="15" customHeight="1" s="78">
      <c r="A486" s="77" t="inlineStr">
        <is>
          <t>UK</t>
        </is>
      </c>
      <c r="B486" s="77" t="n">
        <v>2014</v>
      </c>
      <c r="C486" s="77" t="inlineStr">
        <is>
          <t>medium</t>
        </is>
      </c>
      <c r="D486" s="77" t="inlineStr">
        <is>
          <t>E2</t>
        </is>
      </c>
      <c r="E486" s="77" t="inlineStr">
        <is>
          <t>DUoS fixed charge (TCR Band-4 residual from 2022/23)</t>
        </is>
      </c>
      <c r="F486" s="77" t="inlineStr">
        <is>
          <t>3 Network</t>
        </is>
      </c>
      <c r="G486" s="77" t="inlineStr">
        <is>
          <t>distribution network charge</t>
        </is>
      </c>
      <c r="H486" s="77" t="inlineStr">
        <is>
          <t>i (post-NCC relief)</t>
        </is>
      </c>
      <c r="I486" s="77">
        <f>IF(ISNUMBER(N486),N486*fx_deflator!$I$9*fx_deflator!$M$9,"")</f>
        <v/>
      </c>
      <c r="J486" s="77" t="inlineStr">
        <is>
          <t>NPg (Yorkshire) LC14 CDCM statements; D28 reconstruction 2010-16</t>
        </is>
      </c>
      <c r="K486" s="77" t="inlineStr">
        <is>
          <t>stage4_uk r34-41</t>
        </is>
      </c>
      <c r="L486" s="77" t="inlineStr">
        <is>
          <t>2026-07-15</t>
        </is>
      </c>
      <c r="M486" s="77" t="inlineStr">
        <is>
          <t>Y</t>
        </is>
      </c>
      <c r="N486" s="77">
        <f>IF(ISNUMBER(timeseries!H25),timeseries!H25*(1-IF(ISNUMBER(stage4_uk!H48),stage4_uk!H48,0)),"")</f>
        <v/>
      </c>
      <c r="O486" s="77" t="inlineStr">
        <is>
          <t>GBP/MWh nominal</t>
        </is>
      </c>
    </row>
    <row r="487" ht="15" customHeight="1" s="78">
      <c r="A487" s="77" t="inlineStr">
        <is>
          <t>UK</t>
        </is>
      </c>
      <c r="B487" s="77" t="n">
        <v>2014</v>
      </c>
      <c r="C487" s="77" t="inlineStr">
        <is>
          <t>medium</t>
        </is>
      </c>
      <c r="D487" s="77" t="inlineStr">
        <is>
          <t>E2</t>
        </is>
      </c>
      <c r="E487" s="77" t="inlineStr">
        <is>
          <t>DUoS capacity charge</t>
        </is>
      </c>
      <c r="F487" s="77" t="inlineStr">
        <is>
          <t>3 Network</t>
        </is>
      </c>
      <c r="G487" s="77" t="inlineStr">
        <is>
          <t>distribution network charge</t>
        </is>
      </c>
      <c r="H487" s="77" t="inlineStr">
        <is>
          <t>i (post-NCC relief)</t>
        </is>
      </c>
      <c r="I487" s="77">
        <f>IF(ISNUMBER(N487),N487*fx_deflator!$I$9*fx_deflator!$M$9,"")</f>
        <v/>
      </c>
      <c r="J487" s="77" t="inlineStr">
        <is>
          <t>NPg (Yorkshire) LC14 CDCM statements; D28 reconstruction 2010-16</t>
        </is>
      </c>
      <c r="K487" s="77" t="inlineStr">
        <is>
          <t>stage4_uk r34-41</t>
        </is>
      </c>
      <c r="L487" s="77" t="inlineStr">
        <is>
          <t>2026-07-15</t>
        </is>
      </c>
      <c r="M487" s="77" t="inlineStr">
        <is>
          <t>Y</t>
        </is>
      </c>
      <c r="N487" s="77">
        <f>IF(ISNUMBER(timeseries!H26),timeseries!H26*(1-IF(ISNUMBER(stage4_uk!H48),stage4_uk!H48,0)),"")</f>
        <v/>
      </c>
      <c r="O487" s="77" t="inlineStr">
        <is>
          <t>GBP/MWh nominal</t>
        </is>
      </c>
    </row>
    <row r="488" ht="15" customHeight="1" s="78">
      <c r="A488" s="77" t="inlineStr">
        <is>
          <t>UK</t>
        </is>
      </c>
      <c r="B488" s="77" t="n">
        <v>2014</v>
      </c>
      <c r="C488" s="77" t="inlineStr">
        <is>
          <t>medium</t>
        </is>
      </c>
      <c r="D488" s="77" t="inlineStr">
        <is>
          <t>E2</t>
        </is>
      </c>
      <c r="E488" s="77" t="inlineStr">
        <is>
          <t>BSUoS (demand-only from 04/2023)</t>
        </is>
      </c>
      <c r="F488" s="77" t="inlineStr">
        <is>
          <t>4 System services &amp; balancing</t>
        </is>
      </c>
      <c r="G488" s="77" t="inlineStr">
        <is>
          <t>balancing charge</t>
        </is>
      </c>
      <c r="H488" s="77" t="inlineStr">
        <is>
          <t>i (post-NCC relief)</t>
        </is>
      </c>
      <c r="I488" s="77">
        <f>IF(ISNUMBER(N488),N488*fx_deflator!$I$9*fx_deflator!$M$9,"")</f>
        <v/>
      </c>
      <c r="J488" s="77" t="inlineStr">
        <is>
          <t>NESO bsuos-fixed-tariffs + HH RF settlement files (own annual avg 2010-22)</t>
        </is>
      </c>
      <c r="K488" s="77" t="inlineStr">
        <is>
          <t>stage4_uk r28-30</t>
        </is>
      </c>
      <c r="L488" s="77" t="inlineStr">
        <is>
          <t>2026-07-15</t>
        </is>
      </c>
      <c r="M488" s="77" t="inlineStr">
        <is>
          <t>Y</t>
        </is>
      </c>
      <c r="N488" s="77">
        <f>IF(ISNUMBER(timeseries!H8),timeseries!H8*(1-IF(ISNUMBER(stage4_uk!H48),stage4_uk!H48,0)),"")</f>
        <v/>
      </c>
      <c r="O488" s="77" t="inlineStr">
        <is>
          <t>GBP/MWh nominal</t>
        </is>
      </c>
    </row>
    <row r="489" ht="15" customHeight="1" s="78">
      <c r="A489" s="77" t="inlineStr">
        <is>
          <t>UK</t>
        </is>
      </c>
      <c r="B489" s="77" t="n">
        <v>2014</v>
      </c>
      <c r="C489" s="77" t="inlineStr">
        <is>
          <t>medium</t>
        </is>
      </c>
      <c r="D489" s="77" t="inlineStr">
        <is>
          <t>E2</t>
        </is>
      </c>
      <c r="E489" s="77" t="inlineStr">
        <is>
          <t>AAHEDC</t>
        </is>
      </c>
      <c r="F489" s="77" t="inlineStr">
        <is>
          <t>3 Network</t>
        </is>
      </c>
      <c r="G489" s="77" t="inlineStr">
        <is>
          <t>network levy (hydro benefit)</t>
        </is>
      </c>
      <c r="H489" s="77" t="inlineStr">
        <is>
          <t>ii (pays cross-subsidy to N Scotland consumers)</t>
        </is>
      </c>
      <c r="I489" s="77">
        <f>IF(ISNUMBER(N489),N489*fx_deflator!$I$9*fx_deflator!$M$9,"")</f>
        <v/>
      </c>
      <c r="J489" s="77" t="inlineStr">
        <is>
          <t>NG/ESO AAHEDC charging statements &amp; final tariff letters</t>
        </is>
      </c>
      <c r="K489" s="77" t="inlineStr">
        <is>
          <t>stage4_uk r31</t>
        </is>
      </c>
      <c r="L489" s="77" t="inlineStr">
        <is>
          <t>2026-07-15</t>
        </is>
      </c>
      <c r="M489" s="77" t="inlineStr">
        <is>
          <t>N</t>
        </is>
      </c>
      <c r="N489" s="77">
        <f>IF(ISNUMBER(timeseries!H9),timeseries!H9,"")</f>
        <v/>
      </c>
      <c r="O489" s="77" t="inlineStr">
        <is>
          <t>GBP/MWh nominal</t>
        </is>
      </c>
      <c r="P489" s="77" t="inlineStr">
        <is>
          <t>not in NCC base (conservative, unverified)</t>
        </is>
      </c>
    </row>
    <row r="490" ht="15" customHeight="1" s="78">
      <c r="A490" s="77" t="inlineStr">
        <is>
          <t>UK</t>
        </is>
      </c>
      <c r="B490" s="77" t="n">
        <v>2014</v>
      </c>
      <c r="C490" s="77" t="inlineStr">
        <is>
          <t>medium</t>
        </is>
      </c>
      <c r="D490" s="77" t="inlineStr">
        <is>
          <t>E2</t>
        </is>
      </c>
      <c r="E490" s="77" t="inlineStr">
        <is>
          <t>RO (buy-out x obligation)</t>
        </is>
      </c>
      <c r="F490" s="77" t="inlineStr">
        <is>
          <t>2 Gen capital recovery</t>
        </is>
      </c>
      <c r="G490" s="77" t="inlineStr">
        <is>
          <t>renewables levy</t>
        </is>
      </c>
      <c r="H490" s="77" t="inlineStr">
        <is>
          <t>i</t>
        </is>
      </c>
      <c r="I490" s="77">
        <f>IF(ISNUMBER(N490),N490*fx_deflator!$I$9*fx_deflator!$M$9,"")</f>
        <v/>
      </c>
      <c r="J490" s="77" t="inlineStr">
        <is>
          <t>Ofgem RO guidance OFG1164 Table 1.1 (buy-out x obligation)</t>
        </is>
      </c>
      <c r="K490" s="77" t="inlineStr">
        <is>
          <t>stage4_uk r12-14</t>
        </is>
      </c>
      <c r="L490" s="77" t="inlineStr">
        <is>
          <t>2026-07-15</t>
        </is>
      </c>
      <c r="M490" s="77" t="inlineStr">
        <is>
          <t>Y</t>
        </is>
      </c>
      <c r="N490" s="77">
        <f>IF(ISNUMBER(timeseries!H10),timeseries!H10*(1-IF(ISNUMBER(stage4_uk!H45),stage4_uk!H45,0)),"")</f>
        <v/>
      </c>
      <c r="O490" s="77" t="inlineStr">
        <is>
          <t>GBP/MWh nominal</t>
        </is>
      </c>
    </row>
    <row r="491" ht="15" customHeight="1" s="78">
      <c r="A491" s="77" t="inlineStr">
        <is>
          <t>UK</t>
        </is>
      </c>
      <c r="B491" s="77" t="n">
        <v>2014</v>
      </c>
      <c r="C491" s="77" t="inlineStr">
        <is>
          <t>medium</t>
        </is>
      </c>
      <c r="D491" s="77" t="inlineStr">
        <is>
          <t>E2</t>
        </is>
      </c>
      <c r="E491" s="77" t="inlineStr">
        <is>
          <t>FiT levelisation</t>
        </is>
      </c>
      <c r="F491" s="77" t="inlineStr">
        <is>
          <t>2 Gen capital recovery</t>
        </is>
      </c>
      <c r="G491" s="77" t="inlineStr">
        <is>
          <t>renewables levy</t>
        </is>
      </c>
      <c r="H491" s="77" t="inlineStr">
        <is>
          <t>i</t>
        </is>
      </c>
      <c r="I491" s="77">
        <f>IF(ISNUMBER(N491),N491*fx_deflator!$I$9*fx_deflator!$M$9,"")</f>
        <v/>
      </c>
      <c r="J491" s="77" t="inlineStr">
        <is>
          <t>Ofgem FIT Annual Reports SY1-SY15; D27 for 2010-14</t>
        </is>
      </c>
      <c r="K491" s="77" t="inlineStr">
        <is>
          <t>stage4_uk r20</t>
        </is>
      </c>
      <c r="L491" s="77" t="inlineStr">
        <is>
          <t>2026-07-15</t>
        </is>
      </c>
      <c r="M491" s="77" t="inlineStr">
        <is>
          <t>Y</t>
        </is>
      </c>
      <c r="N491" s="77">
        <f>IF(ISNUMBER(timeseries!H12),timeseries!H12*(1-IF(ISNUMBER(stage4_uk!H46),stage4_uk!H46,0)),"")</f>
        <v/>
      </c>
      <c r="O491" s="77" t="inlineStr">
        <is>
          <t>GBP/MWh nominal</t>
        </is>
      </c>
      <c r="P491" s="77" t="inlineStr">
        <is>
          <t>2025 unpublished (Q32) — row absent, gap stated</t>
        </is>
      </c>
    </row>
    <row r="492" ht="15" customHeight="1" s="78">
      <c r="A492" s="77" t="inlineStr">
        <is>
          <t>UK</t>
        </is>
      </c>
      <c r="B492" s="77" t="n">
        <v>2014</v>
      </c>
      <c r="C492" s="77" t="inlineStr">
        <is>
          <t>medium</t>
        </is>
      </c>
      <c r="D492" s="77" t="inlineStr">
        <is>
          <t>E2</t>
        </is>
      </c>
      <c r="E492" s="77" t="inlineStr">
        <is>
          <t>CCL — EXEMPT for the relieved case (mineralogical/metallurgical, HMRC CCL1/3 s3.14; D71)</t>
        </is>
      </c>
      <c r="F492" s="77" t="inlineStr">
        <is>
          <t>5 General taxation &amp; levies</t>
        </is>
      </c>
      <c r="G492" s="77" t="inlineStr">
        <is>
          <t>climate levy (tax)</t>
        </is>
      </c>
      <c r="H492" s="77" t="inlineStr">
        <is>
          <t>i</t>
        </is>
      </c>
      <c r="I492" s="77">
        <f>IF(ISNUMBER(N492),N492*fx_deflator!$I$9*fx_deflator!$M$9,"")</f>
        <v/>
      </c>
      <c r="J492" s="77" t="inlineStr">
        <is>
          <t>HMRC Excise Notice CCL1/3 s3.14 + Annex A (exemption from 01.04.2014). S209</t>
        </is>
      </c>
      <c r="K492" s="77" t="inlineStr">
        <is>
          <t>stage4_uk r22</t>
        </is>
      </c>
      <c r="L492" s="77" t="inlineStr">
        <is>
          <t>2026-07-15</t>
        </is>
      </c>
      <c r="M492" s="77" t="inlineStr">
        <is>
          <t>N</t>
        </is>
      </c>
      <c r="N492" s="136">
        <f>IF(ISNUMBER(timeseries!H14),0,"")</f>
        <v/>
      </c>
      <c r="O492" s="77" t="inlineStr">
        <is>
          <t>GBP/MWh nominal</t>
        </is>
      </c>
    </row>
    <row r="493" ht="15" customHeight="1" s="78">
      <c r="A493" s="77" t="inlineStr">
        <is>
          <t>UK</t>
        </is>
      </c>
      <c r="B493" s="77" t="n">
        <v>2015</v>
      </c>
      <c r="C493" s="77" t="inlineStr">
        <is>
          <t>medium</t>
        </is>
      </c>
      <c r="D493" s="77" t="inlineStr">
        <is>
          <t>E2</t>
        </is>
      </c>
      <c r="E493" s="77" t="inlineStr">
        <is>
          <t>Wholesale (rolling year-ahead baseload; DA proxy &lt;=2021)</t>
        </is>
      </c>
      <c r="F493" s="77" t="inlineStr">
        <is>
          <t>1 Commodity</t>
        </is>
      </c>
      <c r="G493" s="77" t="inlineStr">
        <is>
          <t>wholesale market</t>
        </is>
      </c>
      <c r="H493" s="77" t="inlineStr">
        <is>
          <t>i</t>
        </is>
      </c>
      <c r="I493" s="77">
        <f>IF(ISNUMBER(N493),N493*fx_deflator!$I$10*fx_deflator!$M$10,"")</f>
        <v/>
      </c>
      <c r="J493" s="77" t="inlineStr">
        <is>
          <t>Ofgem data portal — DA baseload monthly avg (proxy &lt;=2021, D22); Forward Delivery Contracts (D21)</t>
        </is>
      </c>
      <c r="K493" s="77" t="inlineStr">
        <is>
          <t>stage4_uk r7-9</t>
        </is>
      </c>
      <c r="L493" s="77" t="inlineStr">
        <is>
          <t>2026-07-15</t>
        </is>
      </c>
      <c r="M493" s="77" t="inlineStr">
        <is>
          <t>Y</t>
        </is>
      </c>
      <c r="N493" s="136">
        <f>IF(ISNUMBER(timeseries!I22),timeseries!I22,"")</f>
        <v/>
      </c>
      <c r="O493" s="77" t="inlineStr">
        <is>
          <t>GBP/MWh nominal</t>
        </is>
      </c>
      <c r="P493" s="77" t="inlineStr">
        <is>
          <t>identical E1/E2; embedded carbon memo inside this item</t>
        </is>
      </c>
    </row>
    <row r="494" ht="15" customHeight="1" s="78">
      <c r="A494" s="77" t="inlineStr">
        <is>
          <t>UK</t>
        </is>
      </c>
      <c r="B494" s="77" t="n">
        <v>2015</v>
      </c>
      <c r="C494" s="77" t="inlineStr">
        <is>
          <t>medium</t>
        </is>
      </c>
      <c r="D494" s="77" t="inlineStr">
        <is>
          <t>E2</t>
        </is>
      </c>
      <c r="E494" s="77" t="inlineStr">
        <is>
          <t>TNUoS demand (zone 5; TCR banded residual from 2023)</t>
        </is>
      </c>
      <c r="F494" s="77" t="inlineStr">
        <is>
          <t>3 Network</t>
        </is>
      </c>
      <c r="G494" s="77" t="inlineStr">
        <is>
          <t>transmission network charge</t>
        </is>
      </c>
      <c r="H494" s="77" t="inlineStr">
        <is>
          <t>i (post-NCC relief; relief funded via ESL = ii instrument)</t>
        </is>
      </c>
      <c r="I494" s="77">
        <f>IF(ISNUMBER(N494),N494*fx_deflator!$I$10*fx_deflator!$M$10,"")</f>
        <v/>
      </c>
      <c r="J494" s="77" t="inlineStr">
        <is>
          <t>NESO TNUoS tariff documents (compendium doc 50736; Final TNUoS 2023/24-2026/27 Table 10)</t>
        </is>
      </c>
      <c r="K494" s="77" t="inlineStr">
        <is>
          <t>stage4_uk r25-27</t>
        </is>
      </c>
      <c r="L494" s="77" t="inlineStr">
        <is>
          <t>2026-07-15</t>
        </is>
      </c>
      <c r="M494" s="77" t="inlineStr">
        <is>
          <t>Y</t>
        </is>
      </c>
      <c r="N494" s="77">
        <f>IF(ISNUMBER(timeseries!I23),timeseries!I23*(1-IF(ISNUMBER(stage4_uk!I48),stage4_uk!I48,0)),"")</f>
        <v/>
      </c>
      <c r="O494" s="77" t="inlineStr">
        <is>
          <t>GBP/MWh nominal</t>
        </is>
      </c>
    </row>
    <row r="495" ht="15" customHeight="1" s="78">
      <c r="A495" s="77" t="inlineStr">
        <is>
          <t>UK</t>
        </is>
      </c>
      <c r="B495" s="77" t="n">
        <v>2015</v>
      </c>
      <c r="C495" s="77" t="inlineStr">
        <is>
          <t>medium</t>
        </is>
      </c>
      <c r="D495" s="77" t="inlineStr">
        <is>
          <t>E2</t>
        </is>
      </c>
      <c r="E495" s="77" t="inlineStr">
        <is>
          <t>DUoS unit rates (NPg CDCM red/amber/green, uniform-operation weights)</t>
        </is>
      </c>
      <c r="F495" s="77" t="inlineStr">
        <is>
          <t>3 Network</t>
        </is>
      </c>
      <c r="G495" s="77" t="inlineStr">
        <is>
          <t>distribution network charge</t>
        </is>
      </c>
      <c r="H495" s="77" t="inlineStr">
        <is>
          <t>i (post-NCC relief)</t>
        </is>
      </c>
      <c r="I495" s="77">
        <f>IF(ISNUMBER(N495),N495*fx_deflator!$I$10*fx_deflator!$M$10,"")</f>
        <v/>
      </c>
      <c r="J495" s="77" t="inlineStr">
        <is>
          <t>NPg (Yorkshire) LC14 CDCM statements; D28 reconstruction 2010-16</t>
        </is>
      </c>
      <c r="K495" s="77" t="inlineStr">
        <is>
          <t>stage4_uk r34-41</t>
        </is>
      </c>
      <c r="L495" s="77" t="inlineStr">
        <is>
          <t>2026-07-15</t>
        </is>
      </c>
      <c r="M495" s="77" t="inlineStr">
        <is>
          <t>Y</t>
        </is>
      </c>
      <c r="N495" s="77">
        <f>IF(ISNUMBER(timeseries!I24),timeseries!I24*(1-IF(ISNUMBER(stage4_uk!I48),stage4_uk!I48,0)),"")</f>
        <v/>
      </c>
      <c r="O495" s="77" t="inlineStr">
        <is>
          <t>GBP/MWh nominal</t>
        </is>
      </c>
    </row>
    <row r="496" ht="15" customHeight="1" s="78">
      <c r="A496" s="77" t="inlineStr">
        <is>
          <t>UK</t>
        </is>
      </c>
      <c r="B496" s="77" t="n">
        <v>2015</v>
      </c>
      <c r="C496" s="77" t="inlineStr">
        <is>
          <t>medium</t>
        </is>
      </c>
      <c r="D496" s="77" t="inlineStr">
        <is>
          <t>E2</t>
        </is>
      </c>
      <c r="E496" s="77" t="inlineStr">
        <is>
          <t>DUoS fixed charge (TCR Band-4 residual from 2022/23)</t>
        </is>
      </c>
      <c r="F496" s="77" t="inlineStr">
        <is>
          <t>3 Network</t>
        </is>
      </c>
      <c r="G496" s="77" t="inlineStr">
        <is>
          <t>distribution network charge</t>
        </is>
      </c>
      <c r="H496" s="77" t="inlineStr">
        <is>
          <t>i (post-NCC relief)</t>
        </is>
      </c>
      <c r="I496" s="77">
        <f>IF(ISNUMBER(N496),N496*fx_deflator!$I$10*fx_deflator!$M$10,"")</f>
        <v/>
      </c>
      <c r="J496" s="77" t="inlineStr">
        <is>
          <t>NPg (Yorkshire) LC14 CDCM statements; D28 reconstruction 2010-16</t>
        </is>
      </c>
      <c r="K496" s="77" t="inlineStr">
        <is>
          <t>stage4_uk r34-41</t>
        </is>
      </c>
      <c r="L496" s="77" t="inlineStr">
        <is>
          <t>2026-07-15</t>
        </is>
      </c>
      <c r="M496" s="77" t="inlineStr">
        <is>
          <t>Y</t>
        </is>
      </c>
      <c r="N496" s="77">
        <f>IF(ISNUMBER(timeseries!I25),timeseries!I25*(1-IF(ISNUMBER(stage4_uk!I48),stage4_uk!I48,0)),"")</f>
        <v/>
      </c>
      <c r="O496" s="77" t="inlineStr">
        <is>
          <t>GBP/MWh nominal</t>
        </is>
      </c>
    </row>
    <row r="497" ht="15" customHeight="1" s="78">
      <c r="A497" s="77" t="inlineStr">
        <is>
          <t>UK</t>
        </is>
      </c>
      <c r="B497" s="77" t="n">
        <v>2015</v>
      </c>
      <c r="C497" s="77" t="inlineStr">
        <is>
          <t>medium</t>
        </is>
      </c>
      <c r="D497" s="77" t="inlineStr">
        <is>
          <t>E2</t>
        </is>
      </c>
      <c r="E497" s="77" t="inlineStr">
        <is>
          <t>DUoS capacity charge</t>
        </is>
      </c>
      <c r="F497" s="77" t="inlineStr">
        <is>
          <t>3 Network</t>
        </is>
      </c>
      <c r="G497" s="77" t="inlineStr">
        <is>
          <t>distribution network charge</t>
        </is>
      </c>
      <c r="H497" s="77" t="inlineStr">
        <is>
          <t>i (post-NCC relief)</t>
        </is>
      </c>
      <c r="I497" s="77">
        <f>IF(ISNUMBER(N497),N497*fx_deflator!$I$10*fx_deflator!$M$10,"")</f>
        <v/>
      </c>
      <c r="J497" s="77" t="inlineStr">
        <is>
          <t>NPg (Yorkshire) LC14 CDCM statements; D28 reconstruction 2010-16</t>
        </is>
      </c>
      <c r="K497" s="77" t="inlineStr">
        <is>
          <t>stage4_uk r34-41</t>
        </is>
      </c>
      <c r="L497" s="77" t="inlineStr">
        <is>
          <t>2026-07-15</t>
        </is>
      </c>
      <c r="M497" s="77" t="inlineStr">
        <is>
          <t>Y</t>
        </is>
      </c>
      <c r="N497" s="77">
        <f>IF(ISNUMBER(timeseries!I26),timeseries!I26*(1-IF(ISNUMBER(stage4_uk!I48),stage4_uk!I48,0)),"")</f>
        <v/>
      </c>
      <c r="O497" s="77" t="inlineStr">
        <is>
          <t>GBP/MWh nominal</t>
        </is>
      </c>
    </row>
    <row r="498" ht="15" customHeight="1" s="78">
      <c r="A498" s="77" t="inlineStr">
        <is>
          <t>UK</t>
        </is>
      </c>
      <c r="B498" s="77" t="n">
        <v>2015</v>
      </c>
      <c r="C498" s="77" t="inlineStr">
        <is>
          <t>medium</t>
        </is>
      </c>
      <c r="D498" s="77" t="inlineStr">
        <is>
          <t>E2</t>
        </is>
      </c>
      <c r="E498" s="77" t="inlineStr">
        <is>
          <t>BSUoS (demand-only from 04/2023)</t>
        </is>
      </c>
      <c r="F498" s="77" t="inlineStr">
        <is>
          <t>4 System services &amp; balancing</t>
        </is>
      </c>
      <c r="G498" s="77" t="inlineStr">
        <is>
          <t>balancing charge</t>
        </is>
      </c>
      <c r="H498" s="77" t="inlineStr">
        <is>
          <t>i (post-NCC relief)</t>
        </is>
      </c>
      <c r="I498" s="77">
        <f>IF(ISNUMBER(N498),N498*fx_deflator!$I$10*fx_deflator!$M$10,"")</f>
        <v/>
      </c>
      <c r="J498" s="77" t="inlineStr">
        <is>
          <t>NESO bsuos-fixed-tariffs + HH RF settlement files (own annual avg 2010-22)</t>
        </is>
      </c>
      <c r="K498" s="77" t="inlineStr">
        <is>
          <t>stage4_uk r28-30</t>
        </is>
      </c>
      <c r="L498" s="77" t="inlineStr">
        <is>
          <t>2026-07-15</t>
        </is>
      </c>
      <c r="M498" s="77" t="inlineStr">
        <is>
          <t>Y</t>
        </is>
      </c>
      <c r="N498" s="77">
        <f>IF(ISNUMBER(timeseries!I8),timeseries!I8*(1-IF(ISNUMBER(stage4_uk!I48),stage4_uk!I48,0)),"")</f>
        <v/>
      </c>
      <c r="O498" s="77" t="inlineStr">
        <is>
          <t>GBP/MWh nominal</t>
        </is>
      </c>
    </row>
    <row r="499" ht="15" customHeight="1" s="78">
      <c r="A499" s="77" t="inlineStr">
        <is>
          <t>UK</t>
        </is>
      </c>
      <c r="B499" s="77" t="n">
        <v>2015</v>
      </c>
      <c r="C499" s="77" t="inlineStr">
        <is>
          <t>medium</t>
        </is>
      </c>
      <c r="D499" s="77" t="inlineStr">
        <is>
          <t>E2</t>
        </is>
      </c>
      <c r="E499" s="77" t="inlineStr">
        <is>
          <t>AAHEDC</t>
        </is>
      </c>
      <c r="F499" s="77" t="inlineStr">
        <is>
          <t>3 Network</t>
        </is>
      </c>
      <c r="G499" s="77" t="inlineStr">
        <is>
          <t>network levy (hydro benefit)</t>
        </is>
      </c>
      <c r="H499" s="77" t="inlineStr">
        <is>
          <t>ii (pays cross-subsidy to N Scotland consumers)</t>
        </is>
      </c>
      <c r="I499" s="77">
        <f>IF(ISNUMBER(N499),N499*fx_deflator!$I$10*fx_deflator!$M$10,"")</f>
        <v/>
      </c>
      <c r="J499" s="77" t="inlineStr">
        <is>
          <t>NG/ESO AAHEDC charging statements &amp; final tariff letters</t>
        </is>
      </c>
      <c r="K499" s="77" t="inlineStr">
        <is>
          <t>stage4_uk r31</t>
        </is>
      </c>
      <c r="L499" s="77" t="inlineStr">
        <is>
          <t>2026-07-15</t>
        </is>
      </c>
      <c r="M499" s="77" t="inlineStr">
        <is>
          <t>N</t>
        </is>
      </c>
      <c r="N499" s="77">
        <f>IF(ISNUMBER(timeseries!I9),timeseries!I9,"")</f>
        <v/>
      </c>
      <c r="O499" s="77" t="inlineStr">
        <is>
          <t>GBP/MWh nominal</t>
        </is>
      </c>
      <c r="P499" s="77" t="inlineStr">
        <is>
          <t>not in NCC base (conservative, unverified)</t>
        </is>
      </c>
    </row>
    <row r="500" ht="15" customHeight="1" s="78">
      <c r="A500" s="77" t="inlineStr">
        <is>
          <t>UK</t>
        </is>
      </c>
      <c r="B500" s="77" t="n">
        <v>2015</v>
      </c>
      <c r="C500" s="77" t="inlineStr">
        <is>
          <t>medium</t>
        </is>
      </c>
      <c r="D500" s="77" t="inlineStr">
        <is>
          <t>E2</t>
        </is>
      </c>
      <c r="E500" s="77" t="inlineStr">
        <is>
          <t>RO (buy-out x obligation)</t>
        </is>
      </c>
      <c r="F500" s="77" t="inlineStr">
        <is>
          <t>2 Gen capital recovery</t>
        </is>
      </c>
      <c r="G500" s="77" t="inlineStr">
        <is>
          <t>renewables levy</t>
        </is>
      </c>
      <c r="H500" s="77" t="inlineStr">
        <is>
          <t>i</t>
        </is>
      </c>
      <c r="I500" s="77">
        <f>IF(ISNUMBER(N500),N500*fx_deflator!$I$10*fx_deflator!$M$10,"")</f>
        <v/>
      </c>
      <c r="J500" s="77" t="inlineStr">
        <is>
          <t>Ofgem RO guidance OFG1164 Table 1.1 (buy-out x obligation)</t>
        </is>
      </c>
      <c r="K500" s="77" t="inlineStr">
        <is>
          <t>stage4_uk r12-14</t>
        </is>
      </c>
      <c r="L500" s="77" t="inlineStr">
        <is>
          <t>2026-07-15</t>
        </is>
      </c>
      <c r="M500" s="77" t="inlineStr">
        <is>
          <t>Y</t>
        </is>
      </c>
      <c r="N500" s="77">
        <f>IF(ISNUMBER(timeseries!I10),timeseries!I10*(1-IF(ISNUMBER(stage4_uk!I45),stage4_uk!I45,0)),"")</f>
        <v/>
      </c>
      <c r="O500" s="77" t="inlineStr">
        <is>
          <t>GBP/MWh nominal</t>
        </is>
      </c>
    </row>
    <row r="501" ht="15" customHeight="1" s="78">
      <c r="A501" s="77" t="inlineStr">
        <is>
          <t>UK</t>
        </is>
      </c>
      <c r="B501" s="77" t="n">
        <v>2015</v>
      </c>
      <c r="C501" s="77" t="inlineStr">
        <is>
          <t>medium</t>
        </is>
      </c>
      <c r="D501" s="77" t="inlineStr">
        <is>
          <t>E2</t>
        </is>
      </c>
      <c r="E501" s="77" t="inlineStr">
        <is>
          <t>FiT levelisation</t>
        </is>
      </c>
      <c r="F501" s="77" t="inlineStr">
        <is>
          <t>2 Gen capital recovery</t>
        </is>
      </c>
      <c r="G501" s="77" t="inlineStr">
        <is>
          <t>renewables levy</t>
        </is>
      </c>
      <c r="H501" s="77" t="inlineStr">
        <is>
          <t>i</t>
        </is>
      </c>
      <c r="I501" s="77">
        <f>IF(ISNUMBER(N501),N501*fx_deflator!$I$10*fx_deflator!$M$10,"")</f>
        <v/>
      </c>
      <c r="J501" s="77" t="inlineStr">
        <is>
          <t>Ofgem FIT Annual Reports SY1-SY15; D27 for 2010-14</t>
        </is>
      </c>
      <c r="K501" s="77" t="inlineStr">
        <is>
          <t>stage4_uk r20</t>
        </is>
      </c>
      <c r="L501" s="77" t="inlineStr">
        <is>
          <t>2026-07-15</t>
        </is>
      </c>
      <c r="M501" s="77" t="inlineStr">
        <is>
          <t>Y</t>
        </is>
      </c>
      <c r="N501" s="77">
        <f>IF(ISNUMBER(timeseries!I12),timeseries!I12*(1-IF(ISNUMBER(stage4_uk!I46),stage4_uk!I46,0)),"")</f>
        <v/>
      </c>
      <c r="O501" s="77" t="inlineStr">
        <is>
          <t>GBP/MWh nominal</t>
        </is>
      </c>
      <c r="P501" s="77" t="inlineStr">
        <is>
          <t>2025 unpublished (Q32) — row absent, gap stated</t>
        </is>
      </c>
    </row>
    <row r="502" ht="15" customHeight="1" s="78">
      <c r="A502" s="77" t="inlineStr">
        <is>
          <t>UK</t>
        </is>
      </c>
      <c r="B502" s="77" t="n">
        <v>2015</v>
      </c>
      <c r="C502" s="77" t="inlineStr">
        <is>
          <t>medium</t>
        </is>
      </c>
      <c r="D502" s="77" t="inlineStr">
        <is>
          <t>E2</t>
        </is>
      </c>
      <c r="E502" s="77" t="inlineStr">
        <is>
          <t>CCL — EXEMPT for the relieved case (mineralogical/metallurgical, HMRC CCL1/3 s3.14; D71)</t>
        </is>
      </c>
      <c r="F502" s="77" t="inlineStr">
        <is>
          <t>5 General taxation &amp; levies</t>
        </is>
      </c>
      <c r="G502" s="77" t="inlineStr">
        <is>
          <t>climate levy (tax)</t>
        </is>
      </c>
      <c r="H502" s="77" t="inlineStr">
        <is>
          <t>i</t>
        </is>
      </c>
      <c r="I502" s="77">
        <f>IF(ISNUMBER(N502),N502*fx_deflator!$I$10*fx_deflator!$M$10,"")</f>
        <v/>
      </c>
      <c r="J502" s="77" t="inlineStr">
        <is>
          <t>HMRC Excise Notice CCL1/3 s3.14 + Annex A (exemption from 01.04.2014). S209</t>
        </is>
      </c>
      <c r="K502" s="77" t="inlineStr">
        <is>
          <t>stage4_uk r22</t>
        </is>
      </c>
      <c r="L502" s="77" t="inlineStr">
        <is>
          <t>2026-07-15</t>
        </is>
      </c>
      <c r="M502" s="77" t="inlineStr">
        <is>
          <t>N</t>
        </is>
      </c>
      <c r="N502" s="136">
        <f>IF(ISNUMBER(timeseries!I14),0,"")</f>
        <v/>
      </c>
      <c r="O502" s="77" t="inlineStr">
        <is>
          <t>GBP/MWh nominal</t>
        </is>
      </c>
    </row>
    <row r="503" ht="15" customHeight="1" s="78">
      <c r="A503" s="77" t="inlineStr">
        <is>
          <t>UK</t>
        </is>
      </c>
      <c r="B503" s="77" t="n">
        <v>2016</v>
      </c>
      <c r="C503" s="77" t="inlineStr">
        <is>
          <t>medium</t>
        </is>
      </c>
      <c r="D503" s="77" t="inlineStr">
        <is>
          <t>E2</t>
        </is>
      </c>
      <c r="E503" s="77" t="inlineStr">
        <is>
          <t>Wholesale (rolling year-ahead baseload; DA proxy &lt;=2021)</t>
        </is>
      </c>
      <c r="F503" s="77" t="inlineStr">
        <is>
          <t>1 Commodity</t>
        </is>
      </c>
      <c r="G503" s="77" t="inlineStr">
        <is>
          <t>wholesale market</t>
        </is>
      </c>
      <c r="H503" s="77" t="inlineStr">
        <is>
          <t>i</t>
        </is>
      </c>
      <c r="I503" s="77">
        <f>IF(ISNUMBER(N503),N503*fx_deflator!$I$11*fx_deflator!$M$11,"")</f>
        <v/>
      </c>
      <c r="J503" s="77" t="inlineStr">
        <is>
          <t>Ofgem data portal — DA baseload monthly avg (proxy &lt;=2021, D22); Forward Delivery Contracts (D21)</t>
        </is>
      </c>
      <c r="K503" s="77" t="inlineStr">
        <is>
          <t>stage4_uk r7-9</t>
        </is>
      </c>
      <c r="L503" s="77" t="inlineStr">
        <is>
          <t>2026-07-15</t>
        </is>
      </c>
      <c r="M503" s="77" t="inlineStr">
        <is>
          <t>Y</t>
        </is>
      </c>
      <c r="N503" s="136">
        <f>IF(ISNUMBER(timeseries!J22),timeseries!J22,"")</f>
        <v/>
      </c>
      <c r="O503" s="77" t="inlineStr">
        <is>
          <t>GBP/MWh nominal</t>
        </is>
      </c>
      <c r="P503" s="77" t="inlineStr">
        <is>
          <t>identical E1/E2; embedded carbon memo inside this item</t>
        </is>
      </c>
    </row>
    <row r="504" ht="15" customHeight="1" s="78">
      <c r="A504" s="77" t="inlineStr">
        <is>
          <t>UK</t>
        </is>
      </c>
      <c r="B504" s="77" t="n">
        <v>2016</v>
      </c>
      <c r="C504" s="77" t="inlineStr">
        <is>
          <t>medium</t>
        </is>
      </c>
      <c r="D504" s="77" t="inlineStr">
        <is>
          <t>E2</t>
        </is>
      </c>
      <c r="E504" s="77" t="inlineStr">
        <is>
          <t>TNUoS demand (zone 5; TCR banded residual from 2023)</t>
        </is>
      </c>
      <c r="F504" s="77" t="inlineStr">
        <is>
          <t>3 Network</t>
        </is>
      </c>
      <c r="G504" s="77" t="inlineStr">
        <is>
          <t>transmission network charge</t>
        </is>
      </c>
      <c r="H504" s="77" t="inlineStr">
        <is>
          <t>i (post-NCC relief; relief funded via ESL = ii instrument)</t>
        </is>
      </c>
      <c r="I504" s="77">
        <f>IF(ISNUMBER(N504),N504*fx_deflator!$I$11*fx_deflator!$M$11,"")</f>
        <v/>
      </c>
      <c r="J504" s="77" t="inlineStr">
        <is>
          <t>NESO TNUoS tariff documents (compendium doc 50736; Final TNUoS 2023/24-2026/27 Table 10)</t>
        </is>
      </c>
      <c r="K504" s="77" t="inlineStr">
        <is>
          <t>stage4_uk r25-27</t>
        </is>
      </c>
      <c r="L504" s="77" t="inlineStr">
        <is>
          <t>2026-07-15</t>
        </is>
      </c>
      <c r="M504" s="77" t="inlineStr">
        <is>
          <t>Y</t>
        </is>
      </c>
      <c r="N504" s="77">
        <f>IF(ISNUMBER(timeseries!J23),timeseries!J23*(1-IF(ISNUMBER(stage4_uk!J48),stage4_uk!J48,0)),"")</f>
        <v/>
      </c>
      <c r="O504" s="77" t="inlineStr">
        <is>
          <t>GBP/MWh nominal</t>
        </is>
      </c>
    </row>
    <row r="505" ht="15" customHeight="1" s="78">
      <c r="A505" s="77" t="inlineStr">
        <is>
          <t>UK</t>
        </is>
      </c>
      <c r="B505" s="77" t="n">
        <v>2016</v>
      </c>
      <c r="C505" s="77" t="inlineStr">
        <is>
          <t>medium</t>
        </is>
      </c>
      <c r="D505" s="77" t="inlineStr">
        <is>
          <t>E2</t>
        </is>
      </c>
      <c r="E505" s="77" t="inlineStr">
        <is>
          <t>DUoS unit rates (NPg CDCM red/amber/green, uniform-operation weights)</t>
        </is>
      </c>
      <c r="F505" s="77" t="inlineStr">
        <is>
          <t>3 Network</t>
        </is>
      </c>
      <c r="G505" s="77" t="inlineStr">
        <is>
          <t>distribution network charge</t>
        </is>
      </c>
      <c r="H505" s="77" t="inlineStr">
        <is>
          <t>i (post-NCC relief)</t>
        </is>
      </c>
      <c r="I505" s="77">
        <f>IF(ISNUMBER(N505),N505*fx_deflator!$I$11*fx_deflator!$M$11,"")</f>
        <v/>
      </c>
      <c r="J505" s="77" t="inlineStr">
        <is>
          <t>NPg (Yorkshire) LC14 CDCM statements; D28 reconstruction 2010-16</t>
        </is>
      </c>
      <c r="K505" s="77" t="inlineStr">
        <is>
          <t>stage4_uk r34-41</t>
        </is>
      </c>
      <c r="L505" s="77" t="inlineStr">
        <is>
          <t>2026-07-15</t>
        </is>
      </c>
      <c r="M505" s="77" t="inlineStr">
        <is>
          <t>Y</t>
        </is>
      </c>
      <c r="N505" s="77">
        <f>IF(ISNUMBER(timeseries!J24),timeseries!J24*(1-IF(ISNUMBER(stage4_uk!J48),stage4_uk!J48,0)),"")</f>
        <v/>
      </c>
      <c r="O505" s="77" t="inlineStr">
        <is>
          <t>GBP/MWh nominal</t>
        </is>
      </c>
    </row>
    <row r="506" ht="15" customHeight="1" s="78">
      <c r="A506" s="77" t="inlineStr">
        <is>
          <t>UK</t>
        </is>
      </c>
      <c r="B506" s="77" t="n">
        <v>2016</v>
      </c>
      <c r="C506" s="77" t="inlineStr">
        <is>
          <t>medium</t>
        </is>
      </c>
      <c r="D506" s="77" t="inlineStr">
        <is>
          <t>E2</t>
        </is>
      </c>
      <c r="E506" s="77" t="inlineStr">
        <is>
          <t>DUoS fixed charge (TCR Band-4 residual from 2022/23)</t>
        </is>
      </c>
      <c r="F506" s="77" t="inlineStr">
        <is>
          <t>3 Network</t>
        </is>
      </c>
      <c r="G506" s="77" t="inlineStr">
        <is>
          <t>distribution network charge</t>
        </is>
      </c>
      <c r="H506" s="77" t="inlineStr">
        <is>
          <t>i (post-NCC relief)</t>
        </is>
      </c>
      <c r="I506" s="77">
        <f>IF(ISNUMBER(N506),N506*fx_deflator!$I$11*fx_deflator!$M$11,"")</f>
        <v/>
      </c>
      <c r="J506" s="77" t="inlineStr">
        <is>
          <t>NPg (Yorkshire) LC14 CDCM statements; D28 reconstruction 2010-16</t>
        </is>
      </c>
      <c r="K506" s="77" t="inlineStr">
        <is>
          <t>stage4_uk r34-41</t>
        </is>
      </c>
      <c r="L506" s="77" t="inlineStr">
        <is>
          <t>2026-07-15</t>
        </is>
      </c>
      <c r="M506" s="77" t="inlineStr">
        <is>
          <t>Y</t>
        </is>
      </c>
      <c r="N506" s="77">
        <f>IF(ISNUMBER(timeseries!J25),timeseries!J25*(1-IF(ISNUMBER(stage4_uk!J48),stage4_uk!J48,0)),"")</f>
        <v/>
      </c>
      <c r="O506" s="77" t="inlineStr">
        <is>
          <t>GBP/MWh nominal</t>
        </is>
      </c>
    </row>
    <row r="507" ht="15" customHeight="1" s="78">
      <c r="A507" s="77" t="inlineStr">
        <is>
          <t>UK</t>
        </is>
      </c>
      <c r="B507" s="77" t="n">
        <v>2016</v>
      </c>
      <c r="C507" s="77" t="inlineStr">
        <is>
          <t>medium</t>
        </is>
      </c>
      <c r="D507" s="77" t="inlineStr">
        <is>
          <t>E2</t>
        </is>
      </c>
      <c r="E507" s="77" t="inlineStr">
        <is>
          <t>DUoS capacity charge</t>
        </is>
      </c>
      <c r="F507" s="77" t="inlineStr">
        <is>
          <t>3 Network</t>
        </is>
      </c>
      <c r="G507" s="77" t="inlineStr">
        <is>
          <t>distribution network charge</t>
        </is>
      </c>
      <c r="H507" s="77" t="inlineStr">
        <is>
          <t>i (post-NCC relief)</t>
        </is>
      </c>
      <c r="I507" s="77">
        <f>IF(ISNUMBER(N507),N507*fx_deflator!$I$11*fx_deflator!$M$11,"")</f>
        <v/>
      </c>
      <c r="J507" s="77" t="inlineStr">
        <is>
          <t>NPg (Yorkshire) LC14 CDCM statements; D28 reconstruction 2010-16</t>
        </is>
      </c>
      <c r="K507" s="77" t="inlineStr">
        <is>
          <t>stage4_uk r34-41</t>
        </is>
      </c>
      <c r="L507" s="77" t="inlineStr">
        <is>
          <t>2026-07-15</t>
        </is>
      </c>
      <c r="M507" s="77" t="inlineStr">
        <is>
          <t>Y</t>
        </is>
      </c>
      <c r="N507" s="77">
        <f>IF(ISNUMBER(timeseries!J26),timeseries!J26*(1-IF(ISNUMBER(stage4_uk!J48),stage4_uk!J48,0)),"")</f>
        <v/>
      </c>
      <c r="O507" s="77" t="inlineStr">
        <is>
          <t>GBP/MWh nominal</t>
        </is>
      </c>
    </row>
    <row r="508" ht="15" customHeight="1" s="78">
      <c r="A508" s="77" t="inlineStr">
        <is>
          <t>UK</t>
        </is>
      </c>
      <c r="B508" s="77" t="n">
        <v>2016</v>
      </c>
      <c r="C508" s="77" t="inlineStr">
        <is>
          <t>medium</t>
        </is>
      </c>
      <c r="D508" s="77" t="inlineStr">
        <is>
          <t>E2</t>
        </is>
      </c>
      <c r="E508" s="77" t="inlineStr">
        <is>
          <t>BSUoS (demand-only from 04/2023)</t>
        </is>
      </c>
      <c r="F508" s="77" t="inlineStr">
        <is>
          <t>4 System services &amp; balancing</t>
        </is>
      </c>
      <c r="G508" s="77" t="inlineStr">
        <is>
          <t>balancing charge</t>
        </is>
      </c>
      <c r="H508" s="77" t="inlineStr">
        <is>
          <t>i (post-NCC relief)</t>
        </is>
      </c>
      <c r="I508" s="77">
        <f>IF(ISNUMBER(N508),N508*fx_deflator!$I$11*fx_deflator!$M$11,"")</f>
        <v/>
      </c>
      <c r="J508" s="77" t="inlineStr">
        <is>
          <t>NESO bsuos-fixed-tariffs + HH RF settlement files (own annual avg 2010-22)</t>
        </is>
      </c>
      <c r="K508" s="77" t="inlineStr">
        <is>
          <t>stage4_uk r28-30</t>
        </is>
      </c>
      <c r="L508" s="77" t="inlineStr">
        <is>
          <t>2026-07-15</t>
        </is>
      </c>
      <c r="M508" s="77" t="inlineStr">
        <is>
          <t>Y</t>
        </is>
      </c>
      <c r="N508" s="77">
        <f>IF(ISNUMBER(timeseries!J8),timeseries!J8*(1-IF(ISNUMBER(stage4_uk!J48),stage4_uk!J48,0)),"")</f>
        <v/>
      </c>
      <c r="O508" s="77" t="inlineStr">
        <is>
          <t>GBP/MWh nominal</t>
        </is>
      </c>
    </row>
    <row r="509" ht="15" customHeight="1" s="78">
      <c r="A509" s="77" t="inlineStr">
        <is>
          <t>UK</t>
        </is>
      </c>
      <c r="B509" s="77" t="n">
        <v>2016</v>
      </c>
      <c r="C509" s="77" t="inlineStr">
        <is>
          <t>medium</t>
        </is>
      </c>
      <c r="D509" s="77" t="inlineStr">
        <is>
          <t>E2</t>
        </is>
      </c>
      <c r="E509" s="77" t="inlineStr">
        <is>
          <t>AAHEDC</t>
        </is>
      </c>
      <c r="F509" s="77" t="inlineStr">
        <is>
          <t>3 Network</t>
        </is>
      </c>
      <c r="G509" s="77" t="inlineStr">
        <is>
          <t>network levy (hydro benefit)</t>
        </is>
      </c>
      <c r="H509" s="77" t="inlineStr">
        <is>
          <t>ii (pays cross-subsidy to N Scotland consumers)</t>
        </is>
      </c>
      <c r="I509" s="77">
        <f>IF(ISNUMBER(N509),N509*fx_deflator!$I$11*fx_deflator!$M$11,"")</f>
        <v/>
      </c>
      <c r="J509" s="77" t="inlineStr">
        <is>
          <t>NG/ESO AAHEDC charging statements &amp; final tariff letters</t>
        </is>
      </c>
      <c r="K509" s="77" t="inlineStr">
        <is>
          <t>stage4_uk r31</t>
        </is>
      </c>
      <c r="L509" s="77" t="inlineStr">
        <is>
          <t>2026-07-15</t>
        </is>
      </c>
      <c r="M509" s="77" t="inlineStr">
        <is>
          <t>N</t>
        </is>
      </c>
      <c r="N509" s="77">
        <f>IF(ISNUMBER(timeseries!J9),timeseries!J9,"")</f>
        <v/>
      </c>
      <c r="O509" s="77" t="inlineStr">
        <is>
          <t>GBP/MWh nominal</t>
        </is>
      </c>
      <c r="P509" s="77" t="inlineStr">
        <is>
          <t>not in NCC base (conservative, unverified)</t>
        </is>
      </c>
    </row>
    <row r="510" ht="15" customHeight="1" s="78">
      <c r="A510" s="77" t="inlineStr">
        <is>
          <t>UK</t>
        </is>
      </c>
      <c r="B510" s="77" t="n">
        <v>2016</v>
      </c>
      <c r="C510" s="77" t="inlineStr">
        <is>
          <t>medium</t>
        </is>
      </c>
      <c r="D510" s="77" t="inlineStr">
        <is>
          <t>E2</t>
        </is>
      </c>
      <c r="E510" s="77" t="inlineStr">
        <is>
          <t>RO (buy-out x obligation)</t>
        </is>
      </c>
      <c r="F510" s="77" t="inlineStr">
        <is>
          <t>2 Gen capital recovery</t>
        </is>
      </c>
      <c r="G510" s="77" t="inlineStr">
        <is>
          <t>renewables levy</t>
        </is>
      </c>
      <c r="H510" s="77" t="inlineStr">
        <is>
          <t>i</t>
        </is>
      </c>
      <c r="I510" s="77">
        <f>IF(ISNUMBER(N510),N510*fx_deflator!$I$11*fx_deflator!$M$11,"")</f>
        <v/>
      </c>
      <c r="J510" s="77" t="inlineStr">
        <is>
          <t>Ofgem RO guidance OFG1164 Table 1.1 (buy-out x obligation)</t>
        </is>
      </c>
      <c r="K510" s="77" t="inlineStr">
        <is>
          <t>stage4_uk r12-14</t>
        </is>
      </c>
      <c r="L510" s="77" t="inlineStr">
        <is>
          <t>2026-07-15</t>
        </is>
      </c>
      <c r="M510" s="77" t="inlineStr">
        <is>
          <t>Y</t>
        </is>
      </c>
      <c r="N510" s="77">
        <f>IF(ISNUMBER(timeseries!J10),timeseries!J10*(1-IF(ISNUMBER(stage4_uk!J45),stage4_uk!J45,0)),"")</f>
        <v/>
      </c>
      <c r="O510" s="77" t="inlineStr">
        <is>
          <t>GBP/MWh nominal</t>
        </is>
      </c>
    </row>
    <row r="511" ht="15" customHeight="1" s="78">
      <c r="A511" s="77" t="inlineStr">
        <is>
          <t>UK</t>
        </is>
      </c>
      <c r="B511" s="77" t="n">
        <v>2016</v>
      </c>
      <c r="C511" s="77" t="inlineStr">
        <is>
          <t>medium</t>
        </is>
      </c>
      <c r="D511" s="77" t="inlineStr">
        <is>
          <t>E2</t>
        </is>
      </c>
      <c r="E511" s="77" t="inlineStr">
        <is>
          <t>CfD Interim Levy Rate (annual avg)</t>
        </is>
      </c>
      <c r="F511" s="77" t="inlineStr">
        <is>
          <t>2 Gen capital recovery</t>
        </is>
      </c>
      <c r="G511" s="77" t="inlineStr">
        <is>
          <t>renewables levy</t>
        </is>
      </c>
      <c r="H511" s="77" t="inlineStr">
        <is>
          <t>i</t>
        </is>
      </c>
      <c r="I511" s="77">
        <f>IF(ISNUMBER(N511),N511*fx_deflator!$I$11*fx_deflator!$M$11,"")</f>
        <v/>
      </c>
      <c r="J511" s="77" t="inlineStr">
        <is>
          <t>LCCC Actual ILR Income dataset (quarterly avg)</t>
        </is>
      </c>
      <c r="K511" s="77" t="inlineStr">
        <is>
          <t>stage4_uk r15-19</t>
        </is>
      </c>
      <c r="L511" s="77" t="inlineStr">
        <is>
          <t>2026-07-15</t>
        </is>
      </c>
      <c r="M511" s="77" t="inlineStr">
        <is>
          <t>Y</t>
        </is>
      </c>
      <c r="N511" s="77">
        <f>IF(ISNUMBER(timeseries!J11),timeseries!J11*(1-IF(ISNUMBER(stage4_uk!J44),stage4_uk!J44,0)),"")</f>
        <v/>
      </c>
      <c r="O511" s="77" t="inlineStr">
        <is>
          <t>GBP/MWh nominal</t>
        </is>
      </c>
    </row>
    <row r="512" ht="15" customHeight="1" s="78">
      <c r="A512" s="77" t="inlineStr">
        <is>
          <t>UK</t>
        </is>
      </c>
      <c r="B512" s="77" t="n">
        <v>2016</v>
      </c>
      <c r="C512" s="77" t="inlineStr">
        <is>
          <t>medium</t>
        </is>
      </c>
      <c r="D512" s="77" t="inlineStr">
        <is>
          <t>E2</t>
        </is>
      </c>
      <c r="E512" s="77" t="inlineStr">
        <is>
          <t>FiT levelisation</t>
        </is>
      </c>
      <c r="F512" s="77" t="inlineStr">
        <is>
          <t>2 Gen capital recovery</t>
        </is>
      </c>
      <c r="G512" s="77" t="inlineStr">
        <is>
          <t>renewables levy</t>
        </is>
      </c>
      <c r="H512" s="77" t="inlineStr">
        <is>
          <t>i</t>
        </is>
      </c>
      <c r="I512" s="77">
        <f>IF(ISNUMBER(N512),N512*fx_deflator!$I$11*fx_deflator!$M$11,"")</f>
        <v/>
      </c>
      <c r="J512" s="77" t="inlineStr">
        <is>
          <t>Ofgem FIT Annual Reports SY1-SY15; D27 for 2010-14</t>
        </is>
      </c>
      <c r="K512" s="77" t="inlineStr">
        <is>
          <t>stage4_uk r20</t>
        </is>
      </c>
      <c r="L512" s="77" t="inlineStr">
        <is>
          <t>2026-07-15</t>
        </is>
      </c>
      <c r="M512" s="77" t="inlineStr">
        <is>
          <t>Y</t>
        </is>
      </c>
      <c r="N512" s="77">
        <f>IF(ISNUMBER(timeseries!J12),timeseries!J12*(1-IF(ISNUMBER(stage4_uk!J46),stage4_uk!J46,0)),"")</f>
        <v/>
      </c>
      <c r="O512" s="77" t="inlineStr">
        <is>
          <t>GBP/MWh nominal</t>
        </is>
      </c>
      <c r="P512" s="77" t="inlineStr">
        <is>
          <t>2025 unpublished (Q32) — row absent, gap stated</t>
        </is>
      </c>
    </row>
    <row r="513" ht="15" customHeight="1" s="78">
      <c r="A513" s="77" t="inlineStr">
        <is>
          <t>UK</t>
        </is>
      </c>
      <c r="B513" s="77" t="n">
        <v>2016</v>
      </c>
      <c r="C513" s="77" t="inlineStr">
        <is>
          <t>medium</t>
        </is>
      </c>
      <c r="D513" s="77" t="inlineStr">
        <is>
          <t>E2</t>
        </is>
      </c>
      <c r="E513" s="77" t="inlineStr">
        <is>
          <t>CCL — EXEMPT for the relieved case (mineralogical/metallurgical, HMRC CCL1/3 s3.14; D71)</t>
        </is>
      </c>
      <c r="F513" s="77" t="inlineStr">
        <is>
          <t>5 General taxation &amp; levies</t>
        </is>
      </c>
      <c r="G513" s="77" t="inlineStr">
        <is>
          <t>climate levy (tax)</t>
        </is>
      </c>
      <c r="H513" s="77" t="inlineStr">
        <is>
          <t>i</t>
        </is>
      </c>
      <c r="I513" s="77">
        <f>IF(ISNUMBER(N513),N513*fx_deflator!$I$11*fx_deflator!$M$11,"")</f>
        <v/>
      </c>
      <c r="J513" s="77" t="inlineStr">
        <is>
          <t>HMRC Excise Notice CCL1/3 s3.14 + Annex A (exemption from 01.04.2014). S209</t>
        </is>
      </c>
      <c r="K513" s="77" t="inlineStr">
        <is>
          <t>stage4_uk r22</t>
        </is>
      </c>
      <c r="L513" s="77" t="inlineStr">
        <is>
          <t>2026-07-15</t>
        </is>
      </c>
      <c r="M513" s="77" t="inlineStr">
        <is>
          <t>N</t>
        </is>
      </c>
      <c r="N513" s="136">
        <f>IF(ISNUMBER(timeseries!J14),0,"")</f>
        <v/>
      </c>
      <c r="O513" s="77" t="inlineStr">
        <is>
          <t>GBP/MWh nominal</t>
        </is>
      </c>
    </row>
    <row r="514" ht="15" customHeight="1" s="78">
      <c r="A514" s="77" t="inlineStr">
        <is>
          <t>UK</t>
        </is>
      </c>
      <c r="B514" s="77" t="n">
        <v>2017</v>
      </c>
      <c r="C514" s="77" t="inlineStr">
        <is>
          <t>medium</t>
        </is>
      </c>
      <c r="D514" s="77" t="inlineStr">
        <is>
          <t>E2</t>
        </is>
      </c>
      <c r="E514" s="77" t="inlineStr">
        <is>
          <t>Wholesale (rolling year-ahead baseload; DA proxy &lt;=2021)</t>
        </is>
      </c>
      <c r="F514" s="77" t="inlineStr">
        <is>
          <t>1 Commodity</t>
        </is>
      </c>
      <c r="G514" s="77" t="inlineStr">
        <is>
          <t>wholesale market</t>
        </is>
      </c>
      <c r="H514" s="77" t="inlineStr">
        <is>
          <t>i</t>
        </is>
      </c>
      <c r="I514" s="77">
        <f>IF(ISNUMBER(N514),N514*fx_deflator!$I$12*fx_deflator!$M$12,"")</f>
        <v/>
      </c>
      <c r="J514" s="77" t="inlineStr">
        <is>
          <t>Ofgem data portal — DA baseload monthly avg (proxy &lt;=2021, D22); Forward Delivery Contracts (D21)</t>
        </is>
      </c>
      <c r="K514" s="77" t="inlineStr">
        <is>
          <t>stage4_uk r7-9</t>
        </is>
      </c>
      <c r="L514" s="77" t="inlineStr">
        <is>
          <t>2026-07-15</t>
        </is>
      </c>
      <c r="M514" s="77" t="inlineStr">
        <is>
          <t>Y</t>
        </is>
      </c>
      <c r="N514" s="136">
        <f>IF(ISNUMBER(timeseries!K22),timeseries!K22,"")</f>
        <v/>
      </c>
      <c r="O514" s="77" t="inlineStr">
        <is>
          <t>GBP/MWh nominal</t>
        </is>
      </c>
      <c r="P514" s="77" t="inlineStr">
        <is>
          <t>identical E1/E2; embedded carbon memo inside this item</t>
        </is>
      </c>
    </row>
    <row r="515" ht="15" customHeight="1" s="78">
      <c r="A515" s="77" t="inlineStr">
        <is>
          <t>UK</t>
        </is>
      </c>
      <c r="B515" s="77" t="n">
        <v>2017</v>
      </c>
      <c r="C515" s="77" t="inlineStr">
        <is>
          <t>medium</t>
        </is>
      </c>
      <c r="D515" s="77" t="inlineStr">
        <is>
          <t>E2</t>
        </is>
      </c>
      <c r="E515" s="77" t="inlineStr">
        <is>
          <t>TNUoS demand (zone 5; TCR banded residual from 2023)</t>
        </is>
      </c>
      <c r="F515" s="77" t="inlineStr">
        <is>
          <t>3 Network</t>
        </is>
      </c>
      <c r="G515" s="77" t="inlineStr">
        <is>
          <t>transmission network charge</t>
        </is>
      </c>
      <c r="H515" s="77" t="inlineStr">
        <is>
          <t>i (post-NCC relief; relief funded via ESL = ii instrument)</t>
        </is>
      </c>
      <c r="I515" s="77">
        <f>IF(ISNUMBER(N515),N515*fx_deflator!$I$12*fx_deflator!$M$12,"")</f>
        <v/>
      </c>
      <c r="J515" s="77" t="inlineStr">
        <is>
          <t>NESO TNUoS tariff documents (compendium doc 50736; Final TNUoS 2023/24-2026/27 Table 10)</t>
        </is>
      </c>
      <c r="K515" s="77" t="inlineStr">
        <is>
          <t>stage4_uk r25-27</t>
        </is>
      </c>
      <c r="L515" s="77" t="inlineStr">
        <is>
          <t>2026-07-15</t>
        </is>
      </c>
      <c r="M515" s="77" t="inlineStr">
        <is>
          <t>Y</t>
        </is>
      </c>
      <c r="N515" s="77">
        <f>IF(ISNUMBER(timeseries!K23),timeseries!K23*(1-IF(ISNUMBER(stage4_uk!K48),stage4_uk!K48,0)),"")</f>
        <v/>
      </c>
      <c r="O515" s="77" t="inlineStr">
        <is>
          <t>GBP/MWh nominal</t>
        </is>
      </c>
    </row>
    <row r="516" ht="15" customHeight="1" s="78">
      <c r="A516" s="77" t="inlineStr">
        <is>
          <t>UK</t>
        </is>
      </c>
      <c r="B516" s="77" t="n">
        <v>2017</v>
      </c>
      <c r="C516" s="77" t="inlineStr">
        <is>
          <t>medium</t>
        </is>
      </c>
      <c r="D516" s="77" t="inlineStr">
        <is>
          <t>E2</t>
        </is>
      </c>
      <c r="E516" s="77" t="inlineStr">
        <is>
          <t>DUoS unit rates (NPg CDCM red/amber/green, uniform-operation weights)</t>
        </is>
      </c>
      <c r="F516" s="77" t="inlineStr">
        <is>
          <t>3 Network</t>
        </is>
      </c>
      <c r="G516" s="77" t="inlineStr">
        <is>
          <t>distribution network charge</t>
        </is>
      </c>
      <c r="H516" s="77" t="inlineStr">
        <is>
          <t>i (post-NCC relief)</t>
        </is>
      </c>
      <c r="I516" s="77">
        <f>IF(ISNUMBER(N516),N516*fx_deflator!$I$12*fx_deflator!$M$12,"")</f>
        <v/>
      </c>
      <c r="J516" s="77" t="inlineStr">
        <is>
          <t>NPg (Yorkshire) LC14 CDCM statements; D28 reconstruction 2010-16</t>
        </is>
      </c>
      <c r="K516" s="77" t="inlineStr">
        <is>
          <t>stage4_uk r34-41</t>
        </is>
      </c>
      <c r="L516" s="77" t="inlineStr">
        <is>
          <t>2026-07-15</t>
        </is>
      </c>
      <c r="M516" s="77" t="inlineStr">
        <is>
          <t>Y</t>
        </is>
      </c>
      <c r="N516" s="77">
        <f>IF(ISNUMBER(timeseries!K24),timeseries!K24*(1-IF(ISNUMBER(stage4_uk!K48),stage4_uk!K48,0)),"")</f>
        <v/>
      </c>
      <c r="O516" s="77" t="inlineStr">
        <is>
          <t>GBP/MWh nominal</t>
        </is>
      </c>
    </row>
    <row r="517" ht="15" customHeight="1" s="78">
      <c r="A517" s="77" t="inlineStr">
        <is>
          <t>UK</t>
        </is>
      </c>
      <c r="B517" s="77" t="n">
        <v>2017</v>
      </c>
      <c r="C517" s="77" t="inlineStr">
        <is>
          <t>medium</t>
        </is>
      </c>
      <c r="D517" s="77" t="inlineStr">
        <is>
          <t>E2</t>
        </is>
      </c>
      <c r="E517" s="77" t="inlineStr">
        <is>
          <t>DUoS fixed charge (TCR Band-4 residual from 2022/23)</t>
        </is>
      </c>
      <c r="F517" s="77" t="inlineStr">
        <is>
          <t>3 Network</t>
        </is>
      </c>
      <c r="G517" s="77" t="inlineStr">
        <is>
          <t>distribution network charge</t>
        </is>
      </c>
      <c r="H517" s="77" t="inlineStr">
        <is>
          <t>i (post-NCC relief)</t>
        </is>
      </c>
      <c r="I517" s="77">
        <f>IF(ISNUMBER(N517),N517*fx_deflator!$I$12*fx_deflator!$M$12,"")</f>
        <v/>
      </c>
      <c r="J517" s="77" t="inlineStr">
        <is>
          <t>NPg (Yorkshire) LC14 CDCM statements; D28 reconstruction 2010-16</t>
        </is>
      </c>
      <c r="K517" s="77" t="inlineStr">
        <is>
          <t>stage4_uk r34-41</t>
        </is>
      </c>
      <c r="L517" s="77" t="inlineStr">
        <is>
          <t>2026-07-15</t>
        </is>
      </c>
      <c r="M517" s="77" t="inlineStr">
        <is>
          <t>Y</t>
        </is>
      </c>
      <c r="N517" s="77">
        <f>IF(ISNUMBER(timeseries!K25),timeseries!K25*(1-IF(ISNUMBER(stage4_uk!K48),stage4_uk!K48,0)),"")</f>
        <v/>
      </c>
      <c r="O517" s="77" t="inlineStr">
        <is>
          <t>GBP/MWh nominal</t>
        </is>
      </c>
    </row>
    <row r="518" ht="15" customHeight="1" s="78">
      <c r="A518" s="77" t="inlineStr">
        <is>
          <t>UK</t>
        </is>
      </c>
      <c r="B518" s="77" t="n">
        <v>2017</v>
      </c>
      <c r="C518" s="77" t="inlineStr">
        <is>
          <t>medium</t>
        </is>
      </c>
      <c r="D518" s="77" t="inlineStr">
        <is>
          <t>E2</t>
        </is>
      </c>
      <c r="E518" s="77" t="inlineStr">
        <is>
          <t>DUoS capacity charge</t>
        </is>
      </c>
      <c r="F518" s="77" t="inlineStr">
        <is>
          <t>3 Network</t>
        </is>
      </c>
      <c r="G518" s="77" t="inlineStr">
        <is>
          <t>distribution network charge</t>
        </is>
      </c>
      <c r="H518" s="77" t="inlineStr">
        <is>
          <t>i (post-NCC relief)</t>
        </is>
      </c>
      <c r="I518" s="77">
        <f>IF(ISNUMBER(N518),N518*fx_deflator!$I$12*fx_deflator!$M$12,"")</f>
        <v/>
      </c>
      <c r="J518" s="77" t="inlineStr">
        <is>
          <t>NPg (Yorkshire) LC14 CDCM statements; D28 reconstruction 2010-16</t>
        </is>
      </c>
      <c r="K518" s="77" t="inlineStr">
        <is>
          <t>stage4_uk r34-41</t>
        </is>
      </c>
      <c r="L518" s="77" t="inlineStr">
        <is>
          <t>2026-07-15</t>
        </is>
      </c>
      <c r="M518" s="77" t="inlineStr">
        <is>
          <t>Y</t>
        </is>
      </c>
      <c r="N518" s="77">
        <f>IF(ISNUMBER(timeseries!K26),timeseries!K26*(1-IF(ISNUMBER(stage4_uk!K48),stage4_uk!K48,0)),"")</f>
        <v/>
      </c>
      <c r="O518" s="77" t="inlineStr">
        <is>
          <t>GBP/MWh nominal</t>
        </is>
      </c>
    </row>
    <row r="519" ht="15" customHeight="1" s="78">
      <c r="A519" s="77" t="inlineStr">
        <is>
          <t>UK</t>
        </is>
      </c>
      <c r="B519" s="77" t="n">
        <v>2017</v>
      </c>
      <c r="C519" s="77" t="inlineStr">
        <is>
          <t>medium</t>
        </is>
      </c>
      <c r="D519" s="77" t="inlineStr">
        <is>
          <t>E2</t>
        </is>
      </c>
      <c r="E519" s="77" t="inlineStr">
        <is>
          <t>BSUoS (demand-only from 04/2023)</t>
        </is>
      </c>
      <c r="F519" s="77" t="inlineStr">
        <is>
          <t>4 System services &amp; balancing</t>
        </is>
      </c>
      <c r="G519" s="77" t="inlineStr">
        <is>
          <t>balancing charge</t>
        </is>
      </c>
      <c r="H519" s="77" t="inlineStr">
        <is>
          <t>i (post-NCC relief)</t>
        </is>
      </c>
      <c r="I519" s="77">
        <f>IF(ISNUMBER(N519),N519*fx_deflator!$I$12*fx_deflator!$M$12,"")</f>
        <v/>
      </c>
      <c r="J519" s="77" t="inlineStr">
        <is>
          <t>NESO bsuos-fixed-tariffs + HH RF settlement files (own annual avg 2010-22)</t>
        </is>
      </c>
      <c r="K519" s="77" t="inlineStr">
        <is>
          <t>stage4_uk r28-30</t>
        </is>
      </c>
      <c r="L519" s="77" t="inlineStr">
        <is>
          <t>2026-07-15</t>
        </is>
      </c>
      <c r="M519" s="77" t="inlineStr">
        <is>
          <t>Y</t>
        </is>
      </c>
      <c r="N519" s="77">
        <f>IF(ISNUMBER(timeseries!K8),timeseries!K8*(1-IF(ISNUMBER(stage4_uk!K48),stage4_uk!K48,0)),"")</f>
        <v/>
      </c>
      <c r="O519" s="77" t="inlineStr">
        <is>
          <t>GBP/MWh nominal</t>
        </is>
      </c>
    </row>
    <row r="520" ht="15" customHeight="1" s="78">
      <c r="A520" s="77" t="inlineStr">
        <is>
          <t>UK</t>
        </is>
      </c>
      <c r="B520" s="77" t="n">
        <v>2017</v>
      </c>
      <c r="C520" s="77" t="inlineStr">
        <is>
          <t>medium</t>
        </is>
      </c>
      <c r="D520" s="77" t="inlineStr">
        <is>
          <t>E2</t>
        </is>
      </c>
      <c r="E520" s="77" t="inlineStr">
        <is>
          <t>AAHEDC</t>
        </is>
      </c>
      <c r="F520" s="77" t="inlineStr">
        <is>
          <t>3 Network</t>
        </is>
      </c>
      <c r="G520" s="77" t="inlineStr">
        <is>
          <t>network levy (hydro benefit)</t>
        </is>
      </c>
      <c r="H520" s="77" t="inlineStr">
        <is>
          <t>ii (pays cross-subsidy to N Scotland consumers)</t>
        </is>
      </c>
      <c r="I520" s="77">
        <f>IF(ISNUMBER(N520),N520*fx_deflator!$I$12*fx_deflator!$M$12,"")</f>
        <v/>
      </c>
      <c r="J520" s="77" t="inlineStr">
        <is>
          <t>NG/ESO AAHEDC charging statements &amp; final tariff letters</t>
        </is>
      </c>
      <c r="K520" s="77" t="inlineStr">
        <is>
          <t>stage4_uk r31</t>
        </is>
      </c>
      <c r="L520" s="77" t="inlineStr">
        <is>
          <t>2026-07-15</t>
        </is>
      </c>
      <c r="M520" s="77" t="inlineStr">
        <is>
          <t>N</t>
        </is>
      </c>
      <c r="N520" s="77">
        <f>IF(ISNUMBER(timeseries!K9),timeseries!K9,"")</f>
        <v/>
      </c>
      <c r="O520" s="77" t="inlineStr">
        <is>
          <t>GBP/MWh nominal</t>
        </is>
      </c>
      <c r="P520" s="77" t="inlineStr">
        <is>
          <t>not in NCC base (conservative, unverified)</t>
        </is>
      </c>
    </row>
    <row r="521" ht="15" customHeight="1" s="78">
      <c r="A521" s="77" t="inlineStr">
        <is>
          <t>UK</t>
        </is>
      </c>
      <c r="B521" s="77" t="n">
        <v>2017</v>
      </c>
      <c r="C521" s="77" t="inlineStr">
        <is>
          <t>medium</t>
        </is>
      </c>
      <c r="D521" s="77" t="inlineStr">
        <is>
          <t>E2</t>
        </is>
      </c>
      <c r="E521" s="77" t="inlineStr">
        <is>
          <t>RO (buy-out x obligation)</t>
        </is>
      </c>
      <c r="F521" s="77" t="inlineStr">
        <is>
          <t>2 Gen capital recovery</t>
        </is>
      </c>
      <c r="G521" s="77" t="inlineStr">
        <is>
          <t>renewables levy</t>
        </is>
      </c>
      <c r="H521" s="77" t="inlineStr">
        <is>
          <t>i</t>
        </is>
      </c>
      <c r="I521" s="77">
        <f>IF(ISNUMBER(N521),N521*fx_deflator!$I$12*fx_deflator!$M$12,"")</f>
        <v/>
      </c>
      <c r="J521" s="77" t="inlineStr">
        <is>
          <t>Ofgem RO guidance OFG1164 Table 1.1 (buy-out x obligation)</t>
        </is>
      </c>
      <c r="K521" s="77" t="inlineStr">
        <is>
          <t>stage4_uk r12-14</t>
        </is>
      </c>
      <c r="L521" s="77" t="inlineStr">
        <is>
          <t>2026-07-15</t>
        </is>
      </c>
      <c r="M521" s="77" t="inlineStr">
        <is>
          <t>Y</t>
        </is>
      </c>
      <c r="N521" s="77">
        <f>IF(ISNUMBER(timeseries!K10),timeseries!K10*(1-IF(ISNUMBER(stage4_uk!K45),stage4_uk!K45,0)),"")</f>
        <v/>
      </c>
      <c r="O521" s="77" t="inlineStr">
        <is>
          <t>GBP/MWh nominal</t>
        </is>
      </c>
    </row>
    <row r="522" ht="15" customHeight="1" s="78">
      <c r="A522" s="77" t="inlineStr">
        <is>
          <t>UK</t>
        </is>
      </c>
      <c r="B522" s="77" t="n">
        <v>2017</v>
      </c>
      <c r="C522" s="77" t="inlineStr">
        <is>
          <t>medium</t>
        </is>
      </c>
      <c r="D522" s="77" t="inlineStr">
        <is>
          <t>E2</t>
        </is>
      </c>
      <c r="E522" s="77" t="inlineStr">
        <is>
          <t>CfD Interim Levy Rate (annual avg)</t>
        </is>
      </c>
      <c r="F522" s="77" t="inlineStr">
        <is>
          <t>2 Gen capital recovery</t>
        </is>
      </c>
      <c r="G522" s="77" t="inlineStr">
        <is>
          <t>renewables levy</t>
        </is>
      </c>
      <c r="H522" s="77" t="inlineStr">
        <is>
          <t>i</t>
        </is>
      </c>
      <c r="I522" s="77">
        <f>IF(ISNUMBER(N522),N522*fx_deflator!$I$12*fx_deflator!$M$12,"")</f>
        <v/>
      </c>
      <c r="J522" s="77" t="inlineStr">
        <is>
          <t>LCCC Actual ILR Income dataset (quarterly avg)</t>
        </is>
      </c>
      <c r="K522" s="77" t="inlineStr">
        <is>
          <t>stage4_uk r15-19</t>
        </is>
      </c>
      <c r="L522" s="77" t="inlineStr">
        <is>
          <t>2026-07-15</t>
        </is>
      </c>
      <c r="M522" s="77" t="inlineStr">
        <is>
          <t>Y</t>
        </is>
      </c>
      <c r="N522" s="77">
        <f>IF(ISNUMBER(timeseries!K11),timeseries!K11*(1-IF(ISNUMBER(stage4_uk!K44),stage4_uk!K44,0)),"")</f>
        <v/>
      </c>
      <c r="O522" s="77" t="inlineStr">
        <is>
          <t>GBP/MWh nominal</t>
        </is>
      </c>
    </row>
    <row r="523" ht="15" customHeight="1" s="78">
      <c r="A523" s="77" t="inlineStr">
        <is>
          <t>UK</t>
        </is>
      </c>
      <c r="B523" s="77" t="n">
        <v>2017</v>
      </c>
      <c r="C523" s="77" t="inlineStr">
        <is>
          <t>medium</t>
        </is>
      </c>
      <c r="D523" s="77" t="inlineStr">
        <is>
          <t>E2</t>
        </is>
      </c>
      <c r="E523" s="77" t="inlineStr">
        <is>
          <t>FiT levelisation</t>
        </is>
      </c>
      <c r="F523" s="77" t="inlineStr">
        <is>
          <t>2 Gen capital recovery</t>
        </is>
      </c>
      <c r="G523" s="77" t="inlineStr">
        <is>
          <t>renewables levy</t>
        </is>
      </c>
      <c r="H523" s="77" t="inlineStr">
        <is>
          <t>i</t>
        </is>
      </c>
      <c r="I523" s="77">
        <f>IF(ISNUMBER(N523),N523*fx_deflator!$I$12*fx_deflator!$M$12,"")</f>
        <v/>
      </c>
      <c r="J523" s="77" t="inlineStr">
        <is>
          <t>Ofgem FIT Annual Reports SY1-SY15; D27 for 2010-14</t>
        </is>
      </c>
      <c r="K523" s="77" t="inlineStr">
        <is>
          <t>stage4_uk r20</t>
        </is>
      </c>
      <c r="L523" s="77" t="inlineStr">
        <is>
          <t>2026-07-15</t>
        </is>
      </c>
      <c r="M523" s="77" t="inlineStr">
        <is>
          <t>Y</t>
        </is>
      </c>
      <c r="N523" s="77">
        <f>IF(ISNUMBER(timeseries!K12),timeseries!K12*(1-IF(ISNUMBER(stage4_uk!K46),stage4_uk!K46,0)),"")</f>
        <v/>
      </c>
      <c r="O523" s="77" t="inlineStr">
        <is>
          <t>GBP/MWh nominal</t>
        </is>
      </c>
      <c r="P523" s="77" t="inlineStr">
        <is>
          <t>2025 unpublished (Q32) — row absent, gap stated</t>
        </is>
      </c>
    </row>
    <row r="524" ht="15" customHeight="1" s="78">
      <c r="A524" s="77" t="inlineStr">
        <is>
          <t>UK</t>
        </is>
      </c>
      <c r="B524" s="77" t="n">
        <v>2017</v>
      </c>
      <c r="C524" s="77" t="inlineStr">
        <is>
          <t>medium</t>
        </is>
      </c>
      <c r="D524" s="77" t="inlineStr">
        <is>
          <t>E2</t>
        </is>
      </c>
      <c r="E524" s="77" t="inlineStr">
        <is>
          <t>Capacity Market (derived per-MWh)</t>
        </is>
      </c>
      <c r="F524" s="77" t="inlineStr">
        <is>
          <t>2 Gen capital recovery</t>
        </is>
      </c>
      <c r="G524" s="77" t="inlineStr">
        <is>
          <t>capacity market levy</t>
        </is>
      </c>
      <c r="H524" s="77" t="inlineStr">
        <is>
          <t>i</t>
        </is>
      </c>
      <c r="I524" s="77">
        <f>IF(ISNUMBER(N524),N524*fx_deflator!$I$12*fx_deflator!$M$12,"")</f>
        <v/>
      </c>
      <c r="J524" s="77" t="inlineStr">
        <is>
          <t>EMRS Key Figures for Payments (derived per-MWh, D30)</t>
        </is>
      </c>
      <c r="K524" s="77" t="inlineStr">
        <is>
          <t>stage4_uk r21</t>
        </is>
      </c>
      <c r="L524" s="77" t="inlineStr">
        <is>
          <t>2026-07-15</t>
        </is>
      </c>
      <c r="M524" s="77" t="inlineStr">
        <is>
          <t>Y</t>
        </is>
      </c>
      <c r="N524" s="77">
        <f>IF(ISNUMBER(timeseries!K13),timeseries!K13*(1-IF(ISNUMBER(stage4_uk!K47),stage4_uk!K47,0)),"")</f>
        <v/>
      </c>
      <c r="O524" s="77" t="inlineStr">
        <is>
          <t>GBP/MWh nominal</t>
        </is>
      </c>
      <c r="P524" s="77" t="inlineStr">
        <is>
          <t>function 2 per D9</t>
        </is>
      </c>
    </row>
    <row r="525" ht="15" customHeight="1" s="78">
      <c r="A525" s="77" t="inlineStr">
        <is>
          <t>UK</t>
        </is>
      </c>
      <c r="B525" s="77" t="n">
        <v>2017</v>
      </c>
      <c r="C525" s="77" t="inlineStr">
        <is>
          <t>medium</t>
        </is>
      </c>
      <c r="D525" s="77" t="inlineStr">
        <is>
          <t>E2</t>
        </is>
      </c>
      <c r="E525" s="77" t="inlineStr">
        <is>
          <t>CCL — EXEMPT for the relieved case (mineralogical/metallurgical, HMRC CCL1/3 s3.14; D71)</t>
        </is>
      </c>
      <c r="F525" s="77" t="inlineStr">
        <is>
          <t>5 General taxation &amp; levies</t>
        </is>
      </c>
      <c r="G525" s="77" t="inlineStr">
        <is>
          <t>climate levy (tax)</t>
        </is>
      </c>
      <c r="H525" s="77" t="inlineStr">
        <is>
          <t>i</t>
        </is>
      </c>
      <c r="I525" s="77">
        <f>IF(ISNUMBER(N525),N525*fx_deflator!$I$12*fx_deflator!$M$12,"")</f>
        <v/>
      </c>
      <c r="J525" s="77" t="inlineStr">
        <is>
          <t>HMRC Excise Notice CCL1/3 s3.14 + Annex A (exemption from 01.04.2014). S209</t>
        </is>
      </c>
      <c r="K525" s="77" t="inlineStr">
        <is>
          <t>stage4_uk r22</t>
        </is>
      </c>
      <c r="L525" s="77" t="inlineStr">
        <is>
          <t>2026-07-15</t>
        </is>
      </c>
      <c r="M525" s="77" t="inlineStr">
        <is>
          <t>N</t>
        </is>
      </c>
      <c r="N525" s="136">
        <f>IF(ISNUMBER(timeseries!K14),0,"")</f>
        <v/>
      </c>
      <c r="O525" s="77" t="inlineStr">
        <is>
          <t>GBP/MWh nominal</t>
        </is>
      </c>
    </row>
    <row r="526" ht="15" customHeight="1" s="78">
      <c r="A526" s="77" t="inlineStr">
        <is>
          <t>UK</t>
        </is>
      </c>
      <c r="B526" s="77" t="n">
        <v>2018</v>
      </c>
      <c r="C526" s="77" t="inlineStr">
        <is>
          <t>medium</t>
        </is>
      </c>
      <c r="D526" s="77" t="inlineStr">
        <is>
          <t>E2</t>
        </is>
      </c>
      <c r="E526" s="77" t="inlineStr">
        <is>
          <t>Wholesale (rolling year-ahead baseload; DA proxy &lt;=2021)</t>
        </is>
      </c>
      <c r="F526" s="77" t="inlineStr">
        <is>
          <t>1 Commodity</t>
        </is>
      </c>
      <c r="G526" s="77" t="inlineStr">
        <is>
          <t>wholesale market</t>
        </is>
      </c>
      <c r="H526" s="77" t="inlineStr">
        <is>
          <t>i</t>
        </is>
      </c>
      <c r="I526" s="77">
        <f>IF(ISNUMBER(N526),N526*fx_deflator!$I$13*fx_deflator!$M$13,"")</f>
        <v/>
      </c>
      <c r="J526" s="77" t="inlineStr">
        <is>
          <t>Ofgem data portal — DA baseload monthly avg (proxy &lt;=2021, D22); Forward Delivery Contracts (D21)</t>
        </is>
      </c>
      <c r="K526" s="77" t="inlineStr">
        <is>
          <t>stage4_uk r7-9</t>
        </is>
      </c>
      <c r="L526" s="77" t="inlineStr">
        <is>
          <t>2026-07-15</t>
        </is>
      </c>
      <c r="M526" s="77" t="inlineStr">
        <is>
          <t>Y</t>
        </is>
      </c>
      <c r="N526" s="136">
        <f>IF(ISNUMBER(timeseries!L22),timeseries!L22,"")</f>
        <v/>
      </c>
      <c r="O526" s="77" t="inlineStr">
        <is>
          <t>GBP/MWh nominal</t>
        </is>
      </c>
      <c r="P526" s="77" t="inlineStr">
        <is>
          <t>identical E1/E2; embedded carbon memo inside this item</t>
        </is>
      </c>
    </row>
    <row r="527" ht="15" customHeight="1" s="78">
      <c r="A527" s="77" t="inlineStr">
        <is>
          <t>UK</t>
        </is>
      </c>
      <c r="B527" s="77" t="n">
        <v>2018</v>
      </c>
      <c r="C527" s="77" t="inlineStr">
        <is>
          <t>medium</t>
        </is>
      </c>
      <c r="D527" s="77" t="inlineStr">
        <is>
          <t>E2</t>
        </is>
      </c>
      <c r="E527" s="77" t="inlineStr">
        <is>
          <t>TNUoS demand (zone 5; TCR banded residual from 2023)</t>
        </is>
      </c>
      <c r="F527" s="77" t="inlineStr">
        <is>
          <t>3 Network</t>
        </is>
      </c>
      <c r="G527" s="77" t="inlineStr">
        <is>
          <t>transmission network charge</t>
        </is>
      </c>
      <c r="H527" s="77" t="inlineStr">
        <is>
          <t>i (post-NCC relief; relief funded via ESL = ii instrument)</t>
        </is>
      </c>
      <c r="I527" s="77">
        <f>IF(ISNUMBER(N527),N527*fx_deflator!$I$13*fx_deflator!$M$13,"")</f>
        <v/>
      </c>
      <c r="J527" s="77" t="inlineStr">
        <is>
          <t>NESO TNUoS tariff documents (compendium doc 50736; Final TNUoS 2023/24-2026/27 Table 10)</t>
        </is>
      </c>
      <c r="K527" s="77" t="inlineStr">
        <is>
          <t>stage4_uk r25-27</t>
        </is>
      </c>
      <c r="L527" s="77" t="inlineStr">
        <is>
          <t>2026-07-15</t>
        </is>
      </c>
      <c r="M527" s="77" t="inlineStr">
        <is>
          <t>Y</t>
        </is>
      </c>
      <c r="N527" s="77">
        <f>IF(ISNUMBER(timeseries!L23),timeseries!L23*(1-IF(ISNUMBER(stage4_uk!L48),stage4_uk!L48,0)),"")</f>
        <v/>
      </c>
      <c r="O527" s="77" t="inlineStr">
        <is>
          <t>GBP/MWh nominal</t>
        </is>
      </c>
    </row>
    <row r="528" ht="15" customHeight="1" s="78">
      <c r="A528" s="77" t="inlineStr">
        <is>
          <t>UK</t>
        </is>
      </c>
      <c r="B528" s="77" t="n">
        <v>2018</v>
      </c>
      <c r="C528" s="77" t="inlineStr">
        <is>
          <t>medium</t>
        </is>
      </c>
      <c r="D528" s="77" t="inlineStr">
        <is>
          <t>E2</t>
        </is>
      </c>
      <c r="E528" s="77" t="inlineStr">
        <is>
          <t>DUoS unit rates (NPg CDCM red/amber/green, uniform-operation weights)</t>
        </is>
      </c>
      <c r="F528" s="77" t="inlineStr">
        <is>
          <t>3 Network</t>
        </is>
      </c>
      <c r="G528" s="77" t="inlineStr">
        <is>
          <t>distribution network charge</t>
        </is>
      </c>
      <c r="H528" s="77" t="inlineStr">
        <is>
          <t>i (post-NCC relief)</t>
        </is>
      </c>
      <c r="I528" s="77">
        <f>IF(ISNUMBER(N528),N528*fx_deflator!$I$13*fx_deflator!$M$13,"")</f>
        <v/>
      </c>
      <c r="J528" s="77" t="inlineStr">
        <is>
          <t>NPg (Yorkshire) LC14 CDCM statements; D28 reconstruction 2010-16</t>
        </is>
      </c>
      <c r="K528" s="77" t="inlineStr">
        <is>
          <t>stage4_uk r34-41</t>
        </is>
      </c>
      <c r="L528" s="77" t="inlineStr">
        <is>
          <t>2026-07-15</t>
        </is>
      </c>
      <c r="M528" s="77" t="inlineStr">
        <is>
          <t>Y</t>
        </is>
      </c>
      <c r="N528" s="77">
        <f>IF(ISNUMBER(timeseries!L24),timeseries!L24*(1-IF(ISNUMBER(stage4_uk!L48),stage4_uk!L48,0)),"")</f>
        <v/>
      </c>
      <c r="O528" s="77" t="inlineStr">
        <is>
          <t>GBP/MWh nominal</t>
        </is>
      </c>
    </row>
    <row r="529" ht="15" customHeight="1" s="78">
      <c r="A529" s="77" t="inlineStr">
        <is>
          <t>UK</t>
        </is>
      </c>
      <c r="B529" s="77" t="n">
        <v>2018</v>
      </c>
      <c r="C529" s="77" t="inlineStr">
        <is>
          <t>medium</t>
        </is>
      </c>
      <c r="D529" s="77" t="inlineStr">
        <is>
          <t>E2</t>
        </is>
      </c>
      <c r="E529" s="77" t="inlineStr">
        <is>
          <t>DUoS fixed charge (TCR Band-4 residual from 2022/23)</t>
        </is>
      </c>
      <c r="F529" s="77" t="inlineStr">
        <is>
          <t>3 Network</t>
        </is>
      </c>
      <c r="G529" s="77" t="inlineStr">
        <is>
          <t>distribution network charge</t>
        </is>
      </c>
      <c r="H529" s="77" t="inlineStr">
        <is>
          <t>i (post-NCC relief)</t>
        </is>
      </c>
      <c r="I529" s="77">
        <f>IF(ISNUMBER(N529),N529*fx_deflator!$I$13*fx_deflator!$M$13,"")</f>
        <v/>
      </c>
      <c r="J529" s="77" t="inlineStr">
        <is>
          <t>NPg (Yorkshire) LC14 CDCM statements; D28 reconstruction 2010-16</t>
        </is>
      </c>
      <c r="K529" s="77" t="inlineStr">
        <is>
          <t>stage4_uk r34-41</t>
        </is>
      </c>
      <c r="L529" s="77" t="inlineStr">
        <is>
          <t>2026-07-15</t>
        </is>
      </c>
      <c r="M529" s="77" t="inlineStr">
        <is>
          <t>Y</t>
        </is>
      </c>
      <c r="N529" s="77">
        <f>IF(ISNUMBER(timeseries!L25),timeseries!L25*(1-IF(ISNUMBER(stage4_uk!L48),stage4_uk!L48,0)),"")</f>
        <v/>
      </c>
      <c r="O529" s="77" t="inlineStr">
        <is>
          <t>GBP/MWh nominal</t>
        </is>
      </c>
    </row>
    <row r="530" ht="15" customHeight="1" s="78">
      <c r="A530" s="77" t="inlineStr">
        <is>
          <t>UK</t>
        </is>
      </c>
      <c r="B530" s="77" t="n">
        <v>2018</v>
      </c>
      <c r="C530" s="77" t="inlineStr">
        <is>
          <t>medium</t>
        </is>
      </c>
      <c r="D530" s="77" t="inlineStr">
        <is>
          <t>E2</t>
        </is>
      </c>
      <c r="E530" s="77" t="inlineStr">
        <is>
          <t>DUoS capacity charge</t>
        </is>
      </c>
      <c r="F530" s="77" t="inlineStr">
        <is>
          <t>3 Network</t>
        </is>
      </c>
      <c r="G530" s="77" t="inlineStr">
        <is>
          <t>distribution network charge</t>
        </is>
      </c>
      <c r="H530" s="77" t="inlineStr">
        <is>
          <t>i (post-NCC relief)</t>
        </is>
      </c>
      <c r="I530" s="77">
        <f>IF(ISNUMBER(N530),N530*fx_deflator!$I$13*fx_deflator!$M$13,"")</f>
        <v/>
      </c>
      <c r="J530" s="77" t="inlineStr">
        <is>
          <t>NPg (Yorkshire) LC14 CDCM statements; D28 reconstruction 2010-16</t>
        </is>
      </c>
      <c r="K530" s="77" t="inlineStr">
        <is>
          <t>stage4_uk r34-41</t>
        </is>
      </c>
      <c r="L530" s="77" t="inlineStr">
        <is>
          <t>2026-07-15</t>
        </is>
      </c>
      <c r="M530" s="77" t="inlineStr">
        <is>
          <t>Y</t>
        </is>
      </c>
      <c r="N530" s="77">
        <f>IF(ISNUMBER(timeseries!L26),timeseries!L26*(1-IF(ISNUMBER(stage4_uk!L48),stage4_uk!L48,0)),"")</f>
        <v/>
      </c>
      <c r="O530" s="77" t="inlineStr">
        <is>
          <t>GBP/MWh nominal</t>
        </is>
      </c>
    </row>
    <row r="531" ht="15" customHeight="1" s="78">
      <c r="A531" s="77" t="inlineStr">
        <is>
          <t>UK</t>
        </is>
      </c>
      <c r="B531" s="77" t="n">
        <v>2018</v>
      </c>
      <c r="C531" s="77" t="inlineStr">
        <is>
          <t>medium</t>
        </is>
      </c>
      <c r="D531" s="77" t="inlineStr">
        <is>
          <t>E2</t>
        </is>
      </c>
      <c r="E531" s="77" t="inlineStr">
        <is>
          <t>BSUoS (demand-only from 04/2023)</t>
        </is>
      </c>
      <c r="F531" s="77" t="inlineStr">
        <is>
          <t>4 System services &amp; balancing</t>
        </is>
      </c>
      <c r="G531" s="77" t="inlineStr">
        <is>
          <t>balancing charge</t>
        </is>
      </c>
      <c r="H531" s="77" t="inlineStr">
        <is>
          <t>i (post-NCC relief)</t>
        </is>
      </c>
      <c r="I531" s="77">
        <f>IF(ISNUMBER(N531),N531*fx_deflator!$I$13*fx_deflator!$M$13,"")</f>
        <v/>
      </c>
      <c r="J531" s="77" t="inlineStr">
        <is>
          <t>NESO bsuos-fixed-tariffs + HH RF settlement files (own annual avg 2010-22)</t>
        </is>
      </c>
      <c r="K531" s="77" t="inlineStr">
        <is>
          <t>stage4_uk r28-30</t>
        </is>
      </c>
      <c r="L531" s="77" t="inlineStr">
        <is>
          <t>2026-07-15</t>
        </is>
      </c>
      <c r="M531" s="77" t="inlineStr">
        <is>
          <t>Y</t>
        </is>
      </c>
      <c r="N531" s="77">
        <f>IF(ISNUMBER(timeseries!L8),timeseries!L8*(1-IF(ISNUMBER(stage4_uk!L48),stage4_uk!L48,0)),"")</f>
        <v/>
      </c>
      <c r="O531" s="77" t="inlineStr">
        <is>
          <t>GBP/MWh nominal</t>
        </is>
      </c>
    </row>
    <row r="532" ht="15" customHeight="1" s="78">
      <c r="A532" s="77" t="inlineStr">
        <is>
          <t>UK</t>
        </is>
      </c>
      <c r="B532" s="77" t="n">
        <v>2018</v>
      </c>
      <c r="C532" s="77" t="inlineStr">
        <is>
          <t>medium</t>
        </is>
      </c>
      <c r="D532" s="77" t="inlineStr">
        <is>
          <t>E2</t>
        </is>
      </c>
      <c r="E532" s="77" t="inlineStr">
        <is>
          <t>AAHEDC</t>
        </is>
      </c>
      <c r="F532" s="77" t="inlineStr">
        <is>
          <t>3 Network</t>
        </is>
      </c>
      <c r="G532" s="77" t="inlineStr">
        <is>
          <t>network levy (hydro benefit)</t>
        </is>
      </c>
      <c r="H532" s="77" t="inlineStr">
        <is>
          <t>ii (pays cross-subsidy to N Scotland consumers)</t>
        </is>
      </c>
      <c r="I532" s="77">
        <f>IF(ISNUMBER(N532),N532*fx_deflator!$I$13*fx_deflator!$M$13,"")</f>
        <v/>
      </c>
      <c r="J532" s="77" t="inlineStr">
        <is>
          <t>NG/ESO AAHEDC charging statements &amp; final tariff letters</t>
        </is>
      </c>
      <c r="K532" s="77" t="inlineStr">
        <is>
          <t>stage4_uk r31</t>
        </is>
      </c>
      <c r="L532" s="77" t="inlineStr">
        <is>
          <t>2026-07-15</t>
        </is>
      </c>
      <c r="M532" s="77" t="inlineStr">
        <is>
          <t>N</t>
        </is>
      </c>
      <c r="N532" s="77">
        <f>IF(ISNUMBER(timeseries!L9),timeseries!L9,"")</f>
        <v/>
      </c>
      <c r="O532" s="77" t="inlineStr">
        <is>
          <t>GBP/MWh nominal</t>
        </is>
      </c>
      <c r="P532" s="77" t="inlineStr">
        <is>
          <t>not in NCC base (conservative, unverified)</t>
        </is>
      </c>
    </row>
    <row r="533" ht="15" customHeight="1" s="78">
      <c r="A533" s="77" t="inlineStr">
        <is>
          <t>UK</t>
        </is>
      </c>
      <c r="B533" s="77" t="n">
        <v>2018</v>
      </c>
      <c r="C533" s="77" t="inlineStr">
        <is>
          <t>medium</t>
        </is>
      </c>
      <c r="D533" s="77" t="inlineStr">
        <is>
          <t>E2</t>
        </is>
      </c>
      <c r="E533" s="77" t="inlineStr">
        <is>
          <t>RO (buy-out x obligation)</t>
        </is>
      </c>
      <c r="F533" s="77" t="inlineStr">
        <is>
          <t>2 Gen capital recovery</t>
        </is>
      </c>
      <c r="G533" s="77" t="inlineStr">
        <is>
          <t>renewables levy</t>
        </is>
      </c>
      <c r="H533" s="77" t="inlineStr">
        <is>
          <t>i</t>
        </is>
      </c>
      <c r="I533" s="77">
        <f>IF(ISNUMBER(N533),N533*fx_deflator!$I$13*fx_deflator!$M$13,"")</f>
        <v/>
      </c>
      <c r="J533" s="77" t="inlineStr">
        <is>
          <t>Ofgem RO guidance OFG1164 Table 1.1 (buy-out x obligation)</t>
        </is>
      </c>
      <c r="K533" s="77" t="inlineStr">
        <is>
          <t>stage4_uk r12-14</t>
        </is>
      </c>
      <c r="L533" s="77" t="inlineStr">
        <is>
          <t>2026-07-15</t>
        </is>
      </c>
      <c r="M533" s="77" t="inlineStr">
        <is>
          <t>Y</t>
        </is>
      </c>
      <c r="N533" s="77">
        <f>IF(ISNUMBER(timeseries!L10),timeseries!L10*(1-IF(ISNUMBER(stage4_uk!L45),stage4_uk!L45,0)),"")</f>
        <v/>
      </c>
      <c r="O533" s="77" t="inlineStr">
        <is>
          <t>GBP/MWh nominal</t>
        </is>
      </c>
    </row>
    <row r="534" ht="15" customHeight="1" s="78">
      <c r="A534" s="77" t="inlineStr">
        <is>
          <t>UK</t>
        </is>
      </c>
      <c r="B534" s="77" t="n">
        <v>2018</v>
      </c>
      <c r="C534" s="77" t="inlineStr">
        <is>
          <t>medium</t>
        </is>
      </c>
      <c r="D534" s="77" t="inlineStr">
        <is>
          <t>E2</t>
        </is>
      </c>
      <c r="E534" s="77" t="inlineStr">
        <is>
          <t>CfD Interim Levy Rate (annual avg)</t>
        </is>
      </c>
      <c r="F534" s="77" t="inlineStr">
        <is>
          <t>2 Gen capital recovery</t>
        </is>
      </c>
      <c r="G534" s="77" t="inlineStr">
        <is>
          <t>renewables levy</t>
        </is>
      </c>
      <c r="H534" s="77" t="inlineStr">
        <is>
          <t>i</t>
        </is>
      </c>
      <c r="I534" s="77">
        <f>IF(ISNUMBER(N534),N534*fx_deflator!$I$13*fx_deflator!$M$13,"")</f>
        <v/>
      </c>
      <c r="J534" s="77" t="inlineStr">
        <is>
          <t>LCCC Actual ILR Income dataset (quarterly avg)</t>
        </is>
      </c>
      <c r="K534" s="77" t="inlineStr">
        <is>
          <t>stage4_uk r15-19</t>
        </is>
      </c>
      <c r="L534" s="77" t="inlineStr">
        <is>
          <t>2026-07-15</t>
        </is>
      </c>
      <c r="M534" s="77" t="inlineStr">
        <is>
          <t>Y</t>
        </is>
      </c>
      <c r="N534" s="77">
        <f>IF(ISNUMBER(timeseries!L11),timeseries!L11*(1-IF(ISNUMBER(stage4_uk!L44),stage4_uk!L44,0)),"")</f>
        <v/>
      </c>
      <c r="O534" s="77" t="inlineStr">
        <is>
          <t>GBP/MWh nominal</t>
        </is>
      </c>
    </row>
    <row r="535" ht="15" customHeight="1" s="78">
      <c r="A535" s="77" t="inlineStr">
        <is>
          <t>UK</t>
        </is>
      </c>
      <c r="B535" s="77" t="n">
        <v>2018</v>
      </c>
      <c r="C535" s="77" t="inlineStr">
        <is>
          <t>medium</t>
        </is>
      </c>
      <c r="D535" s="77" t="inlineStr">
        <is>
          <t>E2</t>
        </is>
      </c>
      <c r="E535" s="77" t="inlineStr">
        <is>
          <t>FiT levelisation</t>
        </is>
      </c>
      <c r="F535" s="77" t="inlineStr">
        <is>
          <t>2 Gen capital recovery</t>
        </is>
      </c>
      <c r="G535" s="77" t="inlineStr">
        <is>
          <t>renewables levy</t>
        </is>
      </c>
      <c r="H535" s="77" t="inlineStr">
        <is>
          <t>i</t>
        </is>
      </c>
      <c r="I535" s="77">
        <f>IF(ISNUMBER(N535),N535*fx_deflator!$I$13*fx_deflator!$M$13,"")</f>
        <v/>
      </c>
      <c r="J535" s="77" t="inlineStr">
        <is>
          <t>Ofgem FIT Annual Reports SY1-SY15; D27 for 2010-14</t>
        </is>
      </c>
      <c r="K535" s="77" t="inlineStr">
        <is>
          <t>stage4_uk r20</t>
        </is>
      </c>
      <c r="L535" s="77" t="inlineStr">
        <is>
          <t>2026-07-15</t>
        </is>
      </c>
      <c r="M535" s="77" t="inlineStr">
        <is>
          <t>Y</t>
        </is>
      </c>
      <c r="N535" s="77">
        <f>IF(ISNUMBER(timeseries!L12),timeseries!L12*(1-IF(ISNUMBER(stage4_uk!L46),stage4_uk!L46,0)),"")</f>
        <v/>
      </c>
      <c r="O535" s="77" t="inlineStr">
        <is>
          <t>GBP/MWh nominal</t>
        </is>
      </c>
      <c r="P535" s="77" t="inlineStr">
        <is>
          <t>2025 unpublished (Q32) — row absent, gap stated</t>
        </is>
      </c>
    </row>
    <row r="536" ht="15" customHeight="1" s="78">
      <c r="A536" s="77" t="inlineStr">
        <is>
          <t>UK</t>
        </is>
      </c>
      <c r="B536" s="77" t="n">
        <v>2018</v>
      </c>
      <c r="C536" s="77" t="inlineStr">
        <is>
          <t>medium</t>
        </is>
      </c>
      <c r="D536" s="77" t="inlineStr">
        <is>
          <t>E2</t>
        </is>
      </c>
      <c r="E536" s="77" t="inlineStr">
        <is>
          <t>Capacity Market (derived per-MWh)</t>
        </is>
      </c>
      <c r="F536" s="77" t="inlineStr">
        <is>
          <t>2 Gen capital recovery</t>
        </is>
      </c>
      <c r="G536" s="77" t="inlineStr">
        <is>
          <t>capacity market levy</t>
        </is>
      </c>
      <c r="H536" s="77" t="inlineStr">
        <is>
          <t>i</t>
        </is>
      </c>
      <c r="I536" s="77">
        <f>IF(ISNUMBER(N536),N536*fx_deflator!$I$13*fx_deflator!$M$13,"")</f>
        <v/>
      </c>
      <c r="J536" s="77" t="inlineStr">
        <is>
          <t>EMRS Key Figures for Payments (derived per-MWh, D30)</t>
        </is>
      </c>
      <c r="K536" s="77" t="inlineStr">
        <is>
          <t>stage4_uk r21</t>
        </is>
      </c>
      <c r="L536" s="77" t="inlineStr">
        <is>
          <t>2026-07-15</t>
        </is>
      </c>
      <c r="M536" s="77" t="inlineStr">
        <is>
          <t>Y</t>
        </is>
      </c>
      <c r="N536" s="77">
        <f>IF(ISNUMBER(timeseries!L13),timeseries!L13*(1-IF(ISNUMBER(stage4_uk!L47),stage4_uk!L47,0)),"")</f>
        <v/>
      </c>
      <c r="O536" s="77" t="inlineStr">
        <is>
          <t>GBP/MWh nominal</t>
        </is>
      </c>
      <c r="P536" s="77" t="inlineStr">
        <is>
          <t>function 2 per D9</t>
        </is>
      </c>
    </row>
    <row r="537" ht="15" customHeight="1" s="78">
      <c r="A537" s="77" t="inlineStr">
        <is>
          <t>UK</t>
        </is>
      </c>
      <c r="B537" s="77" t="n">
        <v>2018</v>
      </c>
      <c r="C537" s="77" t="inlineStr">
        <is>
          <t>medium</t>
        </is>
      </c>
      <c r="D537" s="77" t="inlineStr">
        <is>
          <t>E2</t>
        </is>
      </c>
      <c r="E537" s="77" t="inlineStr">
        <is>
          <t>CCL — EXEMPT for the relieved case (mineralogical/metallurgical, HMRC CCL1/3 s3.14; D71)</t>
        </is>
      </c>
      <c r="F537" s="77" t="inlineStr">
        <is>
          <t>5 General taxation &amp; levies</t>
        </is>
      </c>
      <c r="G537" s="77" t="inlineStr">
        <is>
          <t>climate levy (tax)</t>
        </is>
      </c>
      <c r="H537" s="77" t="inlineStr">
        <is>
          <t>i</t>
        </is>
      </c>
      <c r="I537" s="77">
        <f>IF(ISNUMBER(N537),N537*fx_deflator!$I$13*fx_deflator!$M$13,"")</f>
        <v/>
      </c>
      <c r="J537" s="77" t="inlineStr">
        <is>
          <t>HMRC Excise Notice CCL1/3 s3.14 + Annex A (exemption from 01.04.2014). S209</t>
        </is>
      </c>
      <c r="K537" s="77" t="inlineStr">
        <is>
          <t>stage4_uk r22</t>
        </is>
      </c>
      <c r="L537" s="77" t="inlineStr">
        <is>
          <t>2026-07-15</t>
        </is>
      </c>
      <c r="M537" s="77" t="inlineStr">
        <is>
          <t>N</t>
        </is>
      </c>
      <c r="N537" s="136">
        <f>IF(ISNUMBER(timeseries!L14),0,"")</f>
        <v/>
      </c>
      <c r="O537" s="77" t="inlineStr">
        <is>
          <t>GBP/MWh nominal</t>
        </is>
      </c>
    </row>
    <row r="538" ht="15" customHeight="1" s="78">
      <c r="A538" s="77" t="inlineStr">
        <is>
          <t>UK</t>
        </is>
      </c>
      <c r="B538" s="77" t="n">
        <v>2019</v>
      </c>
      <c r="C538" s="77" t="inlineStr">
        <is>
          <t>medium</t>
        </is>
      </c>
      <c r="D538" s="77" t="inlineStr">
        <is>
          <t>E2</t>
        </is>
      </c>
      <c r="E538" s="77" t="inlineStr">
        <is>
          <t>Wholesale (rolling year-ahead baseload; DA proxy &lt;=2021)</t>
        </is>
      </c>
      <c r="F538" s="77" t="inlineStr">
        <is>
          <t>1 Commodity</t>
        </is>
      </c>
      <c r="G538" s="77" t="inlineStr">
        <is>
          <t>wholesale market</t>
        </is>
      </c>
      <c r="H538" s="77" t="inlineStr">
        <is>
          <t>i</t>
        </is>
      </c>
      <c r="I538" s="77">
        <f>IF(ISNUMBER(N538),N538*fx_deflator!$I$14*fx_deflator!$M$14,"")</f>
        <v/>
      </c>
      <c r="J538" s="77" t="inlineStr">
        <is>
          <t>Ofgem data portal — DA baseload monthly avg (proxy &lt;=2021, D22); Forward Delivery Contracts (D21)</t>
        </is>
      </c>
      <c r="K538" s="77" t="inlineStr">
        <is>
          <t>stage4_uk r7-9</t>
        </is>
      </c>
      <c r="L538" s="77" t="inlineStr">
        <is>
          <t>2026-07-15</t>
        </is>
      </c>
      <c r="M538" s="77" t="inlineStr">
        <is>
          <t>Y</t>
        </is>
      </c>
      <c r="N538" s="136">
        <f>IF(ISNUMBER(timeseries!M22),timeseries!M22,"")</f>
        <v/>
      </c>
      <c r="O538" s="77" t="inlineStr">
        <is>
          <t>GBP/MWh nominal</t>
        </is>
      </c>
      <c r="P538" s="77" t="inlineStr">
        <is>
          <t>identical E1/E2; embedded carbon memo inside this item</t>
        </is>
      </c>
    </row>
    <row r="539" ht="15" customHeight="1" s="78">
      <c r="A539" s="77" t="inlineStr">
        <is>
          <t>UK</t>
        </is>
      </c>
      <c r="B539" s="77" t="n">
        <v>2019</v>
      </c>
      <c r="C539" s="77" t="inlineStr">
        <is>
          <t>medium</t>
        </is>
      </c>
      <c r="D539" s="77" t="inlineStr">
        <is>
          <t>E2</t>
        </is>
      </c>
      <c r="E539" s="77" t="inlineStr">
        <is>
          <t>TNUoS demand (zone 5; TCR banded residual from 2023)</t>
        </is>
      </c>
      <c r="F539" s="77" t="inlineStr">
        <is>
          <t>3 Network</t>
        </is>
      </c>
      <c r="G539" s="77" t="inlineStr">
        <is>
          <t>transmission network charge</t>
        </is>
      </c>
      <c r="H539" s="77" t="inlineStr">
        <is>
          <t>i (post-NCC relief; relief funded via ESL = ii instrument)</t>
        </is>
      </c>
      <c r="I539" s="77">
        <f>IF(ISNUMBER(N539),N539*fx_deflator!$I$14*fx_deflator!$M$14,"")</f>
        <v/>
      </c>
      <c r="J539" s="77" t="inlineStr">
        <is>
          <t>NESO TNUoS tariff documents (compendium doc 50736; Final TNUoS 2023/24-2026/27 Table 10)</t>
        </is>
      </c>
      <c r="K539" s="77" t="inlineStr">
        <is>
          <t>stage4_uk r25-27</t>
        </is>
      </c>
      <c r="L539" s="77" t="inlineStr">
        <is>
          <t>2026-07-15</t>
        </is>
      </c>
      <c r="M539" s="77" t="inlineStr">
        <is>
          <t>Y</t>
        </is>
      </c>
      <c r="N539" s="77">
        <f>IF(ISNUMBER(timeseries!M23),timeseries!M23*(1-IF(ISNUMBER(stage4_uk!M48),stage4_uk!M48,0)),"")</f>
        <v/>
      </c>
      <c r="O539" s="77" t="inlineStr">
        <is>
          <t>GBP/MWh nominal</t>
        </is>
      </c>
    </row>
    <row r="540" ht="15" customHeight="1" s="78">
      <c r="A540" s="77" t="inlineStr">
        <is>
          <t>UK</t>
        </is>
      </c>
      <c r="B540" s="77" t="n">
        <v>2019</v>
      </c>
      <c r="C540" s="77" t="inlineStr">
        <is>
          <t>medium</t>
        </is>
      </c>
      <c r="D540" s="77" t="inlineStr">
        <is>
          <t>E2</t>
        </is>
      </c>
      <c r="E540" s="77" t="inlineStr">
        <is>
          <t>DUoS unit rates (NPg CDCM red/amber/green, uniform-operation weights)</t>
        </is>
      </c>
      <c r="F540" s="77" t="inlineStr">
        <is>
          <t>3 Network</t>
        </is>
      </c>
      <c r="G540" s="77" t="inlineStr">
        <is>
          <t>distribution network charge</t>
        </is>
      </c>
      <c r="H540" s="77" t="inlineStr">
        <is>
          <t>i (post-NCC relief)</t>
        </is>
      </c>
      <c r="I540" s="77">
        <f>IF(ISNUMBER(N540),N540*fx_deflator!$I$14*fx_deflator!$M$14,"")</f>
        <v/>
      </c>
      <c r="J540" s="77" t="inlineStr">
        <is>
          <t>NPg (Yorkshire) LC14 CDCM statements; D28 reconstruction 2010-16</t>
        </is>
      </c>
      <c r="K540" s="77" t="inlineStr">
        <is>
          <t>stage4_uk r34-41</t>
        </is>
      </c>
      <c r="L540" s="77" t="inlineStr">
        <is>
          <t>2026-07-15</t>
        </is>
      </c>
      <c r="M540" s="77" t="inlineStr">
        <is>
          <t>Y</t>
        </is>
      </c>
      <c r="N540" s="77">
        <f>IF(ISNUMBER(timeseries!M24),timeseries!M24*(1-IF(ISNUMBER(stage4_uk!M48),stage4_uk!M48,0)),"")</f>
        <v/>
      </c>
      <c r="O540" s="77" t="inlineStr">
        <is>
          <t>GBP/MWh nominal</t>
        </is>
      </c>
    </row>
    <row r="541" ht="15" customHeight="1" s="78">
      <c r="A541" s="77" t="inlineStr">
        <is>
          <t>UK</t>
        </is>
      </c>
      <c r="B541" s="77" t="n">
        <v>2019</v>
      </c>
      <c r="C541" s="77" t="inlineStr">
        <is>
          <t>medium</t>
        </is>
      </c>
      <c r="D541" s="77" t="inlineStr">
        <is>
          <t>E2</t>
        </is>
      </c>
      <c r="E541" s="77" t="inlineStr">
        <is>
          <t>DUoS fixed charge (TCR Band-4 residual from 2022/23)</t>
        </is>
      </c>
      <c r="F541" s="77" t="inlineStr">
        <is>
          <t>3 Network</t>
        </is>
      </c>
      <c r="G541" s="77" t="inlineStr">
        <is>
          <t>distribution network charge</t>
        </is>
      </c>
      <c r="H541" s="77" t="inlineStr">
        <is>
          <t>i (post-NCC relief)</t>
        </is>
      </c>
      <c r="I541" s="77">
        <f>IF(ISNUMBER(N541),N541*fx_deflator!$I$14*fx_deflator!$M$14,"")</f>
        <v/>
      </c>
      <c r="J541" s="77" t="inlineStr">
        <is>
          <t>NPg (Yorkshire) LC14 CDCM statements; D28 reconstruction 2010-16</t>
        </is>
      </c>
      <c r="K541" s="77" t="inlineStr">
        <is>
          <t>stage4_uk r34-41</t>
        </is>
      </c>
      <c r="L541" s="77" t="inlineStr">
        <is>
          <t>2026-07-15</t>
        </is>
      </c>
      <c r="M541" s="77" t="inlineStr">
        <is>
          <t>Y</t>
        </is>
      </c>
      <c r="N541" s="77">
        <f>IF(ISNUMBER(timeseries!M25),timeseries!M25*(1-IF(ISNUMBER(stage4_uk!M48),stage4_uk!M48,0)),"")</f>
        <v/>
      </c>
      <c r="O541" s="77" t="inlineStr">
        <is>
          <t>GBP/MWh nominal</t>
        </is>
      </c>
    </row>
    <row r="542" ht="15" customHeight="1" s="78">
      <c r="A542" s="77" t="inlineStr">
        <is>
          <t>UK</t>
        </is>
      </c>
      <c r="B542" s="77" t="n">
        <v>2019</v>
      </c>
      <c r="C542" s="77" t="inlineStr">
        <is>
          <t>medium</t>
        </is>
      </c>
      <c r="D542" s="77" t="inlineStr">
        <is>
          <t>E2</t>
        </is>
      </c>
      <c r="E542" s="77" t="inlineStr">
        <is>
          <t>DUoS capacity charge</t>
        </is>
      </c>
      <c r="F542" s="77" t="inlineStr">
        <is>
          <t>3 Network</t>
        </is>
      </c>
      <c r="G542" s="77" t="inlineStr">
        <is>
          <t>distribution network charge</t>
        </is>
      </c>
      <c r="H542" s="77" t="inlineStr">
        <is>
          <t>i (post-NCC relief)</t>
        </is>
      </c>
      <c r="I542" s="77">
        <f>IF(ISNUMBER(N542),N542*fx_deflator!$I$14*fx_deflator!$M$14,"")</f>
        <v/>
      </c>
      <c r="J542" s="77" t="inlineStr">
        <is>
          <t>NPg (Yorkshire) LC14 CDCM statements; D28 reconstruction 2010-16</t>
        </is>
      </c>
      <c r="K542" s="77" t="inlineStr">
        <is>
          <t>stage4_uk r34-41</t>
        </is>
      </c>
      <c r="L542" s="77" t="inlineStr">
        <is>
          <t>2026-07-15</t>
        </is>
      </c>
      <c r="M542" s="77" t="inlineStr">
        <is>
          <t>Y</t>
        </is>
      </c>
      <c r="N542" s="77">
        <f>IF(ISNUMBER(timeseries!M26),timeseries!M26*(1-IF(ISNUMBER(stage4_uk!M48),stage4_uk!M48,0)),"")</f>
        <v/>
      </c>
      <c r="O542" s="77" t="inlineStr">
        <is>
          <t>GBP/MWh nominal</t>
        </is>
      </c>
    </row>
    <row r="543" ht="15" customHeight="1" s="78">
      <c r="A543" s="77" t="inlineStr">
        <is>
          <t>UK</t>
        </is>
      </c>
      <c r="B543" s="77" t="n">
        <v>2019</v>
      </c>
      <c r="C543" s="77" t="inlineStr">
        <is>
          <t>medium</t>
        </is>
      </c>
      <c r="D543" s="77" t="inlineStr">
        <is>
          <t>E2</t>
        </is>
      </c>
      <c r="E543" s="77" t="inlineStr">
        <is>
          <t>BSUoS (demand-only from 04/2023)</t>
        </is>
      </c>
      <c r="F543" s="77" t="inlineStr">
        <is>
          <t>4 System services &amp; balancing</t>
        </is>
      </c>
      <c r="G543" s="77" t="inlineStr">
        <is>
          <t>balancing charge</t>
        </is>
      </c>
      <c r="H543" s="77" t="inlineStr">
        <is>
          <t>i (post-NCC relief)</t>
        </is>
      </c>
      <c r="I543" s="77">
        <f>IF(ISNUMBER(N543),N543*fx_deflator!$I$14*fx_deflator!$M$14,"")</f>
        <v/>
      </c>
      <c r="J543" s="77" t="inlineStr">
        <is>
          <t>NESO bsuos-fixed-tariffs + HH RF settlement files (own annual avg 2010-22)</t>
        </is>
      </c>
      <c r="K543" s="77" t="inlineStr">
        <is>
          <t>stage4_uk r28-30</t>
        </is>
      </c>
      <c r="L543" s="77" t="inlineStr">
        <is>
          <t>2026-07-15</t>
        </is>
      </c>
      <c r="M543" s="77" t="inlineStr">
        <is>
          <t>Y</t>
        </is>
      </c>
      <c r="N543" s="77">
        <f>IF(ISNUMBER(timeseries!M8),timeseries!M8*(1-IF(ISNUMBER(stage4_uk!M48),stage4_uk!M48,0)),"")</f>
        <v/>
      </c>
      <c r="O543" s="77" t="inlineStr">
        <is>
          <t>GBP/MWh nominal</t>
        </is>
      </c>
    </row>
    <row r="544" ht="15" customHeight="1" s="78">
      <c r="A544" s="77" t="inlineStr">
        <is>
          <t>UK</t>
        </is>
      </c>
      <c r="B544" s="77" t="n">
        <v>2019</v>
      </c>
      <c r="C544" s="77" t="inlineStr">
        <is>
          <t>medium</t>
        </is>
      </c>
      <c r="D544" s="77" t="inlineStr">
        <is>
          <t>E2</t>
        </is>
      </c>
      <c r="E544" s="77" t="inlineStr">
        <is>
          <t>AAHEDC</t>
        </is>
      </c>
      <c r="F544" s="77" t="inlineStr">
        <is>
          <t>3 Network</t>
        </is>
      </c>
      <c r="G544" s="77" t="inlineStr">
        <is>
          <t>network levy (hydro benefit)</t>
        </is>
      </c>
      <c r="H544" s="77" t="inlineStr">
        <is>
          <t>ii (pays cross-subsidy to N Scotland consumers)</t>
        </is>
      </c>
      <c r="I544" s="77">
        <f>IF(ISNUMBER(N544),N544*fx_deflator!$I$14*fx_deflator!$M$14,"")</f>
        <v/>
      </c>
      <c r="J544" s="77" t="inlineStr">
        <is>
          <t>NG/ESO AAHEDC charging statements &amp; final tariff letters</t>
        </is>
      </c>
      <c r="K544" s="77" t="inlineStr">
        <is>
          <t>stage4_uk r31</t>
        </is>
      </c>
      <c r="L544" s="77" t="inlineStr">
        <is>
          <t>2026-07-15</t>
        </is>
      </c>
      <c r="M544" s="77" t="inlineStr">
        <is>
          <t>N</t>
        </is>
      </c>
      <c r="N544" s="77">
        <f>IF(ISNUMBER(timeseries!M9),timeseries!M9,"")</f>
        <v/>
      </c>
      <c r="O544" s="77" t="inlineStr">
        <is>
          <t>GBP/MWh nominal</t>
        </is>
      </c>
      <c r="P544" s="77" t="inlineStr">
        <is>
          <t>not in NCC base (conservative, unverified)</t>
        </is>
      </c>
    </row>
    <row r="545" ht="15" customHeight="1" s="78">
      <c r="A545" s="77" t="inlineStr">
        <is>
          <t>UK</t>
        </is>
      </c>
      <c r="B545" s="77" t="n">
        <v>2019</v>
      </c>
      <c r="C545" s="77" t="inlineStr">
        <is>
          <t>medium</t>
        </is>
      </c>
      <c r="D545" s="77" t="inlineStr">
        <is>
          <t>E2</t>
        </is>
      </c>
      <c r="E545" s="77" t="inlineStr">
        <is>
          <t>RO (buy-out x obligation)</t>
        </is>
      </c>
      <c r="F545" s="77" t="inlineStr">
        <is>
          <t>2 Gen capital recovery</t>
        </is>
      </c>
      <c r="G545" s="77" t="inlineStr">
        <is>
          <t>renewables levy</t>
        </is>
      </c>
      <c r="H545" s="77" t="inlineStr">
        <is>
          <t>i</t>
        </is>
      </c>
      <c r="I545" s="77">
        <f>IF(ISNUMBER(N545),N545*fx_deflator!$I$14*fx_deflator!$M$14,"")</f>
        <v/>
      </c>
      <c r="J545" s="77" t="inlineStr">
        <is>
          <t>Ofgem RO guidance OFG1164 Table 1.1 (buy-out x obligation)</t>
        </is>
      </c>
      <c r="K545" s="77" t="inlineStr">
        <is>
          <t>stage4_uk r12-14</t>
        </is>
      </c>
      <c r="L545" s="77" t="inlineStr">
        <is>
          <t>2026-07-15</t>
        </is>
      </c>
      <c r="M545" s="77" t="inlineStr">
        <is>
          <t>Y</t>
        </is>
      </c>
      <c r="N545" s="77">
        <f>IF(ISNUMBER(timeseries!M10),timeseries!M10*(1-IF(ISNUMBER(stage4_uk!M45),stage4_uk!M45,0)),"")</f>
        <v/>
      </c>
      <c r="O545" s="77" t="inlineStr">
        <is>
          <t>GBP/MWh nominal</t>
        </is>
      </c>
    </row>
    <row r="546" ht="15" customHeight="1" s="78">
      <c r="A546" s="77" t="inlineStr">
        <is>
          <t>UK</t>
        </is>
      </c>
      <c r="B546" s="77" t="n">
        <v>2019</v>
      </c>
      <c r="C546" s="77" t="inlineStr">
        <is>
          <t>medium</t>
        </is>
      </c>
      <c r="D546" s="77" t="inlineStr">
        <is>
          <t>E2</t>
        </is>
      </c>
      <c r="E546" s="77" t="inlineStr">
        <is>
          <t>CfD Interim Levy Rate (annual avg)</t>
        </is>
      </c>
      <c r="F546" s="77" t="inlineStr">
        <is>
          <t>2 Gen capital recovery</t>
        </is>
      </c>
      <c r="G546" s="77" t="inlineStr">
        <is>
          <t>renewables levy</t>
        </is>
      </c>
      <c r="H546" s="77" t="inlineStr">
        <is>
          <t>i</t>
        </is>
      </c>
      <c r="I546" s="77">
        <f>IF(ISNUMBER(N546),N546*fx_deflator!$I$14*fx_deflator!$M$14,"")</f>
        <v/>
      </c>
      <c r="J546" s="77" t="inlineStr">
        <is>
          <t>LCCC Actual ILR Income dataset (quarterly avg)</t>
        </is>
      </c>
      <c r="K546" s="77" t="inlineStr">
        <is>
          <t>stage4_uk r15-19</t>
        </is>
      </c>
      <c r="L546" s="77" t="inlineStr">
        <is>
          <t>2026-07-15</t>
        </is>
      </c>
      <c r="M546" s="77" t="inlineStr">
        <is>
          <t>Y</t>
        </is>
      </c>
      <c r="N546" s="77">
        <f>IF(ISNUMBER(timeseries!M11),timeseries!M11*(1-IF(ISNUMBER(stage4_uk!M44),stage4_uk!M44,0)),"")</f>
        <v/>
      </c>
      <c r="O546" s="77" t="inlineStr">
        <is>
          <t>GBP/MWh nominal</t>
        </is>
      </c>
    </row>
    <row r="547" ht="15" customHeight="1" s="78">
      <c r="A547" s="77" t="inlineStr">
        <is>
          <t>UK</t>
        </is>
      </c>
      <c r="B547" s="77" t="n">
        <v>2019</v>
      </c>
      <c r="C547" s="77" t="inlineStr">
        <is>
          <t>medium</t>
        </is>
      </c>
      <c r="D547" s="77" t="inlineStr">
        <is>
          <t>E2</t>
        </is>
      </c>
      <c r="E547" s="77" t="inlineStr">
        <is>
          <t>FiT levelisation</t>
        </is>
      </c>
      <c r="F547" s="77" t="inlineStr">
        <is>
          <t>2 Gen capital recovery</t>
        </is>
      </c>
      <c r="G547" s="77" t="inlineStr">
        <is>
          <t>renewables levy</t>
        </is>
      </c>
      <c r="H547" s="77" t="inlineStr">
        <is>
          <t>i</t>
        </is>
      </c>
      <c r="I547" s="77">
        <f>IF(ISNUMBER(N547),N547*fx_deflator!$I$14*fx_deflator!$M$14,"")</f>
        <v/>
      </c>
      <c r="J547" s="77" t="inlineStr">
        <is>
          <t>Ofgem FIT Annual Reports SY1-SY15; D27 for 2010-14</t>
        </is>
      </c>
      <c r="K547" s="77" t="inlineStr">
        <is>
          <t>stage4_uk r20</t>
        </is>
      </c>
      <c r="L547" s="77" t="inlineStr">
        <is>
          <t>2026-07-15</t>
        </is>
      </c>
      <c r="M547" s="77" t="inlineStr">
        <is>
          <t>Y</t>
        </is>
      </c>
      <c r="N547" s="77">
        <f>IF(ISNUMBER(timeseries!M12),timeseries!M12*(1-IF(ISNUMBER(stage4_uk!M46),stage4_uk!M46,0)),"")</f>
        <v/>
      </c>
      <c r="O547" s="77" t="inlineStr">
        <is>
          <t>GBP/MWh nominal</t>
        </is>
      </c>
      <c r="P547" s="77" t="inlineStr">
        <is>
          <t>2025 unpublished (Q32) — row absent, gap stated</t>
        </is>
      </c>
    </row>
    <row r="548" ht="15" customHeight="1" s="78">
      <c r="A548" s="77" t="inlineStr">
        <is>
          <t>UK</t>
        </is>
      </c>
      <c r="B548" s="77" t="n">
        <v>2019</v>
      </c>
      <c r="C548" s="77" t="inlineStr">
        <is>
          <t>medium</t>
        </is>
      </c>
      <c r="D548" s="77" t="inlineStr">
        <is>
          <t>E2</t>
        </is>
      </c>
      <c r="E548" s="77" t="inlineStr">
        <is>
          <t>Capacity Market (derived per-MWh)</t>
        </is>
      </c>
      <c r="F548" s="77" t="inlineStr">
        <is>
          <t>2 Gen capital recovery</t>
        </is>
      </c>
      <c r="G548" s="77" t="inlineStr">
        <is>
          <t>capacity market levy</t>
        </is>
      </c>
      <c r="H548" s="77" t="inlineStr">
        <is>
          <t>i</t>
        </is>
      </c>
      <c r="I548" s="77">
        <f>IF(ISNUMBER(N548),N548*fx_deflator!$I$14*fx_deflator!$M$14,"")</f>
        <v/>
      </c>
      <c r="J548" s="77" t="inlineStr">
        <is>
          <t>EMRS Key Figures for Payments (derived per-MWh, D30)</t>
        </is>
      </c>
      <c r="K548" s="77" t="inlineStr">
        <is>
          <t>stage4_uk r21</t>
        </is>
      </c>
      <c r="L548" s="77" t="inlineStr">
        <is>
          <t>2026-07-15</t>
        </is>
      </c>
      <c r="M548" s="77" t="inlineStr">
        <is>
          <t>Y</t>
        </is>
      </c>
      <c r="N548" s="77">
        <f>IF(ISNUMBER(timeseries!M13),timeseries!M13*(1-IF(ISNUMBER(stage4_uk!M47),stage4_uk!M47,0)),"")</f>
        <v/>
      </c>
      <c r="O548" s="77" t="inlineStr">
        <is>
          <t>GBP/MWh nominal</t>
        </is>
      </c>
      <c r="P548" s="77" t="inlineStr">
        <is>
          <t>function 2 per D9</t>
        </is>
      </c>
    </row>
    <row r="549" ht="15" customHeight="1" s="78">
      <c r="A549" s="77" t="inlineStr">
        <is>
          <t>UK</t>
        </is>
      </c>
      <c r="B549" s="77" t="n">
        <v>2019</v>
      </c>
      <c r="C549" s="77" t="inlineStr">
        <is>
          <t>medium</t>
        </is>
      </c>
      <c r="D549" s="77" t="inlineStr">
        <is>
          <t>E2</t>
        </is>
      </c>
      <c r="E549" s="77" t="inlineStr">
        <is>
          <t>CCL — EXEMPT for the relieved case (mineralogical/metallurgical, HMRC CCL1/3 s3.14; D71)</t>
        </is>
      </c>
      <c r="F549" s="77" t="inlineStr">
        <is>
          <t>5 General taxation &amp; levies</t>
        </is>
      </c>
      <c r="G549" s="77" t="inlineStr">
        <is>
          <t>climate levy (tax)</t>
        </is>
      </c>
      <c r="H549" s="77" t="inlineStr">
        <is>
          <t>i</t>
        </is>
      </c>
      <c r="I549" s="77">
        <f>IF(ISNUMBER(N549),N549*fx_deflator!$I$14*fx_deflator!$M$14,"")</f>
        <v/>
      </c>
      <c r="J549" s="77" t="inlineStr">
        <is>
          <t>HMRC Excise Notice CCL1/3 s3.14 + Annex A (exemption from 01.04.2014). S209</t>
        </is>
      </c>
      <c r="K549" s="77" t="inlineStr">
        <is>
          <t>stage4_uk r22</t>
        </is>
      </c>
      <c r="L549" s="77" t="inlineStr">
        <is>
          <t>2026-07-15</t>
        </is>
      </c>
      <c r="M549" s="77" t="inlineStr">
        <is>
          <t>N</t>
        </is>
      </c>
      <c r="N549" s="136">
        <f>IF(ISNUMBER(timeseries!M14),0,"")</f>
        <v/>
      </c>
      <c r="O549" s="77" t="inlineStr">
        <is>
          <t>GBP/MWh nominal</t>
        </is>
      </c>
    </row>
    <row r="550" ht="15" customHeight="1" s="78">
      <c r="A550" s="77" t="inlineStr">
        <is>
          <t>UK</t>
        </is>
      </c>
      <c r="B550" s="77" t="n">
        <v>2020</v>
      </c>
      <c r="C550" s="77" t="inlineStr">
        <is>
          <t>medium</t>
        </is>
      </c>
      <c r="D550" s="77" t="inlineStr">
        <is>
          <t>E2</t>
        </is>
      </c>
      <c r="E550" s="77" t="inlineStr">
        <is>
          <t>Wholesale (rolling year-ahead baseload; DA proxy &lt;=2021)</t>
        </is>
      </c>
      <c r="F550" s="77" t="inlineStr">
        <is>
          <t>1 Commodity</t>
        </is>
      </c>
      <c r="G550" s="77" t="inlineStr">
        <is>
          <t>wholesale market</t>
        </is>
      </c>
      <c r="H550" s="77" t="inlineStr">
        <is>
          <t>i</t>
        </is>
      </c>
      <c r="I550" s="77">
        <f>IF(ISNUMBER(N550),N550*fx_deflator!$I$15*fx_deflator!$M$15,"")</f>
        <v/>
      </c>
      <c r="J550" s="77" t="inlineStr">
        <is>
          <t>Ofgem data portal — DA baseload monthly avg (proxy &lt;=2021, D22); Forward Delivery Contracts (D21)</t>
        </is>
      </c>
      <c r="K550" s="77" t="inlineStr">
        <is>
          <t>stage4_uk r7-9</t>
        </is>
      </c>
      <c r="L550" s="77" t="inlineStr">
        <is>
          <t>2026-07-15</t>
        </is>
      </c>
      <c r="M550" s="77" t="inlineStr">
        <is>
          <t>Y</t>
        </is>
      </c>
      <c r="N550" s="136">
        <f>IF(ISNUMBER(timeseries!N22),timeseries!N22,"")</f>
        <v/>
      </c>
      <c r="O550" s="77" t="inlineStr">
        <is>
          <t>GBP/MWh nominal</t>
        </is>
      </c>
      <c r="P550" s="77" t="inlineStr">
        <is>
          <t>identical E1/E2; embedded carbon memo inside this item</t>
        </is>
      </c>
    </row>
    <row r="551" ht="15" customHeight="1" s="78">
      <c r="A551" s="77" t="inlineStr">
        <is>
          <t>UK</t>
        </is>
      </c>
      <c r="B551" s="77" t="n">
        <v>2020</v>
      </c>
      <c r="C551" s="77" t="inlineStr">
        <is>
          <t>medium</t>
        </is>
      </c>
      <c r="D551" s="77" t="inlineStr">
        <is>
          <t>E2</t>
        </is>
      </c>
      <c r="E551" s="77" t="inlineStr">
        <is>
          <t>TNUoS demand (zone 5; TCR banded residual from 2023)</t>
        </is>
      </c>
      <c r="F551" s="77" t="inlineStr">
        <is>
          <t>3 Network</t>
        </is>
      </c>
      <c r="G551" s="77" t="inlineStr">
        <is>
          <t>transmission network charge</t>
        </is>
      </c>
      <c r="H551" s="77" t="inlineStr">
        <is>
          <t>i (post-NCC relief; relief funded via ESL = ii instrument)</t>
        </is>
      </c>
      <c r="I551" s="77">
        <f>IF(ISNUMBER(N551),N551*fx_deflator!$I$15*fx_deflator!$M$15,"")</f>
        <v/>
      </c>
      <c r="J551" s="77" t="inlineStr">
        <is>
          <t>NESO TNUoS tariff documents (compendium doc 50736; Final TNUoS 2023/24-2026/27 Table 10)</t>
        </is>
      </c>
      <c r="K551" s="77" t="inlineStr">
        <is>
          <t>stage4_uk r25-27</t>
        </is>
      </c>
      <c r="L551" s="77" t="inlineStr">
        <is>
          <t>2026-07-15</t>
        </is>
      </c>
      <c r="M551" s="77" t="inlineStr">
        <is>
          <t>Y</t>
        </is>
      </c>
      <c r="N551" s="77">
        <f>IF(ISNUMBER(timeseries!N23),timeseries!N23*(1-IF(ISNUMBER(stage4_uk!N48),stage4_uk!N48,0)),"")</f>
        <v/>
      </c>
      <c r="O551" s="77" t="inlineStr">
        <is>
          <t>GBP/MWh nominal</t>
        </is>
      </c>
    </row>
    <row r="552" ht="15" customHeight="1" s="78">
      <c r="A552" s="77" t="inlineStr">
        <is>
          <t>UK</t>
        </is>
      </c>
      <c r="B552" s="77" t="n">
        <v>2020</v>
      </c>
      <c r="C552" s="77" t="inlineStr">
        <is>
          <t>medium</t>
        </is>
      </c>
      <c r="D552" s="77" t="inlineStr">
        <is>
          <t>E2</t>
        </is>
      </c>
      <c r="E552" s="77" t="inlineStr">
        <is>
          <t>DUoS unit rates (NPg CDCM red/amber/green, uniform-operation weights)</t>
        </is>
      </c>
      <c r="F552" s="77" t="inlineStr">
        <is>
          <t>3 Network</t>
        </is>
      </c>
      <c r="G552" s="77" t="inlineStr">
        <is>
          <t>distribution network charge</t>
        </is>
      </c>
      <c r="H552" s="77" t="inlineStr">
        <is>
          <t>i (post-NCC relief)</t>
        </is>
      </c>
      <c r="I552" s="77">
        <f>IF(ISNUMBER(N552),N552*fx_deflator!$I$15*fx_deflator!$M$15,"")</f>
        <v/>
      </c>
      <c r="J552" s="77" t="inlineStr">
        <is>
          <t>NPg (Yorkshire) LC14 CDCM statements; D28 reconstruction 2010-16</t>
        </is>
      </c>
      <c r="K552" s="77" t="inlineStr">
        <is>
          <t>stage4_uk r34-41</t>
        </is>
      </c>
      <c r="L552" s="77" t="inlineStr">
        <is>
          <t>2026-07-15</t>
        </is>
      </c>
      <c r="M552" s="77" t="inlineStr">
        <is>
          <t>Y</t>
        </is>
      </c>
      <c r="N552" s="77">
        <f>IF(ISNUMBER(timeseries!N24),timeseries!N24*(1-IF(ISNUMBER(stage4_uk!N48),stage4_uk!N48,0)),"")</f>
        <v/>
      </c>
      <c r="O552" s="77" t="inlineStr">
        <is>
          <t>GBP/MWh nominal</t>
        </is>
      </c>
    </row>
    <row r="553" ht="15" customHeight="1" s="78">
      <c r="A553" s="77" t="inlineStr">
        <is>
          <t>UK</t>
        </is>
      </c>
      <c r="B553" s="77" t="n">
        <v>2020</v>
      </c>
      <c r="C553" s="77" t="inlineStr">
        <is>
          <t>medium</t>
        </is>
      </c>
      <c r="D553" s="77" t="inlineStr">
        <is>
          <t>E2</t>
        </is>
      </c>
      <c r="E553" s="77" t="inlineStr">
        <is>
          <t>DUoS fixed charge (TCR Band-4 residual from 2022/23)</t>
        </is>
      </c>
      <c r="F553" s="77" t="inlineStr">
        <is>
          <t>3 Network</t>
        </is>
      </c>
      <c r="G553" s="77" t="inlineStr">
        <is>
          <t>distribution network charge</t>
        </is>
      </c>
      <c r="H553" s="77" t="inlineStr">
        <is>
          <t>i (post-NCC relief)</t>
        </is>
      </c>
      <c r="I553" s="77">
        <f>IF(ISNUMBER(N553),N553*fx_deflator!$I$15*fx_deflator!$M$15,"")</f>
        <v/>
      </c>
      <c r="J553" s="77" t="inlineStr">
        <is>
          <t>NPg (Yorkshire) LC14 CDCM statements; D28 reconstruction 2010-16</t>
        </is>
      </c>
      <c r="K553" s="77" t="inlineStr">
        <is>
          <t>stage4_uk r34-41</t>
        </is>
      </c>
      <c r="L553" s="77" t="inlineStr">
        <is>
          <t>2026-07-15</t>
        </is>
      </c>
      <c r="M553" s="77" t="inlineStr">
        <is>
          <t>Y</t>
        </is>
      </c>
      <c r="N553" s="77">
        <f>IF(ISNUMBER(timeseries!N25),timeseries!N25*(1-IF(ISNUMBER(stage4_uk!N48),stage4_uk!N48,0)),"")</f>
        <v/>
      </c>
      <c r="O553" s="77" t="inlineStr">
        <is>
          <t>GBP/MWh nominal</t>
        </is>
      </c>
    </row>
    <row r="554" ht="15" customHeight="1" s="78">
      <c r="A554" s="77" t="inlineStr">
        <is>
          <t>UK</t>
        </is>
      </c>
      <c r="B554" s="77" t="n">
        <v>2020</v>
      </c>
      <c r="C554" s="77" t="inlineStr">
        <is>
          <t>medium</t>
        </is>
      </c>
      <c r="D554" s="77" t="inlineStr">
        <is>
          <t>E2</t>
        </is>
      </c>
      <c r="E554" s="77" t="inlineStr">
        <is>
          <t>DUoS capacity charge</t>
        </is>
      </c>
      <c r="F554" s="77" t="inlineStr">
        <is>
          <t>3 Network</t>
        </is>
      </c>
      <c r="G554" s="77" t="inlineStr">
        <is>
          <t>distribution network charge</t>
        </is>
      </c>
      <c r="H554" s="77" t="inlineStr">
        <is>
          <t>i (post-NCC relief)</t>
        </is>
      </c>
      <c r="I554" s="77">
        <f>IF(ISNUMBER(N554),N554*fx_deflator!$I$15*fx_deflator!$M$15,"")</f>
        <v/>
      </c>
      <c r="J554" s="77" t="inlineStr">
        <is>
          <t>NPg (Yorkshire) LC14 CDCM statements; D28 reconstruction 2010-16</t>
        </is>
      </c>
      <c r="K554" s="77" t="inlineStr">
        <is>
          <t>stage4_uk r34-41</t>
        </is>
      </c>
      <c r="L554" s="77" t="inlineStr">
        <is>
          <t>2026-07-15</t>
        </is>
      </c>
      <c r="M554" s="77" t="inlineStr">
        <is>
          <t>Y</t>
        </is>
      </c>
      <c r="N554" s="77">
        <f>IF(ISNUMBER(timeseries!N26),timeseries!N26*(1-IF(ISNUMBER(stage4_uk!N48),stage4_uk!N48,0)),"")</f>
        <v/>
      </c>
      <c r="O554" s="77" t="inlineStr">
        <is>
          <t>GBP/MWh nominal</t>
        </is>
      </c>
    </row>
    <row r="555" ht="15" customHeight="1" s="78">
      <c r="A555" s="77" t="inlineStr">
        <is>
          <t>UK</t>
        </is>
      </c>
      <c r="B555" s="77" t="n">
        <v>2020</v>
      </c>
      <c r="C555" s="77" t="inlineStr">
        <is>
          <t>medium</t>
        </is>
      </c>
      <c r="D555" s="77" t="inlineStr">
        <is>
          <t>E2</t>
        </is>
      </c>
      <c r="E555" s="77" t="inlineStr">
        <is>
          <t>BSUoS (demand-only from 04/2023)</t>
        </is>
      </c>
      <c r="F555" s="77" t="inlineStr">
        <is>
          <t>4 System services &amp; balancing</t>
        </is>
      </c>
      <c r="G555" s="77" t="inlineStr">
        <is>
          <t>balancing charge</t>
        </is>
      </c>
      <c r="H555" s="77" t="inlineStr">
        <is>
          <t>i (post-NCC relief)</t>
        </is>
      </c>
      <c r="I555" s="77">
        <f>IF(ISNUMBER(N555),N555*fx_deflator!$I$15*fx_deflator!$M$15,"")</f>
        <v/>
      </c>
      <c r="J555" s="77" t="inlineStr">
        <is>
          <t>NESO bsuos-fixed-tariffs + HH RF settlement files (own annual avg 2010-22)</t>
        </is>
      </c>
      <c r="K555" s="77" t="inlineStr">
        <is>
          <t>stage4_uk r28-30</t>
        </is>
      </c>
      <c r="L555" s="77" t="inlineStr">
        <is>
          <t>2026-07-15</t>
        </is>
      </c>
      <c r="M555" s="77" t="inlineStr">
        <is>
          <t>Y</t>
        </is>
      </c>
      <c r="N555" s="77">
        <f>IF(ISNUMBER(timeseries!N8),timeseries!N8*(1-IF(ISNUMBER(stage4_uk!N48),stage4_uk!N48,0)),"")</f>
        <v/>
      </c>
      <c r="O555" s="77" t="inlineStr">
        <is>
          <t>GBP/MWh nominal</t>
        </is>
      </c>
    </row>
    <row r="556" ht="15" customHeight="1" s="78">
      <c r="A556" s="77" t="inlineStr">
        <is>
          <t>UK</t>
        </is>
      </c>
      <c r="B556" s="77" t="n">
        <v>2020</v>
      </c>
      <c r="C556" s="77" t="inlineStr">
        <is>
          <t>medium</t>
        </is>
      </c>
      <c r="D556" s="77" t="inlineStr">
        <is>
          <t>E2</t>
        </is>
      </c>
      <c r="E556" s="77" t="inlineStr">
        <is>
          <t>AAHEDC</t>
        </is>
      </c>
      <c r="F556" s="77" t="inlineStr">
        <is>
          <t>3 Network</t>
        </is>
      </c>
      <c r="G556" s="77" t="inlineStr">
        <is>
          <t>network levy (hydro benefit)</t>
        </is>
      </c>
      <c r="H556" s="77" t="inlineStr">
        <is>
          <t>ii (pays cross-subsidy to N Scotland consumers)</t>
        </is>
      </c>
      <c r="I556" s="77">
        <f>IF(ISNUMBER(N556),N556*fx_deflator!$I$15*fx_deflator!$M$15,"")</f>
        <v/>
      </c>
      <c r="J556" s="77" t="inlineStr">
        <is>
          <t>NG/ESO AAHEDC charging statements &amp; final tariff letters</t>
        </is>
      </c>
      <c r="K556" s="77" t="inlineStr">
        <is>
          <t>stage4_uk r31</t>
        </is>
      </c>
      <c r="L556" s="77" t="inlineStr">
        <is>
          <t>2026-07-15</t>
        </is>
      </c>
      <c r="M556" s="77" t="inlineStr">
        <is>
          <t>N</t>
        </is>
      </c>
      <c r="N556" s="77">
        <f>IF(ISNUMBER(timeseries!N9),timeseries!N9,"")</f>
        <v/>
      </c>
      <c r="O556" s="77" t="inlineStr">
        <is>
          <t>GBP/MWh nominal</t>
        </is>
      </c>
      <c r="P556" s="77" t="inlineStr">
        <is>
          <t>not in NCC base (conservative, unverified)</t>
        </is>
      </c>
    </row>
    <row r="557" ht="15" customHeight="1" s="78">
      <c r="A557" s="77" t="inlineStr">
        <is>
          <t>UK</t>
        </is>
      </c>
      <c r="B557" s="77" t="n">
        <v>2020</v>
      </c>
      <c r="C557" s="77" t="inlineStr">
        <is>
          <t>medium</t>
        </is>
      </c>
      <c r="D557" s="77" t="inlineStr">
        <is>
          <t>E2</t>
        </is>
      </c>
      <c r="E557" s="77" t="inlineStr">
        <is>
          <t>RO (buy-out x obligation)</t>
        </is>
      </c>
      <c r="F557" s="77" t="inlineStr">
        <is>
          <t>2 Gen capital recovery</t>
        </is>
      </c>
      <c r="G557" s="77" t="inlineStr">
        <is>
          <t>renewables levy</t>
        </is>
      </c>
      <c r="H557" s="77" t="inlineStr">
        <is>
          <t>i</t>
        </is>
      </c>
      <c r="I557" s="77">
        <f>IF(ISNUMBER(N557),N557*fx_deflator!$I$15*fx_deflator!$M$15,"")</f>
        <v/>
      </c>
      <c r="J557" s="77" t="inlineStr">
        <is>
          <t>Ofgem RO guidance OFG1164 Table 1.1 (buy-out x obligation)</t>
        </is>
      </c>
      <c r="K557" s="77" t="inlineStr">
        <is>
          <t>stage4_uk r12-14</t>
        </is>
      </c>
      <c r="L557" s="77" t="inlineStr">
        <is>
          <t>2026-07-15</t>
        </is>
      </c>
      <c r="M557" s="77" t="inlineStr">
        <is>
          <t>Y</t>
        </is>
      </c>
      <c r="N557" s="77">
        <f>IF(ISNUMBER(timeseries!N10),timeseries!N10*(1-IF(ISNUMBER(stage4_uk!N45),stage4_uk!N45,0)),"")</f>
        <v/>
      </c>
      <c r="O557" s="77" t="inlineStr">
        <is>
          <t>GBP/MWh nominal</t>
        </is>
      </c>
    </row>
    <row r="558" ht="15" customHeight="1" s="78">
      <c r="A558" s="77" t="inlineStr">
        <is>
          <t>UK</t>
        </is>
      </c>
      <c r="B558" s="77" t="n">
        <v>2020</v>
      </c>
      <c r="C558" s="77" t="inlineStr">
        <is>
          <t>medium</t>
        </is>
      </c>
      <c r="D558" s="77" t="inlineStr">
        <is>
          <t>E2</t>
        </is>
      </c>
      <c r="E558" s="77" t="inlineStr">
        <is>
          <t>CfD Interim Levy Rate (annual avg)</t>
        </is>
      </c>
      <c r="F558" s="77" t="inlineStr">
        <is>
          <t>2 Gen capital recovery</t>
        </is>
      </c>
      <c r="G558" s="77" t="inlineStr">
        <is>
          <t>renewables levy</t>
        </is>
      </c>
      <c r="H558" s="77" t="inlineStr">
        <is>
          <t>i</t>
        </is>
      </c>
      <c r="I558" s="77">
        <f>IF(ISNUMBER(N558),N558*fx_deflator!$I$15*fx_deflator!$M$15,"")</f>
        <v/>
      </c>
      <c r="J558" s="77" t="inlineStr">
        <is>
          <t>LCCC Actual ILR Income dataset (quarterly avg)</t>
        </is>
      </c>
      <c r="K558" s="77" t="inlineStr">
        <is>
          <t>stage4_uk r15-19</t>
        </is>
      </c>
      <c r="L558" s="77" t="inlineStr">
        <is>
          <t>2026-07-15</t>
        </is>
      </c>
      <c r="M558" s="77" t="inlineStr">
        <is>
          <t>Y</t>
        </is>
      </c>
      <c r="N558" s="77">
        <f>IF(ISNUMBER(timeseries!N11),timeseries!N11*(1-IF(ISNUMBER(stage4_uk!N44),stage4_uk!N44,0)),"")</f>
        <v/>
      </c>
      <c r="O558" s="77" t="inlineStr">
        <is>
          <t>GBP/MWh nominal</t>
        </is>
      </c>
    </row>
    <row r="559" ht="15" customHeight="1" s="78">
      <c r="A559" s="77" t="inlineStr">
        <is>
          <t>UK</t>
        </is>
      </c>
      <c r="B559" s="77" t="n">
        <v>2020</v>
      </c>
      <c r="C559" s="77" t="inlineStr">
        <is>
          <t>medium</t>
        </is>
      </c>
      <c r="D559" s="77" t="inlineStr">
        <is>
          <t>E2</t>
        </is>
      </c>
      <c r="E559" s="77" t="inlineStr">
        <is>
          <t>FiT levelisation</t>
        </is>
      </c>
      <c r="F559" s="77" t="inlineStr">
        <is>
          <t>2 Gen capital recovery</t>
        </is>
      </c>
      <c r="G559" s="77" t="inlineStr">
        <is>
          <t>renewables levy</t>
        </is>
      </c>
      <c r="H559" s="77" t="inlineStr">
        <is>
          <t>i</t>
        </is>
      </c>
      <c r="I559" s="77">
        <f>IF(ISNUMBER(N559),N559*fx_deflator!$I$15*fx_deflator!$M$15,"")</f>
        <v/>
      </c>
      <c r="J559" s="77" t="inlineStr">
        <is>
          <t>Ofgem FIT Annual Reports SY1-SY15; D27 for 2010-14</t>
        </is>
      </c>
      <c r="K559" s="77" t="inlineStr">
        <is>
          <t>stage4_uk r20</t>
        </is>
      </c>
      <c r="L559" s="77" t="inlineStr">
        <is>
          <t>2026-07-15</t>
        </is>
      </c>
      <c r="M559" s="77" t="inlineStr">
        <is>
          <t>Y</t>
        </is>
      </c>
      <c r="N559" s="77">
        <f>IF(ISNUMBER(timeseries!N12),timeseries!N12*(1-IF(ISNUMBER(stage4_uk!N46),stage4_uk!N46,0)),"")</f>
        <v/>
      </c>
      <c r="O559" s="77" t="inlineStr">
        <is>
          <t>GBP/MWh nominal</t>
        </is>
      </c>
      <c r="P559" s="77" t="inlineStr">
        <is>
          <t>2025 unpublished (Q32) — row absent, gap stated</t>
        </is>
      </c>
    </row>
    <row r="560" ht="15" customHeight="1" s="78">
      <c r="A560" s="77" t="inlineStr">
        <is>
          <t>UK</t>
        </is>
      </c>
      <c r="B560" s="77" t="n">
        <v>2020</v>
      </c>
      <c r="C560" s="77" t="inlineStr">
        <is>
          <t>medium</t>
        </is>
      </c>
      <c r="D560" s="77" t="inlineStr">
        <is>
          <t>E2</t>
        </is>
      </c>
      <c r="E560" s="77" t="inlineStr">
        <is>
          <t>Capacity Market (derived per-MWh)</t>
        </is>
      </c>
      <c r="F560" s="77" t="inlineStr">
        <is>
          <t>2 Gen capital recovery</t>
        </is>
      </c>
      <c r="G560" s="77" t="inlineStr">
        <is>
          <t>capacity market levy</t>
        </is>
      </c>
      <c r="H560" s="77" t="inlineStr">
        <is>
          <t>i</t>
        </is>
      </c>
      <c r="I560" s="77">
        <f>IF(ISNUMBER(N560),N560*fx_deflator!$I$15*fx_deflator!$M$15,"")</f>
        <v/>
      </c>
      <c r="J560" s="77" t="inlineStr">
        <is>
          <t>EMRS Key Figures for Payments (derived per-MWh, D30)</t>
        </is>
      </c>
      <c r="K560" s="77" t="inlineStr">
        <is>
          <t>stage4_uk r21</t>
        </is>
      </c>
      <c r="L560" s="77" t="inlineStr">
        <is>
          <t>2026-07-15</t>
        </is>
      </c>
      <c r="M560" s="77" t="inlineStr">
        <is>
          <t>Y</t>
        </is>
      </c>
      <c r="N560" s="77">
        <f>IF(ISNUMBER(timeseries!N13),timeseries!N13*(1-IF(ISNUMBER(stage4_uk!N47),stage4_uk!N47,0)),"")</f>
        <v/>
      </c>
      <c r="O560" s="77" t="inlineStr">
        <is>
          <t>GBP/MWh nominal</t>
        </is>
      </c>
      <c r="P560" s="77" t="inlineStr">
        <is>
          <t>function 2 per D9</t>
        </is>
      </c>
    </row>
    <row r="561" ht="15" customHeight="1" s="78">
      <c r="A561" s="77" t="inlineStr">
        <is>
          <t>UK</t>
        </is>
      </c>
      <c r="B561" s="77" t="n">
        <v>2020</v>
      </c>
      <c r="C561" s="77" t="inlineStr">
        <is>
          <t>medium</t>
        </is>
      </c>
      <c r="D561" s="77" t="inlineStr">
        <is>
          <t>E2</t>
        </is>
      </c>
      <c r="E561" s="77" t="inlineStr">
        <is>
          <t>CCL — EXEMPT for the relieved case (mineralogical/metallurgical, HMRC CCL1/3 s3.14; D71)</t>
        </is>
      </c>
      <c r="F561" s="77" t="inlineStr">
        <is>
          <t>5 General taxation &amp; levies</t>
        </is>
      </c>
      <c r="G561" s="77" t="inlineStr">
        <is>
          <t>climate levy (tax)</t>
        </is>
      </c>
      <c r="H561" s="77" t="inlineStr">
        <is>
          <t>i</t>
        </is>
      </c>
      <c r="I561" s="77">
        <f>IF(ISNUMBER(N561),N561*fx_deflator!$I$15*fx_deflator!$M$15,"")</f>
        <v/>
      </c>
      <c r="J561" s="77" t="inlineStr">
        <is>
          <t>HMRC Excise Notice CCL1/3 s3.14 + Annex A (exemption from 01.04.2014). S209</t>
        </is>
      </c>
      <c r="K561" s="77" t="inlineStr">
        <is>
          <t>stage4_uk r22</t>
        </is>
      </c>
      <c r="L561" s="77" t="inlineStr">
        <is>
          <t>2026-07-15</t>
        </is>
      </c>
      <c r="M561" s="77" t="inlineStr">
        <is>
          <t>N</t>
        </is>
      </c>
      <c r="N561" s="136">
        <f>IF(ISNUMBER(timeseries!N14),0,"")</f>
        <v/>
      </c>
      <c r="O561" s="77" t="inlineStr">
        <is>
          <t>GBP/MWh nominal</t>
        </is>
      </c>
    </row>
    <row r="562" ht="15" customHeight="1" s="78">
      <c r="A562" s="77" t="inlineStr">
        <is>
          <t>UK</t>
        </is>
      </c>
      <c r="B562" s="77" t="n">
        <v>2021</v>
      </c>
      <c r="C562" s="77" t="inlineStr">
        <is>
          <t>medium</t>
        </is>
      </c>
      <c r="D562" s="77" t="inlineStr">
        <is>
          <t>E2</t>
        </is>
      </c>
      <c r="E562" s="77" t="inlineStr">
        <is>
          <t>Wholesale (rolling year-ahead baseload; DA proxy &lt;=2021)</t>
        </is>
      </c>
      <c r="F562" s="77" t="inlineStr">
        <is>
          <t>1 Commodity</t>
        </is>
      </c>
      <c r="G562" s="77" t="inlineStr">
        <is>
          <t>wholesale market</t>
        </is>
      </c>
      <c r="H562" s="77" t="inlineStr">
        <is>
          <t>i</t>
        </is>
      </c>
      <c r="I562" s="77">
        <f>IF(ISNUMBER(N562),N562*fx_deflator!$I$16*fx_deflator!$M$16,"")</f>
        <v/>
      </c>
      <c r="J562" s="77" t="inlineStr">
        <is>
          <t>Ofgem data portal — DA baseload monthly avg (proxy &lt;=2021, D22); Forward Delivery Contracts (D21)</t>
        </is>
      </c>
      <c r="K562" s="77" t="inlineStr">
        <is>
          <t>stage4_uk r7-9</t>
        </is>
      </c>
      <c r="L562" s="77" t="inlineStr">
        <is>
          <t>2026-07-15</t>
        </is>
      </c>
      <c r="M562" s="77" t="inlineStr">
        <is>
          <t>Y</t>
        </is>
      </c>
      <c r="N562" s="136">
        <f>IF(ISNUMBER(timeseries!O22),timeseries!O22,"")</f>
        <v/>
      </c>
      <c r="O562" s="77" t="inlineStr">
        <is>
          <t>GBP/MWh nominal</t>
        </is>
      </c>
      <c r="P562" s="77" t="inlineStr">
        <is>
          <t>identical E1/E2; embedded carbon memo inside this item</t>
        </is>
      </c>
    </row>
    <row r="563" ht="15" customHeight="1" s="78">
      <c r="A563" s="77" t="inlineStr">
        <is>
          <t>UK</t>
        </is>
      </c>
      <c r="B563" s="77" t="n">
        <v>2021</v>
      </c>
      <c r="C563" s="77" t="inlineStr">
        <is>
          <t>medium</t>
        </is>
      </c>
      <c r="D563" s="77" t="inlineStr">
        <is>
          <t>E2</t>
        </is>
      </c>
      <c r="E563" s="77" t="inlineStr">
        <is>
          <t>TNUoS demand (zone 5; TCR banded residual from 2023)</t>
        </is>
      </c>
      <c r="F563" s="77" t="inlineStr">
        <is>
          <t>3 Network</t>
        </is>
      </c>
      <c r="G563" s="77" t="inlineStr">
        <is>
          <t>transmission network charge</t>
        </is>
      </c>
      <c r="H563" s="77" t="inlineStr">
        <is>
          <t>i (post-NCC relief; relief funded via ESL = ii instrument)</t>
        </is>
      </c>
      <c r="I563" s="77">
        <f>IF(ISNUMBER(N563),N563*fx_deflator!$I$16*fx_deflator!$M$16,"")</f>
        <v/>
      </c>
      <c r="J563" s="77" t="inlineStr">
        <is>
          <t>NESO TNUoS tariff documents (compendium doc 50736; Final TNUoS 2023/24-2026/27 Table 10)</t>
        </is>
      </c>
      <c r="K563" s="77" t="inlineStr">
        <is>
          <t>stage4_uk r25-27</t>
        </is>
      </c>
      <c r="L563" s="77" t="inlineStr">
        <is>
          <t>2026-07-15</t>
        </is>
      </c>
      <c r="M563" s="77" t="inlineStr">
        <is>
          <t>Y</t>
        </is>
      </c>
      <c r="N563" s="77">
        <f>IF(ISNUMBER(timeseries!O23),timeseries!O23*(1-IF(ISNUMBER(stage4_uk!O48),stage4_uk!O48,0)),"")</f>
        <v/>
      </c>
      <c r="O563" s="77" t="inlineStr">
        <is>
          <t>GBP/MWh nominal</t>
        </is>
      </c>
    </row>
    <row r="564" ht="15" customHeight="1" s="78">
      <c r="A564" s="77" t="inlineStr">
        <is>
          <t>UK</t>
        </is>
      </c>
      <c r="B564" s="77" t="n">
        <v>2021</v>
      </c>
      <c r="C564" s="77" t="inlineStr">
        <is>
          <t>medium</t>
        </is>
      </c>
      <c r="D564" s="77" t="inlineStr">
        <is>
          <t>E2</t>
        </is>
      </c>
      <c r="E564" s="77" t="inlineStr">
        <is>
          <t>DUoS unit rates (NPg CDCM red/amber/green, uniform-operation weights)</t>
        </is>
      </c>
      <c r="F564" s="77" t="inlineStr">
        <is>
          <t>3 Network</t>
        </is>
      </c>
      <c r="G564" s="77" t="inlineStr">
        <is>
          <t>distribution network charge</t>
        </is>
      </c>
      <c r="H564" s="77" t="inlineStr">
        <is>
          <t>i (post-NCC relief)</t>
        </is>
      </c>
      <c r="I564" s="77">
        <f>IF(ISNUMBER(N564),N564*fx_deflator!$I$16*fx_deflator!$M$16,"")</f>
        <v/>
      </c>
      <c r="J564" s="77" t="inlineStr">
        <is>
          <t>NPg (Yorkshire) LC14 CDCM statements; D28 reconstruction 2010-16</t>
        </is>
      </c>
      <c r="K564" s="77" t="inlineStr">
        <is>
          <t>stage4_uk r34-41</t>
        </is>
      </c>
      <c r="L564" s="77" t="inlineStr">
        <is>
          <t>2026-07-15</t>
        </is>
      </c>
      <c r="M564" s="77" t="inlineStr">
        <is>
          <t>Y</t>
        </is>
      </c>
      <c r="N564" s="77">
        <f>IF(ISNUMBER(timeseries!O24),timeseries!O24*(1-IF(ISNUMBER(stage4_uk!O48),stage4_uk!O48,0)),"")</f>
        <v/>
      </c>
      <c r="O564" s="77" t="inlineStr">
        <is>
          <t>GBP/MWh nominal</t>
        </is>
      </c>
    </row>
    <row r="565" ht="15" customHeight="1" s="78">
      <c r="A565" s="77" t="inlineStr">
        <is>
          <t>UK</t>
        </is>
      </c>
      <c r="B565" s="77" t="n">
        <v>2021</v>
      </c>
      <c r="C565" s="77" t="inlineStr">
        <is>
          <t>medium</t>
        </is>
      </c>
      <c r="D565" s="77" t="inlineStr">
        <is>
          <t>E2</t>
        </is>
      </c>
      <c r="E565" s="77" t="inlineStr">
        <is>
          <t>DUoS fixed charge (TCR Band-4 residual from 2022/23)</t>
        </is>
      </c>
      <c r="F565" s="77" t="inlineStr">
        <is>
          <t>3 Network</t>
        </is>
      </c>
      <c r="G565" s="77" t="inlineStr">
        <is>
          <t>distribution network charge</t>
        </is>
      </c>
      <c r="H565" s="77" t="inlineStr">
        <is>
          <t>i (post-NCC relief)</t>
        </is>
      </c>
      <c r="I565" s="77">
        <f>IF(ISNUMBER(N565),N565*fx_deflator!$I$16*fx_deflator!$M$16,"")</f>
        <v/>
      </c>
      <c r="J565" s="77" t="inlineStr">
        <is>
          <t>NPg (Yorkshire) LC14 CDCM statements; D28 reconstruction 2010-16</t>
        </is>
      </c>
      <c r="K565" s="77" t="inlineStr">
        <is>
          <t>stage4_uk r34-41</t>
        </is>
      </c>
      <c r="L565" s="77" t="inlineStr">
        <is>
          <t>2026-07-15</t>
        </is>
      </c>
      <c r="M565" s="77" t="inlineStr">
        <is>
          <t>Y</t>
        </is>
      </c>
      <c r="N565" s="77">
        <f>IF(ISNUMBER(timeseries!O25),timeseries!O25*(1-IF(ISNUMBER(stage4_uk!O48),stage4_uk!O48,0)),"")</f>
        <v/>
      </c>
      <c r="O565" s="77" t="inlineStr">
        <is>
          <t>GBP/MWh nominal</t>
        </is>
      </c>
    </row>
    <row r="566" ht="15" customHeight="1" s="78">
      <c r="A566" s="77" t="inlineStr">
        <is>
          <t>UK</t>
        </is>
      </c>
      <c r="B566" s="77" t="n">
        <v>2021</v>
      </c>
      <c r="C566" s="77" t="inlineStr">
        <is>
          <t>medium</t>
        </is>
      </c>
      <c r="D566" s="77" t="inlineStr">
        <is>
          <t>E2</t>
        </is>
      </c>
      <c r="E566" s="77" t="inlineStr">
        <is>
          <t>DUoS capacity charge</t>
        </is>
      </c>
      <c r="F566" s="77" t="inlineStr">
        <is>
          <t>3 Network</t>
        </is>
      </c>
      <c r="G566" s="77" t="inlineStr">
        <is>
          <t>distribution network charge</t>
        </is>
      </c>
      <c r="H566" s="77" t="inlineStr">
        <is>
          <t>i (post-NCC relief)</t>
        </is>
      </c>
      <c r="I566" s="77">
        <f>IF(ISNUMBER(N566),N566*fx_deflator!$I$16*fx_deflator!$M$16,"")</f>
        <v/>
      </c>
      <c r="J566" s="77" t="inlineStr">
        <is>
          <t>NPg (Yorkshire) LC14 CDCM statements; D28 reconstruction 2010-16</t>
        </is>
      </c>
      <c r="K566" s="77" t="inlineStr">
        <is>
          <t>stage4_uk r34-41</t>
        </is>
      </c>
      <c r="L566" s="77" t="inlineStr">
        <is>
          <t>2026-07-15</t>
        </is>
      </c>
      <c r="M566" s="77" t="inlineStr">
        <is>
          <t>Y</t>
        </is>
      </c>
      <c r="N566" s="77">
        <f>IF(ISNUMBER(timeseries!O26),timeseries!O26*(1-IF(ISNUMBER(stage4_uk!O48),stage4_uk!O48,0)),"")</f>
        <v/>
      </c>
      <c r="O566" s="77" t="inlineStr">
        <is>
          <t>GBP/MWh nominal</t>
        </is>
      </c>
    </row>
    <row r="567" ht="15" customHeight="1" s="78">
      <c r="A567" s="77" t="inlineStr">
        <is>
          <t>UK</t>
        </is>
      </c>
      <c r="B567" s="77" t="n">
        <v>2021</v>
      </c>
      <c r="C567" s="77" t="inlineStr">
        <is>
          <t>medium</t>
        </is>
      </c>
      <c r="D567" s="77" t="inlineStr">
        <is>
          <t>E2</t>
        </is>
      </c>
      <c r="E567" s="77" t="inlineStr">
        <is>
          <t>BSUoS (demand-only from 04/2023)</t>
        </is>
      </c>
      <c r="F567" s="77" t="inlineStr">
        <is>
          <t>4 System services &amp; balancing</t>
        </is>
      </c>
      <c r="G567" s="77" t="inlineStr">
        <is>
          <t>balancing charge</t>
        </is>
      </c>
      <c r="H567" s="77" t="inlineStr">
        <is>
          <t>i (post-NCC relief)</t>
        </is>
      </c>
      <c r="I567" s="77">
        <f>IF(ISNUMBER(N567),N567*fx_deflator!$I$16*fx_deflator!$M$16,"")</f>
        <v/>
      </c>
      <c r="J567" s="77" t="inlineStr">
        <is>
          <t>NESO bsuos-fixed-tariffs + HH RF settlement files (own annual avg 2010-22)</t>
        </is>
      </c>
      <c r="K567" s="77" t="inlineStr">
        <is>
          <t>stage4_uk r28-30</t>
        </is>
      </c>
      <c r="L567" s="77" t="inlineStr">
        <is>
          <t>2026-07-15</t>
        </is>
      </c>
      <c r="M567" s="77" t="inlineStr">
        <is>
          <t>Y</t>
        </is>
      </c>
      <c r="N567" s="77">
        <f>IF(ISNUMBER(timeseries!O8),timeseries!O8*(1-IF(ISNUMBER(stage4_uk!O48),stage4_uk!O48,0)),"")</f>
        <v/>
      </c>
      <c r="O567" s="77" t="inlineStr">
        <is>
          <t>GBP/MWh nominal</t>
        </is>
      </c>
    </row>
    <row r="568" ht="15" customHeight="1" s="78">
      <c r="A568" s="77" t="inlineStr">
        <is>
          <t>UK</t>
        </is>
      </c>
      <c r="B568" s="77" t="n">
        <v>2021</v>
      </c>
      <c r="C568" s="77" t="inlineStr">
        <is>
          <t>medium</t>
        </is>
      </c>
      <c r="D568" s="77" t="inlineStr">
        <is>
          <t>E2</t>
        </is>
      </c>
      <c r="E568" s="77" t="inlineStr">
        <is>
          <t>AAHEDC</t>
        </is>
      </c>
      <c r="F568" s="77" t="inlineStr">
        <is>
          <t>3 Network</t>
        </is>
      </c>
      <c r="G568" s="77" t="inlineStr">
        <is>
          <t>network levy (hydro benefit)</t>
        </is>
      </c>
      <c r="H568" s="77" t="inlineStr">
        <is>
          <t>ii (pays cross-subsidy to N Scotland consumers)</t>
        </is>
      </c>
      <c r="I568" s="77">
        <f>IF(ISNUMBER(N568),N568*fx_deflator!$I$16*fx_deflator!$M$16,"")</f>
        <v/>
      </c>
      <c r="J568" s="77" t="inlineStr">
        <is>
          <t>NG/ESO AAHEDC charging statements &amp; final tariff letters</t>
        </is>
      </c>
      <c r="K568" s="77" t="inlineStr">
        <is>
          <t>stage4_uk r31</t>
        </is>
      </c>
      <c r="L568" s="77" t="inlineStr">
        <is>
          <t>2026-07-15</t>
        </is>
      </c>
      <c r="M568" s="77" t="inlineStr">
        <is>
          <t>N</t>
        </is>
      </c>
      <c r="N568" s="136">
        <f>IF(ISNUMBER(timeseries!O9),timeseries!O9,"")</f>
        <v/>
      </c>
      <c r="O568" s="77" t="inlineStr">
        <is>
          <t>GBP/MWh nominal</t>
        </is>
      </c>
      <c r="P568" s="77" t="inlineStr">
        <is>
          <t>not in NCC base (conservative, unverified)</t>
        </is>
      </c>
    </row>
    <row r="569" ht="15" customHeight="1" s="78">
      <c r="A569" s="77" t="inlineStr">
        <is>
          <t>UK</t>
        </is>
      </c>
      <c r="B569" s="77" t="n">
        <v>2021</v>
      </c>
      <c r="C569" s="77" t="inlineStr">
        <is>
          <t>medium</t>
        </is>
      </c>
      <c r="D569" s="77" t="inlineStr">
        <is>
          <t>E2</t>
        </is>
      </c>
      <c r="E569" s="77" t="inlineStr">
        <is>
          <t>RO (buy-out x obligation)</t>
        </is>
      </c>
      <c r="F569" s="77" t="inlineStr">
        <is>
          <t>2 Gen capital recovery</t>
        </is>
      </c>
      <c r="G569" s="77" t="inlineStr">
        <is>
          <t>renewables levy</t>
        </is>
      </c>
      <c r="H569" s="77" t="inlineStr">
        <is>
          <t>i</t>
        </is>
      </c>
      <c r="I569" s="77">
        <f>IF(ISNUMBER(N569),N569*fx_deflator!$I$16*fx_deflator!$M$16,"")</f>
        <v/>
      </c>
      <c r="J569" s="77" t="inlineStr">
        <is>
          <t>Ofgem RO guidance OFG1164 Table 1.1 (buy-out x obligation)</t>
        </is>
      </c>
      <c r="K569" s="77" t="inlineStr">
        <is>
          <t>stage4_uk r12-14</t>
        </is>
      </c>
      <c r="L569" s="77" t="inlineStr">
        <is>
          <t>2026-07-15</t>
        </is>
      </c>
      <c r="M569" s="77" t="inlineStr">
        <is>
          <t>Y</t>
        </is>
      </c>
      <c r="N569" s="77">
        <f>IF(ISNUMBER(timeseries!O10),timeseries!O10*(1-IF(ISNUMBER(stage4_uk!O45),stage4_uk!O45,0)),"")</f>
        <v/>
      </c>
      <c r="O569" s="77" t="inlineStr">
        <is>
          <t>GBP/MWh nominal</t>
        </is>
      </c>
    </row>
    <row r="570" ht="15" customHeight="1" s="78">
      <c r="A570" s="77" t="inlineStr">
        <is>
          <t>UK</t>
        </is>
      </c>
      <c r="B570" s="77" t="n">
        <v>2021</v>
      </c>
      <c r="C570" s="77" t="inlineStr">
        <is>
          <t>medium</t>
        </is>
      </c>
      <c r="D570" s="77" t="inlineStr">
        <is>
          <t>E2</t>
        </is>
      </c>
      <c r="E570" s="77" t="inlineStr">
        <is>
          <t>CfD Interim Levy Rate (annual avg)</t>
        </is>
      </c>
      <c r="F570" s="77" t="inlineStr">
        <is>
          <t>2 Gen capital recovery</t>
        </is>
      </c>
      <c r="G570" s="77" t="inlineStr">
        <is>
          <t>renewables levy</t>
        </is>
      </c>
      <c r="H570" s="77" t="inlineStr">
        <is>
          <t>i</t>
        </is>
      </c>
      <c r="I570" s="77">
        <f>IF(ISNUMBER(N570),N570*fx_deflator!$I$16*fx_deflator!$M$16,"")</f>
        <v/>
      </c>
      <c r="J570" s="77" t="inlineStr">
        <is>
          <t>LCCC Actual ILR Income dataset (quarterly avg)</t>
        </is>
      </c>
      <c r="K570" s="77" t="inlineStr">
        <is>
          <t>stage4_uk r15-19</t>
        </is>
      </c>
      <c r="L570" s="77" t="inlineStr">
        <is>
          <t>2026-07-15</t>
        </is>
      </c>
      <c r="M570" s="77" t="inlineStr">
        <is>
          <t>Y</t>
        </is>
      </c>
      <c r="N570" s="77">
        <f>IF(ISNUMBER(timeseries!O11),timeseries!O11*(1-IF(ISNUMBER(stage4_uk!O44),stage4_uk!O44,0)),"")</f>
        <v/>
      </c>
      <c r="O570" s="77" t="inlineStr">
        <is>
          <t>GBP/MWh nominal</t>
        </is>
      </c>
    </row>
    <row r="571" ht="15" customHeight="1" s="78">
      <c r="A571" s="77" t="inlineStr">
        <is>
          <t>UK</t>
        </is>
      </c>
      <c r="B571" s="77" t="n">
        <v>2021</v>
      </c>
      <c r="C571" s="77" t="inlineStr">
        <is>
          <t>medium</t>
        </is>
      </c>
      <c r="D571" s="77" t="inlineStr">
        <is>
          <t>E2</t>
        </is>
      </c>
      <c r="E571" s="77" t="inlineStr">
        <is>
          <t>FiT levelisation</t>
        </is>
      </c>
      <c r="F571" s="77" t="inlineStr">
        <is>
          <t>2 Gen capital recovery</t>
        </is>
      </c>
      <c r="G571" s="77" t="inlineStr">
        <is>
          <t>renewables levy</t>
        </is>
      </c>
      <c r="H571" s="77" t="inlineStr">
        <is>
          <t>i</t>
        </is>
      </c>
      <c r="I571" s="77">
        <f>IF(ISNUMBER(N571),N571*fx_deflator!$I$16*fx_deflator!$M$16,"")</f>
        <v/>
      </c>
      <c r="J571" s="77" t="inlineStr">
        <is>
          <t>Ofgem FIT Annual Reports SY1-SY15; D27 for 2010-14</t>
        </is>
      </c>
      <c r="K571" s="77" t="inlineStr">
        <is>
          <t>stage4_uk r20</t>
        </is>
      </c>
      <c r="L571" s="77" t="inlineStr">
        <is>
          <t>2026-07-15</t>
        </is>
      </c>
      <c r="M571" s="77" t="inlineStr">
        <is>
          <t>Y</t>
        </is>
      </c>
      <c r="N571" s="77">
        <f>IF(ISNUMBER(timeseries!O12),timeseries!O12*(1-IF(ISNUMBER(stage4_uk!O46),stage4_uk!O46,0)),"")</f>
        <v/>
      </c>
      <c r="O571" s="77" t="inlineStr">
        <is>
          <t>GBP/MWh nominal</t>
        </is>
      </c>
      <c r="P571" s="77" t="inlineStr">
        <is>
          <t>2025 unpublished (Q32) — row absent, gap stated</t>
        </is>
      </c>
    </row>
    <row r="572" ht="15" customHeight="1" s="78">
      <c r="A572" s="77" t="inlineStr">
        <is>
          <t>UK</t>
        </is>
      </c>
      <c r="B572" s="77" t="n">
        <v>2021</v>
      </c>
      <c r="C572" s="77" t="inlineStr">
        <is>
          <t>medium</t>
        </is>
      </c>
      <c r="D572" s="77" t="inlineStr">
        <is>
          <t>E2</t>
        </is>
      </c>
      <c r="E572" s="77" t="inlineStr">
        <is>
          <t>Capacity Market (derived per-MWh)</t>
        </is>
      </c>
      <c r="F572" s="77" t="inlineStr">
        <is>
          <t>2 Gen capital recovery</t>
        </is>
      </c>
      <c r="G572" s="77" t="inlineStr">
        <is>
          <t>capacity market levy</t>
        </is>
      </c>
      <c r="H572" s="77" t="inlineStr">
        <is>
          <t>i</t>
        </is>
      </c>
      <c r="I572" s="77">
        <f>IF(ISNUMBER(N572),N572*fx_deflator!$I$16*fx_deflator!$M$16,"")</f>
        <v/>
      </c>
      <c r="J572" s="77" t="inlineStr">
        <is>
          <t>EMRS Key Figures for Payments (derived per-MWh, D30)</t>
        </is>
      </c>
      <c r="K572" s="77" t="inlineStr">
        <is>
          <t>stage4_uk r21</t>
        </is>
      </c>
      <c r="L572" s="77" t="inlineStr">
        <is>
          <t>2026-07-15</t>
        </is>
      </c>
      <c r="M572" s="77" t="inlineStr">
        <is>
          <t>Y</t>
        </is>
      </c>
      <c r="N572" s="77">
        <f>IF(ISNUMBER(timeseries!O13),timeseries!O13*(1-IF(ISNUMBER(stage4_uk!O47),stage4_uk!O47,0)),"")</f>
        <v/>
      </c>
      <c r="O572" s="77" t="inlineStr">
        <is>
          <t>GBP/MWh nominal</t>
        </is>
      </c>
      <c r="P572" s="77" t="inlineStr">
        <is>
          <t>function 2 per D9</t>
        </is>
      </c>
    </row>
    <row r="573" ht="15" customHeight="1" s="78">
      <c r="A573" s="77" t="inlineStr">
        <is>
          <t>UK</t>
        </is>
      </c>
      <c r="B573" s="77" t="n">
        <v>2021</v>
      </c>
      <c r="C573" s="77" t="inlineStr">
        <is>
          <t>medium</t>
        </is>
      </c>
      <c r="D573" s="77" t="inlineStr">
        <is>
          <t>E2</t>
        </is>
      </c>
      <c r="E573" s="77" t="inlineStr">
        <is>
          <t>CCL — EXEMPT for the relieved case (mineralogical/metallurgical, HMRC CCL1/3 s3.14; D71)</t>
        </is>
      </c>
      <c r="F573" s="77" t="inlineStr">
        <is>
          <t>5 General taxation &amp; levies</t>
        </is>
      </c>
      <c r="G573" s="77" t="inlineStr">
        <is>
          <t>climate levy (tax)</t>
        </is>
      </c>
      <c r="H573" s="77" t="inlineStr">
        <is>
          <t>i</t>
        </is>
      </c>
      <c r="I573" s="77">
        <f>IF(ISNUMBER(N573),N573*fx_deflator!$I$16*fx_deflator!$M$16,"")</f>
        <v/>
      </c>
      <c r="J573" s="77" t="inlineStr">
        <is>
          <t>HMRC Excise Notice CCL1/3 s3.14 + Annex A (exemption from 01.04.2014). S209</t>
        </is>
      </c>
      <c r="K573" s="77" t="inlineStr">
        <is>
          <t>stage4_uk r22</t>
        </is>
      </c>
      <c r="L573" s="77" t="inlineStr">
        <is>
          <t>2026-07-15</t>
        </is>
      </c>
      <c r="M573" s="77" t="inlineStr">
        <is>
          <t>N</t>
        </is>
      </c>
      <c r="N573" s="136">
        <f>IF(ISNUMBER(timeseries!O14),0,"")</f>
        <v/>
      </c>
      <c r="O573" s="77" t="inlineStr">
        <is>
          <t>GBP/MWh nominal</t>
        </is>
      </c>
    </row>
    <row r="574" ht="15" customHeight="1" s="78">
      <c r="A574" s="77" t="inlineStr">
        <is>
          <t>UK</t>
        </is>
      </c>
      <c r="B574" s="77" t="n">
        <v>2022</v>
      </c>
      <c r="C574" s="77" t="inlineStr">
        <is>
          <t>medium</t>
        </is>
      </c>
      <c r="D574" s="77" t="inlineStr">
        <is>
          <t>E2</t>
        </is>
      </c>
      <c r="E574" s="77" t="inlineStr">
        <is>
          <t>Wholesale (rolling year-ahead baseload; DA proxy &lt;=2021)</t>
        </is>
      </c>
      <c r="F574" s="77" t="inlineStr">
        <is>
          <t>1 Commodity</t>
        </is>
      </c>
      <c r="G574" s="77" t="inlineStr">
        <is>
          <t>wholesale market</t>
        </is>
      </c>
      <c r="H574" s="77" t="inlineStr">
        <is>
          <t>i</t>
        </is>
      </c>
      <c r="I574" s="77">
        <f>IF(ISNUMBER(N574),N574*fx_deflator!$I$17*fx_deflator!$M$17,"")</f>
        <v/>
      </c>
      <c r="J574" s="77" t="inlineStr">
        <is>
          <t>Ofgem data portal — DA baseload monthly avg (proxy &lt;=2021, D22); Forward Delivery Contracts (D21)</t>
        </is>
      </c>
      <c r="K574" s="77" t="inlineStr">
        <is>
          <t>stage4_uk r7-9</t>
        </is>
      </c>
      <c r="L574" s="77" t="inlineStr">
        <is>
          <t>2026-07-15</t>
        </is>
      </c>
      <c r="M574" s="77" t="inlineStr">
        <is>
          <t>Y</t>
        </is>
      </c>
      <c r="N574" s="136">
        <f>IF(ISNUMBER(timeseries!P22),timeseries!P22,"")</f>
        <v/>
      </c>
      <c r="O574" s="77" t="inlineStr">
        <is>
          <t>GBP/MWh nominal</t>
        </is>
      </c>
      <c r="P574" s="77" t="inlineStr">
        <is>
          <t>identical E1/E2; embedded carbon memo inside this item</t>
        </is>
      </c>
    </row>
    <row r="575" ht="15" customHeight="1" s="78">
      <c r="A575" s="77" t="inlineStr">
        <is>
          <t>UK</t>
        </is>
      </c>
      <c r="B575" s="77" t="n">
        <v>2022</v>
      </c>
      <c r="C575" s="77" t="inlineStr">
        <is>
          <t>medium</t>
        </is>
      </c>
      <c r="D575" s="77" t="inlineStr">
        <is>
          <t>E2</t>
        </is>
      </c>
      <c r="E575" s="77" t="inlineStr">
        <is>
          <t>TNUoS demand (zone 5; TCR banded residual from 2023)</t>
        </is>
      </c>
      <c r="F575" s="77" t="inlineStr">
        <is>
          <t>3 Network</t>
        </is>
      </c>
      <c r="G575" s="77" t="inlineStr">
        <is>
          <t>transmission network charge</t>
        </is>
      </c>
      <c r="H575" s="77" t="inlineStr">
        <is>
          <t>i (post-NCC relief; relief funded via ESL = ii instrument)</t>
        </is>
      </c>
      <c r="I575" s="77">
        <f>IF(ISNUMBER(N575),N575*fx_deflator!$I$17*fx_deflator!$M$17,"")</f>
        <v/>
      </c>
      <c r="J575" s="77" t="inlineStr">
        <is>
          <t>NESO TNUoS tariff documents (compendium doc 50736; Final TNUoS 2023/24-2026/27 Table 10)</t>
        </is>
      </c>
      <c r="K575" s="77" t="inlineStr">
        <is>
          <t>stage4_uk r25-27</t>
        </is>
      </c>
      <c r="L575" s="77" t="inlineStr">
        <is>
          <t>2026-07-15</t>
        </is>
      </c>
      <c r="M575" s="77" t="inlineStr">
        <is>
          <t>Y</t>
        </is>
      </c>
      <c r="N575" s="77">
        <f>IF(ISNUMBER(timeseries!P23),timeseries!P23*(1-IF(ISNUMBER(stage4_uk!P48),stage4_uk!P48,0)),"")</f>
        <v/>
      </c>
      <c r="O575" s="77" t="inlineStr">
        <is>
          <t>GBP/MWh nominal</t>
        </is>
      </c>
    </row>
    <row r="576" ht="15" customHeight="1" s="78">
      <c r="A576" s="77" t="inlineStr">
        <is>
          <t>UK</t>
        </is>
      </c>
      <c r="B576" s="77" t="n">
        <v>2022</v>
      </c>
      <c r="C576" s="77" t="inlineStr">
        <is>
          <t>medium</t>
        </is>
      </c>
      <c r="D576" s="77" t="inlineStr">
        <is>
          <t>E2</t>
        </is>
      </c>
      <c r="E576" s="77" t="inlineStr">
        <is>
          <t>DUoS unit rates (NPg CDCM red/amber/green, uniform-operation weights)</t>
        </is>
      </c>
      <c r="F576" s="77" t="inlineStr">
        <is>
          <t>3 Network</t>
        </is>
      </c>
      <c r="G576" s="77" t="inlineStr">
        <is>
          <t>distribution network charge</t>
        </is>
      </c>
      <c r="H576" s="77" t="inlineStr">
        <is>
          <t>i (post-NCC relief)</t>
        </is>
      </c>
      <c r="I576" s="77">
        <f>IF(ISNUMBER(N576),N576*fx_deflator!$I$17*fx_deflator!$M$17,"")</f>
        <v/>
      </c>
      <c r="J576" s="77" t="inlineStr">
        <is>
          <t>NPg (Yorkshire) LC14 CDCM statements; D28 reconstruction 2010-16</t>
        </is>
      </c>
      <c r="K576" s="77" t="inlineStr">
        <is>
          <t>stage4_uk r34-41</t>
        </is>
      </c>
      <c r="L576" s="77" t="inlineStr">
        <is>
          <t>2026-07-15</t>
        </is>
      </c>
      <c r="M576" s="77" t="inlineStr">
        <is>
          <t>Y</t>
        </is>
      </c>
      <c r="N576" s="77">
        <f>IF(ISNUMBER(timeseries!P24),timeseries!P24*(1-IF(ISNUMBER(stage4_uk!P48),stage4_uk!P48,0)),"")</f>
        <v/>
      </c>
      <c r="O576" s="77" t="inlineStr">
        <is>
          <t>GBP/MWh nominal</t>
        </is>
      </c>
    </row>
    <row r="577" ht="15" customHeight="1" s="78">
      <c r="A577" s="77" t="inlineStr">
        <is>
          <t>UK</t>
        </is>
      </c>
      <c r="B577" s="77" t="n">
        <v>2022</v>
      </c>
      <c r="C577" s="77" t="inlineStr">
        <is>
          <t>medium</t>
        </is>
      </c>
      <c r="D577" s="77" t="inlineStr">
        <is>
          <t>E2</t>
        </is>
      </c>
      <c r="E577" s="77" t="inlineStr">
        <is>
          <t>DUoS fixed charge (TCR Band-4 residual from 2022/23)</t>
        </is>
      </c>
      <c r="F577" s="77" t="inlineStr">
        <is>
          <t>3 Network</t>
        </is>
      </c>
      <c r="G577" s="77" t="inlineStr">
        <is>
          <t>distribution network charge</t>
        </is>
      </c>
      <c r="H577" s="77" t="inlineStr">
        <is>
          <t>i (post-NCC relief)</t>
        </is>
      </c>
      <c r="I577" s="77">
        <f>IF(ISNUMBER(N577),N577*fx_deflator!$I$17*fx_deflator!$M$17,"")</f>
        <v/>
      </c>
      <c r="J577" s="77" t="inlineStr">
        <is>
          <t>NPg (Yorkshire) LC14 CDCM statements; D28 reconstruction 2010-16</t>
        </is>
      </c>
      <c r="K577" s="77" t="inlineStr">
        <is>
          <t>stage4_uk r34-41</t>
        </is>
      </c>
      <c r="L577" s="77" t="inlineStr">
        <is>
          <t>2026-07-15</t>
        </is>
      </c>
      <c r="M577" s="77" t="inlineStr">
        <is>
          <t>Y</t>
        </is>
      </c>
      <c r="N577" s="77">
        <f>IF(ISNUMBER(timeseries!P25),timeseries!P25*(1-IF(ISNUMBER(stage4_uk!P48),stage4_uk!P48,0)),"")</f>
        <v/>
      </c>
      <c r="O577" s="77" t="inlineStr">
        <is>
          <t>GBP/MWh nominal</t>
        </is>
      </c>
    </row>
    <row r="578" ht="15" customHeight="1" s="78">
      <c r="A578" s="77" t="inlineStr">
        <is>
          <t>UK</t>
        </is>
      </c>
      <c r="B578" s="77" t="n">
        <v>2022</v>
      </c>
      <c r="C578" s="77" t="inlineStr">
        <is>
          <t>medium</t>
        </is>
      </c>
      <c r="D578" s="77" t="inlineStr">
        <is>
          <t>E2</t>
        </is>
      </c>
      <c r="E578" s="77" t="inlineStr">
        <is>
          <t>DUoS capacity charge</t>
        </is>
      </c>
      <c r="F578" s="77" t="inlineStr">
        <is>
          <t>3 Network</t>
        </is>
      </c>
      <c r="G578" s="77" t="inlineStr">
        <is>
          <t>distribution network charge</t>
        </is>
      </c>
      <c r="H578" s="77" t="inlineStr">
        <is>
          <t>i (post-NCC relief)</t>
        </is>
      </c>
      <c r="I578" s="77">
        <f>IF(ISNUMBER(N578),N578*fx_deflator!$I$17*fx_deflator!$M$17,"")</f>
        <v/>
      </c>
      <c r="J578" s="77" t="inlineStr">
        <is>
          <t>NPg (Yorkshire) LC14 CDCM statements; D28 reconstruction 2010-16</t>
        </is>
      </c>
      <c r="K578" s="77" t="inlineStr">
        <is>
          <t>stage4_uk r34-41</t>
        </is>
      </c>
      <c r="L578" s="77" t="inlineStr">
        <is>
          <t>2026-07-15</t>
        </is>
      </c>
      <c r="M578" s="77" t="inlineStr">
        <is>
          <t>Y</t>
        </is>
      </c>
      <c r="N578" s="77">
        <f>IF(ISNUMBER(timeseries!P26),timeseries!P26*(1-IF(ISNUMBER(stage4_uk!P48),stage4_uk!P48,0)),"")</f>
        <v/>
      </c>
      <c r="O578" s="77" t="inlineStr">
        <is>
          <t>GBP/MWh nominal</t>
        </is>
      </c>
    </row>
    <row r="579" ht="15" customHeight="1" s="78">
      <c r="A579" s="77" t="inlineStr">
        <is>
          <t>UK</t>
        </is>
      </c>
      <c r="B579" s="77" t="n">
        <v>2022</v>
      </c>
      <c r="C579" s="77" t="inlineStr">
        <is>
          <t>medium</t>
        </is>
      </c>
      <c r="D579" s="77" t="inlineStr">
        <is>
          <t>E2</t>
        </is>
      </c>
      <c r="E579" s="77" t="inlineStr">
        <is>
          <t>BSUoS (demand-only from 04/2023)</t>
        </is>
      </c>
      <c r="F579" s="77" t="inlineStr">
        <is>
          <t>4 System services &amp; balancing</t>
        </is>
      </c>
      <c r="G579" s="77" t="inlineStr">
        <is>
          <t>balancing charge</t>
        </is>
      </c>
      <c r="H579" s="77" t="inlineStr">
        <is>
          <t>i (post-NCC relief)</t>
        </is>
      </c>
      <c r="I579" s="77">
        <f>IF(ISNUMBER(N579),N579*fx_deflator!$I$17*fx_deflator!$M$17,"")</f>
        <v/>
      </c>
      <c r="J579" s="77" t="inlineStr">
        <is>
          <t>NESO bsuos-fixed-tariffs + HH RF settlement files (own annual avg 2010-22)</t>
        </is>
      </c>
      <c r="K579" s="77" t="inlineStr">
        <is>
          <t>stage4_uk r28-30</t>
        </is>
      </c>
      <c r="L579" s="77" t="inlineStr">
        <is>
          <t>2026-07-15</t>
        </is>
      </c>
      <c r="M579" s="77" t="inlineStr">
        <is>
          <t>Y</t>
        </is>
      </c>
      <c r="N579" s="77">
        <f>IF(ISNUMBER(timeseries!P8),timeseries!P8*(1-IF(ISNUMBER(stage4_uk!P48),stage4_uk!P48,0)),"")</f>
        <v/>
      </c>
      <c r="O579" s="77" t="inlineStr">
        <is>
          <t>GBP/MWh nominal</t>
        </is>
      </c>
    </row>
    <row r="580" ht="15" customHeight="1" s="78">
      <c r="A580" s="77" t="inlineStr">
        <is>
          <t>UK</t>
        </is>
      </c>
      <c r="B580" s="77" t="n">
        <v>2022</v>
      </c>
      <c r="C580" s="77" t="inlineStr">
        <is>
          <t>medium</t>
        </is>
      </c>
      <c r="D580" s="77" t="inlineStr">
        <is>
          <t>E2</t>
        </is>
      </c>
      <c r="E580" s="77" t="inlineStr">
        <is>
          <t>AAHEDC</t>
        </is>
      </c>
      <c r="F580" s="77" t="inlineStr">
        <is>
          <t>3 Network</t>
        </is>
      </c>
      <c r="G580" s="77" t="inlineStr">
        <is>
          <t>network levy (hydro benefit)</t>
        </is>
      </c>
      <c r="H580" s="77" t="inlineStr">
        <is>
          <t>ii (pays cross-subsidy to N Scotland consumers)</t>
        </is>
      </c>
      <c r="I580" s="77">
        <f>IF(ISNUMBER(N580),N580*fx_deflator!$I$17*fx_deflator!$M$17,"")</f>
        <v/>
      </c>
      <c r="J580" s="77" t="inlineStr">
        <is>
          <t>NG/ESO AAHEDC charging statements &amp; final tariff letters</t>
        </is>
      </c>
      <c r="K580" s="77" t="inlineStr">
        <is>
          <t>stage4_uk r31</t>
        </is>
      </c>
      <c r="L580" s="77" t="inlineStr">
        <is>
          <t>2026-07-15</t>
        </is>
      </c>
      <c r="M580" s="77" t="inlineStr">
        <is>
          <t>N</t>
        </is>
      </c>
      <c r="N580" s="136">
        <f>IF(ISNUMBER(timeseries!P9),timeseries!P9,"")</f>
        <v/>
      </c>
      <c r="O580" s="77" t="inlineStr">
        <is>
          <t>GBP/MWh nominal</t>
        </is>
      </c>
      <c r="P580" s="77" t="inlineStr">
        <is>
          <t>not in NCC base (conservative, unverified)</t>
        </is>
      </c>
    </row>
    <row r="581" ht="15" customHeight="1" s="78">
      <c r="A581" s="77" t="inlineStr">
        <is>
          <t>UK</t>
        </is>
      </c>
      <c r="B581" s="77" t="n">
        <v>2022</v>
      </c>
      <c r="C581" s="77" t="inlineStr">
        <is>
          <t>medium</t>
        </is>
      </c>
      <c r="D581" s="77" t="inlineStr">
        <is>
          <t>E2</t>
        </is>
      </c>
      <c r="E581" s="77" t="inlineStr">
        <is>
          <t>RO (buy-out x obligation)</t>
        </is>
      </c>
      <c r="F581" s="77" t="inlineStr">
        <is>
          <t>2 Gen capital recovery</t>
        </is>
      </c>
      <c r="G581" s="77" t="inlineStr">
        <is>
          <t>renewables levy</t>
        </is>
      </c>
      <c r="H581" s="77" t="inlineStr">
        <is>
          <t>i</t>
        </is>
      </c>
      <c r="I581" s="77">
        <f>IF(ISNUMBER(N581),N581*fx_deflator!$I$17*fx_deflator!$M$17,"")</f>
        <v/>
      </c>
      <c r="J581" s="77" t="inlineStr">
        <is>
          <t>Ofgem RO guidance OFG1164 Table 1.1 (buy-out x obligation)</t>
        </is>
      </c>
      <c r="K581" s="77" t="inlineStr">
        <is>
          <t>stage4_uk r12-14</t>
        </is>
      </c>
      <c r="L581" s="77" t="inlineStr">
        <is>
          <t>2026-07-15</t>
        </is>
      </c>
      <c r="M581" s="77" t="inlineStr">
        <is>
          <t>Y</t>
        </is>
      </c>
      <c r="N581" s="77">
        <f>IF(ISNUMBER(timeseries!P10),timeseries!P10*(1-IF(ISNUMBER(stage4_uk!P45),stage4_uk!P45,0)),"")</f>
        <v/>
      </c>
      <c r="O581" s="77" t="inlineStr">
        <is>
          <t>GBP/MWh nominal</t>
        </is>
      </c>
    </row>
    <row r="582" ht="15" customHeight="1" s="78">
      <c r="A582" s="77" t="inlineStr">
        <is>
          <t>UK</t>
        </is>
      </c>
      <c r="B582" s="77" t="n">
        <v>2022</v>
      </c>
      <c r="C582" s="77" t="inlineStr">
        <is>
          <t>medium</t>
        </is>
      </c>
      <c r="D582" s="77" t="inlineStr">
        <is>
          <t>E2</t>
        </is>
      </c>
      <c r="E582" s="77" t="inlineStr">
        <is>
          <t>CfD Interim Levy Rate (annual avg)</t>
        </is>
      </c>
      <c r="F582" s="77" t="inlineStr">
        <is>
          <t>2 Gen capital recovery</t>
        </is>
      </c>
      <c r="G582" s="77" t="inlineStr">
        <is>
          <t>renewables levy</t>
        </is>
      </c>
      <c r="H582" s="77" t="inlineStr">
        <is>
          <t>i</t>
        </is>
      </c>
      <c r="I582" s="77">
        <f>IF(ISNUMBER(N582),N582*fx_deflator!$I$17*fx_deflator!$M$17,"")</f>
        <v/>
      </c>
      <c r="J582" s="77" t="inlineStr">
        <is>
          <t>LCCC Actual ILR Income dataset (quarterly avg)</t>
        </is>
      </c>
      <c r="K582" s="77" t="inlineStr">
        <is>
          <t>stage4_uk r15-19</t>
        </is>
      </c>
      <c r="L582" s="77" t="inlineStr">
        <is>
          <t>2026-07-15</t>
        </is>
      </c>
      <c r="M582" s="77" t="inlineStr">
        <is>
          <t>Y</t>
        </is>
      </c>
      <c r="N582" s="77">
        <f>IF(ISNUMBER(timeseries!P11),timeseries!P11*(1-IF(ISNUMBER(stage4_uk!P44),stage4_uk!P44,0)),"")</f>
        <v/>
      </c>
      <c r="O582" s="77" t="inlineStr">
        <is>
          <t>GBP/MWh nominal</t>
        </is>
      </c>
    </row>
    <row r="583" ht="15" customHeight="1" s="78">
      <c r="A583" s="77" t="inlineStr">
        <is>
          <t>UK</t>
        </is>
      </c>
      <c r="B583" s="77" t="n">
        <v>2022</v>
      </c>
      <c r="C583" s="77" t="inlineStr">
        <is>
          <t>medium</t>
        </is>
      </c>
      <c r="D583" s="77" t="inlineStr">
        <is>
          <t>E2</t>
        </is>
      </c>
      <c r="E583" s="77" t="inlineStr">
        <is>
          <t>FiT levelisation</t>
        </is>
      </c>
      <c r="F583" s="77" t="inlineStr">
        <is>
          <t>2 Gen capital recovery</t>
        </is>
      </c>
      <c r="G583" s="77" t="inlineStr">
        <is>
          <t>renewables levy</t>
        </is>
      </c>
      <c r="H583" s="77" t="inlineStr">
        <is>
          <t>i</t>
        </is>
      </c>
      <c r="I583" s="77">
        <f>IF(ISNUMBER(N583),N583*fx_deflator!$I$17*fx_deflator!$M$17,"")</f>
        <v/>
      </c>
      <c r="J583" s="77" t="inlineStr">
        <is>
          <t>Ofgem FIT Annual Reports SY1-SY15; D27 for 2010-14</t>
        </is>
      </c>
      <c r="K583" s="77" t="inlineStr">
        <is>
          <t>stage4_uk r20</t>
        </is>
      </c>
      <c r="L583" s="77" t="inlineStr">
        <is>
          <t>2026-07-15</t>
        </is>
      </c>
      <c r="M583" s="77" t="inlineStr">
        <is>
          <t>Y</t>
        </is>
      </c>
      <c r="N583" s="77">
        <f>IF(ISNUMBER(timeseries!P12),timeseries!P12*(1-IF(ISNUMBER(stage4_uk!P46),stage4_uk!P46,0)),"")</f>
        <v/>
      </c>
      <c r="O583" s="77" t="inlineStr">
        <is>
          <t>GBP/MWh nominal</t>
        </is>
      </c>
      <c r="P583" s="77" t="inlineStr">
        <is>
          <t>2025 unpublished (Q32) — row absent, gap stated</t>
        </is>
      </c>
    </row>
    <row r="584" ht="15" customHeight="1" s="78">
      <c r="A584" s="77" t="inlineStr">
        <is>
          <t>UK</t>
        </is>
      </c>
      <c r="B584" s="77" t="n">
        <v>2022</v>
      </c>
      <c r="C584" s="77" t="inlineStr">
        <is>
          <t>medium</t>
        </is>
      </c>
      <c r="D584" s="77" t="inlineStr">
        <is>
          <t>E2</t>
        </is>
      </c>
      <c r="E584" s="77" t="inlineStr">
        <is>
          <t>Capacity Market (derived per-MWh)</t>
        </is>
      </c>
      <c r="F584" s="77" t="inlineStr">
        <is>
          <t>2 Gen capital recovery</t>
        </is>
      </c>
      <c r="G584" s="77" t="inlineStr">
        <is>
          <t>capacity market levy</t>
        </is>
      </c>
      <c r="H584" s="77" t="inlineStr">
        <is>
          <t>i</t>
        </is>
      </c>
      <c r="I584" s="77">
        <f>IF(ISNUMBER(N584),N584*fx_deflator!$I$17*fx_deflator!$M$17,"")</f>
        <v/>
      </c>
      <c r="J584" s="77" t="inlineStr">
        <is>
          <t>EMRS Key Figures for Payments (derived per-MWh, D30)</t>
        </is>
      </c>
      <c r="K584" s="77" t="inlineStr">
        <is>
          <t>stage4_uk r21</t>
        </is>
      </c>
      <c r="L584" s="77" t="inlineStr">
        <is>
          <t>2026-07-15</t>
        </is>
      </c>
      <c r="M584" s="77" t="inlineStr">
        <is>
          <t>Y</t>
        </is>
      </c>
      <c r="N584" s="77">
        <f>IF(ISNUMBER(timeseries!P13),timeseries!P13*(1-IF(ISNUMBER(stage4_uk!P47),stage4_uk!P47,0)),"")</f>
        <v/>
      </c>
      <c r="O584" s="77" t="inlineStr">
        <is>
          <t>GBP/MWh nominal</t>
        </is>
      </c>
      <c r="P584" s="77" t="inlineStr">
        <is>
          <t>function 2 per D9</t>
        </is>
      </c>
    </row>
    <row r="585" ht="15" customHeight="1" s="78">
      <c r="A585" s="77" t="inlineStr">
        <is>
          <t>UK</t>
        </is>
      </c>
      <c r="B585" s="77" t="n">
        <v>2022</v>
      </c>
      <c r="C585" s="77" t="inlineStr">
        <is>
          <t>medium</t>
        </is>
      </c>
      <c r="D585" s="77" t="inlineStr">
        <is>
          <t>E2</t>
        </is>
      </c>
      <c r="E585" s="77" t="inlineStr">
        <is>
          <t>CCL — EXEMPT for the relieved case (mineralogical/metallurgical, HMRC CCL1/3 s3.14; D71)</t>
        </is>
      </c>
      <c r="F585" s="77" t="inlineStr">
        <is>
          <t>5 General taxation &amp; levies</t>
        </is>
      </c>
      <c r="G585" s="77" t="inlineStr">
        <is>
          <t>climate levy (tax)</t>
        </is>
      </c>
      <c r="H585" s="77" t="inlineStr">
        <is>
          <t>i</t>
        </is>
      </c>
      <c r="I585" s="77">
        <f>IF(ISNUMBER(N585),N585*fx_deflator!$I$17*fx_deflator!$M$17,"")</f>
        <v/>
      </c>
      <c r="J585" s="77" t="inlineStr">
        <is>
          <t>HMRC Excise Notice CCL1/3 s3.14 + Annex A (exemption from 01.04.2014). S209</t>
        </is>
      </c>
      <c r="K585" s="77" t="inlineStr">
        <is>
          <t>stage4_uk r22</t>
        </is>
      </c>
      <c r="L585" s="77" t="inlineStr">
        <is>
          <t>2026-07-15</t>
        </is>
      </c>
      <c r="M585" s="77" t="inlineStr">
        <is>
          <t>N</t>
        </is>
      </c>
      <c r="N585" s="136">
        <f>IF(ISNUMBER(timeseries!P14),0,"")</f>
        <v/>
      </c>
      <c r="O585" s="77" t="inlineStr">
        <is>
          <t>GBP/MWh nominal</t>
        </is>
      </c>
    </row>
    <row r="586" ht="15" customHeight="1" s="78">
      <c r="A586" s="77" t="inlineStr">
        <is>
          <t>UK</t>
        </is>
      </c>
      <c r="B586" s="77" t="n">
        <v>2023</v>
      </c>
      <c r="C586" s="77" t="inlineStr">
        <is>
          <t>medium</t>
        </is>
      </c>
      <c r="D586" s="77" t="inlineStr">
        <is>
          <t>E2</t>
        </is>
      </c>
      <c r="E586" s="77" t="inlineStr">
        <is>
          <t>Wholesale (rolling year-ahead baseload; DA proxy &lt;=2021)</t>
        </is>
      </c>
      <c r="F586" s="77" t="inlineStr">
        <is>
          <t>1 Commodity</t>
        </is>
      </c>
      <c r="G586" s="77" t="inlineStr">
        <is>
          <t>wholesale market</t>
        </is>
      </c>
      <c r="H586" s="77" t="inlineStr">
        <is>
          <t>i</t>
        </is>
      </c>
      <c r="I586" s="77">
        <f>IF(ISNUMBER(N586),N586*fx_deflator!$I$18*fx_deflator!$M$18,"")</f>
        <v/>
      </c>
      <c r="J586" s="77" t="inlineStr">
        <is>
          <t>Ofgem data portal — DA baseload monthly avg (proxy &lt;=2021, D22); Forward Delivery Contracts (D21)</t>
        </is>
      </c>
      <c r="K586" s="77" t="inlineStr">
        <is>
          <t>stage4_uk r7-9</t>
        </is>
      </c>
      <c r="L586" s="77" t="inlineStr">
        <is>
          <t>2026-07-15</t>
        </is>
      </c>
      <c r="M586" s="77" t="inlineStr">
        <is>
          <t>Y</t>
        </is>
      </c>
      <c r="N586" s="136">
        <f>IF(ISNUMBER(timeseries!Q22),timeseries!Q22,"")</f>
        <v/>
      </c>
      <c r="O586" s="77" t="inlineStr">
        <is>
          <t>GBP/MWh nominal</t>
        </is>
      </c>
      <c r="P586" s="77" t="inlineStr">
        <is>
          <t>identical E1/E2; embedded carbon memo inside this item</t>
        </is>
      </c>
    </row>
    <row r="587" ht="15" customHeight="1" s="78">
      <c r="A587" s="77" t="inlineStr">
        <is>
          <t>UK</t>
        </is>
      </c>
      <c r="B587" s="77" t="n">
        <v>2023</v>
      </c>
      <c r="C587" s="77" t="inlineStr">
        <is>
          <t>medium</t>
        </is>
      </c>
      <c r="D587" s="77" t="inlineStr">
        <is>
          <t>E2</t>
        </is>
      </c>
      <c r="E587" s="77" t="inlineStr">
        <is>
          <t>TNUoS demand (zone 5; TCR banded residual from 2023)</t>
        </is>
      </c>
      <c r="F587" s="77" t="inlineStr">
        <is>
          <t>3 Network</t>
        </is>
      </c>
      <c r="G587" s="77" t="inlineStr">
        <is>
          <t>transmission network charge</t>
        </is>
      </c>
      <c r="H587" s="77" t="inlineStr">
        <is>
          <t>i (post-NCC relief; relief funded via ESL = ii instrument)</t>
        </is>
      </c>
      <c r="I587" s="77">
        <f>IF(ISNUMBER(N587),N587*fx_deflator!$I$18*fx_deflator!$M$18,"")</f>
        <v/>
      </c>
      <c r="J587" s="77" t="inlineStr">
        <is>
          <t>NESO TNUoS tariff documents (compendium doc 50736; Final TNUoS 2023/24-2026/27 Table 10)</t>
        </is>
      </c>
      <c r="K587" s="77" t="inlineStr">
        <is>
          <t>stage4_uk r25-27</t>
        </is>
      </c>
      <c r="L587" s="77" t="inlineStr">
        <is>
          <t>2026-07-15</t>
        </is>
      </c>
      <c r="M587" s="77" t="inlineStr">
        <is>
          <t>Y</t>
        </is>
      </c>
      <c r="N587" s="77">
        <f>IF(ISNUMBER(timeseries!Q23),timeseries!Q23*(1-IF(ISNUMBER(stage4_uk!Q48),stage4_uk!Q48,0)),"")</f>
        <v/>
      </c>
      <c r="O587" s="77" t="inlineStr">
        <is>
          <t>GBP/MWh nominal</t>
        </is>
      </c>
    </row>
    <row r="588" ht="15" customHeight="1" s="78">
      <c r="A588" s="77" t="inlineStr">
        <is>
          <t>UK</t>
        </is>
      </c>
      <c r="B588" s="77" t="n">
        <v>2023</v>
      </c>
      <c r="C588" s="77" t="inlineStr">
        <is>
          <t>medium</t>
        </is>
      </c>
      <c r="D588" s="77" t="inlineStr">
        <is>
          <t>E2</t>
        </is>
      </c>
      <c r="E588" s="77" t="inlineStr">
        <is>
          <t>DUoS unit rates (NPg CDCM red/amber/green, uniform-operation weights)</t>
        </is>
      </c>
      <c r="F588" s="77" t="inlineStr">
        <is>
          <t>3 Network</t>
        </is>
      </c>
      <c r="G588" s="77" t="inlineStr">
        <is>
          <t>distribution network charge</t>
        </is>
      </c>
      <c r="H588" s="77" t="inlineStr">
        <is>
          <t>i (post-NCC relief)</t>
        </is>
      </c>
      <c r="I588" s="77">
        <f>IF(ISNUMBER(N588),N588*fx_deflator!$I$18*fx_deflator!$M$18,"")</f>
        <v/>
      </c>
      <c r="J588" s="77" t="inlineStr">
        <is>
          <t>NPg (Yorkshire) LC14 CDCM statements; D28 reconstruction 2010-16</t>
        </is>
      </c>
      <c r="K588" s="77" t="inlineStr">
        <is>
          <t>stage4_uk r34-41</t>
        </is>
      </c>
      <c r="L588" s="77" t="inlineStr">
        <is>
          <t>2026-07-15</t>
        </is>
      </c>
      <c r="M588" s="77" t="inlineStr">
        <is>
          <t>Y</t>
        </is>
      </c>
      <c r="N588" s="77">
        <f>IF(ISNUMBER(timeseries!Q24),timeseries!Q24*(1-IF(ISNUMBER(stage4_uk!Q48),stage4_uk!Q48,0)),"")</f>
        <v/>
      </c>
      <c r="O588" s="77" t="inlineStr">
        <is>
          <t>GBP/MWh nominal</t>
        </is>
      </c>
    </row>
    <row r="589" ht="15" customHeight="1" s="78">
      <c r="A589" s="77" t="inlineStr">
        <is>
          <t>UK</t>
        </is>
      </c>
      <c r="B589" s="77" t="n">
        <v>2023</v>
      </c>
      <c r="C589" s="77" t="inlineStr">
        <is>
          <t>medium</t>
        </is>
      </c>
      <c r="D589" s="77" t="inlineStr">
        <is>
          <t>E2</t>
        </is>
      </c>
      <c r="E589" s="77" t="inlineStr">
        <is>
          <t>DUoS fixed charge (TCR Band-4 residual from 2022/23)</t>
        </is>
      </c>
      <c r="F589" s="77" t="inlineStr">
        <is>
          <t>3 Network</t>
        </is>
      </c>
      <c r="G589" s="77" t="inlineStr">
        <is>
          <t>distribution network charge</t>
        </is>
      </c>
      <c r="H589" s="77" t="inlineStr">
        <is>
          <t>i (post-NCC relief)</t>
        </is>
      </c>
      <c r="I589" s="77">
        <f>IF(ISNUMBER(N589),N589*fx_deflator!$I$18*fx_deflator!$M$18,"")</f>
        <v/>
      </c>
      <c r="J589" s="77" t="inlineStr">
        <is>
          <t>NPg (Yorkshire) LC14 CDCM statements; D28 reconstruction 2010-16</t>
        </is>
      </c>
      <c r="K589" s="77" t="inlineStr">
        <is>
          <t>stage4_uk r34-41</t>
        </is>
      </c>
      <c r="L589" s="77" t="inlineStr">
        <is>
          <t>2026-07-15</t>
        </is>
      </c>
      <c r="M589" s="77" t="inlineStr">
        <is>
          <t>Y</t>
        </is>
      </c>
      <c r="N589" s="77">
        <f>IF(ISNUMBER(timeseries!Q25),timeseries!Q25*(1-IF(ISNUMBER(stage4_uk!Q48),stage4_uk!Q48,0)),"")</f>
        <v/>
      </c>
      <c r="O589" s="77" t="inlineStr">
        <is>
          <t>GBP/MWh nominal</t>
        </is>
      </c>
    </row>
    <row r="590" ht="15" customHeight="1" s="78">
      <c r="A590" s="77" t="inlineStr">
        <is>
          <t>UK</t>
        </is>
      </c>
      <c r="B590" s="77" t="n">
        <v>2023</v>
      </c>
      <c r="C590" s="77" t="inlineStr">
        <is>
          <t>medium</t>
        </is>
      </c>
      <c r="D590" s="77" t="inlineStr">
        <is>
          <t>E2</t>
        </is>
      </c>
      <c r="E590" s="77" t="inlineStr">
        <is>
          <t>DUoS capacity charge</t>
        </is>
      </c>
      <c r="F590" s="77" t="inlineStr">
        <is>
          <t>3 Network</t>
        </is>
      </c>
      <c r="G590" s="77" t="inlineStr">
        <is>
          <t>distribution network charge</t>
        </is>
      </c>
      <c r="H590" s="77" t="inlineStr">
        <is>
          <t>i (post-NCC relief)</t>
        </is>
      </c>
      <c r="I590" s="77">
        <f>IF(ISNUMBER(N590),N590*fx_deflator!$I$18*fx_deflator!$M$18,"")</f>
        <v/>
      </c>
      <c r="J590" s="77" t="inlineStr">
        <is>
          <t>NPg (Yorkshire) LC14 CDCM statements; D28 reconstruction 2010-16</t>
        </is>
      </c>
      <c r="K590" s="77" t="inlineStr">
        <is>
          <t>stage4_uk r34-41</t>
        </is>
      </c>
      <c r="L590" s="77" t="inlineStr">
        <is>
          <t>2026-07-15</t>
        </is>
      </c>
      <c r="M590" s="77" t="inlineStr">
        <is>
          <t>Y</t>
        </is>
      </c>
      <c r="N590" s="77">
        <f>IF(ISNUMBER(timeseries!Q26),timeseries!Q26*(1-IF(ISNUMBER(stage4_uk!Q48),stage4_uk!Q48,0)),"")</f>
        <v/>
      </c>
      <c r="O590" s="77" t="inlineStr">
        <is>
          <t>GBP/MWh nominal</t>
        </is>
      </c>
    </row>
    <row r="591" ht="15" customHeight="1" s="78">
      <c r="A591" s="77" t="inlineStr">
        <is>
          <t>UK</t>
        </is>
      </c>
      <c r="B591" s="77" t="n">
        <v>2023</v>
      </c>
      <c r="C591" s="77" t="inlineStr">
        <is>
          <t>medium</t>
        </is>
      </c>
      <c r="D591" s="77" t="inlineStr">
        <is>
          <t>E2</t>
        </is>
      </c>
      <c r="E591" s="77" t="inlineStr">
        <is>
          <t>BSUoS (demand-only from 04/2023)</t>
        </is>
      </c>
      <c r="F591" s="77" t="inlineStr">
        <is>
          <t>4 System services &amp; balancing</t>
        </is>
      </c>
      <c r="G591" s="77" t="inlineStr">
        <is>
          <t>balancing charge</t>
        </is>
      </c>
      <c r="H591" s="77" t="inlineStr">
        <is>
          <t>i (post-NCC relief)</t>
        </is>
      </c>
      <c r="I591" s="77">
        <f>IF(ISNUMBER(N591),N591*fx_deflator!$I$18*fx_deflator!$M$18,"")</f>
        <v/>
      </c>
      <c r="J591" s="77" t="inlineStr">
        <is>
          <t>NESO bsuos-fixed-tariffs + HH RF settlement files (own annual avg 2010-22)</t>
        </is>
      </c>
      <c r="K591" s="77" t="inlineStr">
        <is>
          <t>stage4_uk r28-30</t>
        </is>
      </c>
      <c r="L591" s="77" t="inlineStr">
        <is>
          <t>2026-07-15</t>
        </is>
      </c>
      <c r="M591" s="77" t="inlineStr">
        <is>
          <t>Y</t>
        </is>
      </c>
      <c r="N591" s="77">
        <f>IF(ISNUMBER(timeseries!Q8),timeseries!Q8*(1-IF(ISNUMBER(stage4_uk!Q48),stage4_uk!Q48,0)),"")</f>
        <v/>
      </c>
      <c r="O591" s="77" t="inlineStr">
        <is>
          <t>GBP/MWh nominal</t>
        </is>
      </c>
    </row>
    <row r="592" ht="15" customHeight="1" s="78">
      <c r="A592" s="77" t="inlineStr">
        <is>
          <t>UK</t>
        </is>
      </c>
      <c r="B592" s="77" t="n">
        <v>2023</v>
      </c>
      <c r="C592" s="77" t="inlineStr">
        <is>
          <t>medium</t>
        </is>
      </c>
      <c r="D592" s="77" t="inlineStr">
        <is>
          <t>E2</t>
        </is>
      </c>
      <c r="E592" s="77" t="inlineStr">
        <is>
          <t>AAHEDC</t>
        </is>
      </c>
      <c r="F592" s="77" t="inlineStr">
        <is>
          <t>3 Network</t>
        </is>
      </c>
      <c r="G592" s="77" t="inlineStr">
        <is>
          <t>network levy (hydro benefit)</t>
        </is>
      </c>
      <c r="H592" s="77" t="inlineStr">
        <is>
          <t>ii (pays cross-subsidy to N Scotland consumers)</t>
        </is>
      </c>
      <c r="I592" s="77">
        <f>IF(ISNUMBER(N592),N592*fx_deflator!$I$18*fx_deflator!$M$18,"")</f>
        <v/>
      </c>
      <c r="J592" s="77" t="inlineStr">
        <is>
          <t>NG/ESO AAHEDC charging statements &amp; final tariff letters</t>
        </is>
      </c>
      <c r="K592" s="77" t="inlineStr">
        <is>
          <t>stage4_uk r31</t>
        </is>
      </c>
      <c r="L592" s="77" t="inlineStr">
        <is>
          <t>2026-07-15</t>
        </is>
      </c>
      <c r="M592" s="77" t="inlineStr">
        <is>
          <t>N</t>
        </is>
      </c>
      <c r="N592" s="136">
        <f>IF(ISNUMBER(timeseries!Q9),timeseries!Q9,"")</f>
        <v/>
      </c>
      <c r="O592" s="77" t="inlineStr">
        <is>
          <t>GBP/MWh nominal</t>
        </is>
      </c>
      <c r="P592" s="77" t="inlineStr">
        <is>
          <t>not in NCC base (conservative, unverified)</t>
        </is>
      </c>
    </row>
    <row r="593" ht="15" customHeight="1" s="78">
      <c r="A593" s="77" t="inlineStr">
        <is>
          <t>UK</t>
        </is>
      </c>
      <c r="B593" s="77" t="n">
        <v>2023</v>
      </c>
      <c r="C593" s="77" t="inlineStr">
        <is>
          <t>medium</t>
        </is>
      </c>
      <c r="D593" s="77" t="inlineStr">
        <is>
          <t>E2</t>
        </is>
      </c>
      <c r="E593" s="77" t="inlineStr">
        <is>
          <t>RO (buy-out x obligation)</t>
        </is>
      </c>
      <c r="F593" s="77" t="inlineStr">
        <is>
          <t>2 Gen capital recovery</t>
        </is>
      </c>
      <c r="G593" s="77" t="inlineStr">
        <is>
          <t>renewables levy</t>
        </is>
      </c>
      <c r="H593" s="77" t="inlineStr">
        <is>
          <t>i</t>
        </is>
      </c>
      <c r="I593" s="77">
        <f>IF(ISNUMBER(N593),N593*fx_deflator!$I$18*fx_deflator!$M$18,"")</f>
        <v/>
      </c>
      <c r="J593" s="77" t="inlineStr">
        <is>
          <t>Ofgem RO guidance OFG1164 Table 1.1 (buy-out x obligation)</t>
        </is>
      </c>
      <c r="K593" s="77" t="inlineStr">
        <is>
          <t>stage4_uk r12-14</t>
        </is>
      </c>
      <c r="L593" s="77" t="inlineStr">
        <is>
          <t>2026-07-15</t>
        </is>
      </c>
      <c r="M593" s="77" t="inlineStr">
        <is>
          <t>Y</t>
        </is>
      </c>
      <c r="N593" s="77">
        <f>IF(ISNUMBER(timeseries!Q10),timeseries!Q10*(1-IF(ISNUMBER(stage4_uk!Q45),stage4_uk!Q45,0)),"")</f>
        <v/>
      </c>
      <c r="O593" s="77" t="inlineStr">
        <is>
          <t>GBP/MWh nominal</t>
        </is>
      </c>
    </row>
    <row r="594" ht="15" customHeight="1" s="78">
      <c r="A594" s="77" t="inlineStr">
        <is>
          <t>UK</t>
        </is>
      </c>
      <c r="B594" s="77" t="n">
        <v>2023</v>
      </c>
      <c r="C594" s="77" t="inlineStr">
        <is>
          <t>medium</t>
        </is>
      </c>
      <c r="D594" s="77" t="inlineStr">
        <is>
          <t>E2</t>
        </is>
      </c>
      <c r="E594" s="77" t="inlineStr">
        <is>
          <t>CfD Interim Levy Rate (annual avg)</t>
        </is>
      </c>
      <c r="F594" s="77" t="inlineStr">
        <is>
          <t>2 Gen capital recovery</t>
        </is>
      </c>
      <c r="G594" s="77" t="inlineStr">
        <is>
          <t>renewables levy</t>
        </is>
      </c>
      <c r="H594" s="77" t="inlineStr">
        <is>
          <t>i</t>
        </is>
      </c>
      <c r="I594" s="77">
        <f>IF(ISNUMBER(N594),N594*fx_deflator!$I$18*fx_deflator!$M$18,"")</f>
        <v/>
      </c>
      <c r="J594" s="77" t="inlineStr">
        <is>
          <t>LCCC Actual ILR Income dataset (quarterly avg)</t>
        </is>
      </c>
      <c r="K594" s="77" t="inlineStr">
        <is>
          <t>stage4_uk r15-19</t>
        </is>
      </c>
      <c r="L594" s="77" t="inlineStr">
        <is>
          <t>2026-07-15</t>
        </is>
      </c>
      <c r="M594" s="77" t="inlineStr">
        <is>
          <t>Y</t>
        </is>
      </c>
      <c r="N594" s="77">
        <f>IF(ISNUMBER(timeseries!Q11),timeseries!Q11*(1-IF(ISNUMBER(stage4_uk!Q44),stage4_uk!Q44,0)),"")</f>
        <v/>
      </c>
      <c r="O594" s="77" t="inlineStr">
        <is>
          <t>GBP/MWh nominal</t>
        </is>
      </c>
    </row>
    <row r="595" ht="15" customHeight="1" s="78">
      <c r="A595" s="77" t="inlineStr">
        <is>
          <t>UK</t>
        </is>
      </c>
      <c r="B595" s="77" t="n">
        <v>2023</v>
      </c>
      <c r="C595" s="77" t="inlineStr">
        <is>
          <t>medium</t>
        </is>
      </c>
      <c r="D595" s="77" t="inlineStr">
        <is>
          <t>E2</t>
        </is>
      </c>
      <c r="E595" s="77" t="inlineStr">
        <is>
          <t>FiT levelisation</t>
        </is>
      </c>
      <c r="F595" s="77" t="inlineStr">
        <is>
          <t>2 Gen capital recovery</t>
        </is>
      </c>
      <c r="G595" s="77" t="inlineStr">
        <is>
          <t>renewables levy</t>
        </is>
      </c>
      <c r="H595" s="77" t="inlineStr">
        <is>
          <t>i</t>
        </is>
      </c>
      <c r="I595" s="77">
        <f>IF(ISNUMBER(N595),N595*fx_deflator!$I$18*fx_deflator!$M$18,"")</f>
        <v/>
      </c>
      <c r="J595" s="77" t="inlineStr">
        <is>
          <t>Ofgem FIT Annual Reports SY1-SY15; D27 for 2010-14</t>
        </is>
      </c>
      <c r="K595" s="77" t="inlineStr">
        <is>
          <t>stage4_uk r20</t>
        </is>
      </c>
      <c r="L595" s="77" t="inlineStr">
        <is>
          <t>2026-07-15</t>
        </is>
      </c>
      <c r="M595" s="77" t="inlineStr">
        <is>
          <t>Y</t>
        </is>
      </c>
      <c r="N595" s="77">
        <f>IF(ISNUMBER(timeseries!Q12),timeseries!Q12*(1-IF(ISNUMBER(stage4_uk!Q46),stage4_uk!Q46,0)),"")</f>
        <v/>
      </c>
      <c r="O595" s="77" t="inlineStr">
        <is>
          <t>GBP/MWh nominal</t>
        </is>
      </c>
      <c r="P595" s="77" t="inlineStr">
        <is>
          <t>2025 unpublished (Q32) — row absent, gap stated</t>
        </is>
      </c>
    </row>
    <row r="596" ht="15" customHeight="1" s="78">
      <c r="A596" s="77" t="inlineStr">
        <is>
          <t>UK</t>
        </is>
      </c>
      <c r="B596" s="77" t="n">
        <v>2023</v>
      </c>
      <c r="C596" s="77" t="inlineStr">
        <is>
          <t>medium</t>
        </is>
      </c>
      <c r="D596" s="77" t="inlineStr">
        <is>
          <t>E2</t>
        </is>
      </c>
      <c r="E596" s="77" t="inlineStr">
        <is>
          <t>Capacity Market (derived per-MWh)</t>
        </is>
      </c>
      <c r="F596" s="77" t="inlineStr">
        <is>
          <t>2 Gen capital recovery</t>
        </is>
      </c>
      <c r="G596" s="77" t="inlineStr">
        <is>
          <t>capacity market levy</t>
        </is>
      </c>
      <c r="H596" s="77" t="inlineStr">
        <is>
          <t>i</t>
        </is>
      </c>
      <c r="I596" s="77">
        <f>IF(ISNUMBER(N596),N596*fx_deflator!$I$18*fx_deflator!$M$18,"")</f>
        <v/>
      </c>
      <c r="J596" s="77" t="inlineStr">
        <is>
          <t>EMRS Key Figures for Payments (derived per-MWh, D30)</t>
        </is>
      </c>
      <c r="K596" s="77" t="inlineStr">
        <is>
          <t>stage4_uk r21</t>
        </is>
      </c>
      <c r="L596" s="77" t="inlineStr">
        <is>
          <t>2026-07-15</t>
        </is>
      </c>
      <c r="M596" s="77" t="inlineStr">
        <is>
          <t>Y</t>
        </is>
      </c>
      <c r="N596" s="77">
        <f>IF(ISNUMBER(timeseries!Q13),timeseries!Q13*(1-IF(ISNUMBER(stage4_uk!Q47),stage4_uk!Q47,0)),"")</f>
        <v/>
      </c>
      <c r="O596" s="77" t="inlineStr">
        <is>
          <t>GBP/MWh nominal</t>
        </is>
      </c>
      <c r="P596" s="77" t="inlineStr">
        <is>
          <t>function 2 per D9</t>
        </is>
      </c>
    </row>
    <row r="597" ht="15" customHeight="1" s="78">
      <c r="A597" s="77" t="inlineStr">
        <is>
          <t>UK</t>
        </is>
      </c>
      <c r="B597" s="77" t="n">
        <v>2023</v>
      </c>
      <c r="C597" s="77" t="inlineStr">
        <is>
          <t>medium</t>
        </is>
      </c>
      <c r="D597" s="77" t="inlineStr">
        <is>
          <t>E2</t>
        </is>
      </c>
      <c r="E597" s="77" t="inlineStr">
        <is>
          <t>CCL — EXEMPT for the relieved case (mineralogical/metallurgical, HMRC CCL1/3 s3.14; D71)</t>
        </is>
      </c>
      <c r="F597" s="77" t="inlineStr">
        <is>
          <t>5 General taxation &amp; levies</t>
        </is>
      </c>
      <c r="G597" s="77" t="inlineStr">
        <is>
          <t>climate levy (tax)</t>
        </is>
      </c>
      <c r="H597" s="77" t="inlineStr">
        <is>
          <t>i</t>
        </is>
      </c>
      <c r="I597" s="77">
        <f>IF(ISNUMBER(N597),N597*fx_deflator!$I$18*fx_deflator!$M$18,"")</f>
        <v/>
      </c>
      <c r="J597" s="77" t="inlineStr">
        <is>
          <t>HMRC Excise Notice CCL1/3 s3.14 + Annex A (exemption from 01.04.2014). S209</t>
        </is>
      </c>
      <c r="K597" s="77" t="inlineStr">
        <is>
          <t>stage4_uk r22</t>
        </is>
      </c>
      <c r="L597" s="77" t="inlineStr">
        <is>
          <t>2026-07-15</t>
        </is>
      </c>
      <c r="M597" s="77" t="inlineStr">
        <is>
          <t>N</t>
        </is>
      </c>
      <c r="N597" s="136">
        <f>IF(ISNUMBER(timeseries!Q14),0,"")</f>
        <v/>
      </c>
      <c r="O597" s="77" t="inlineStr">
        <is>
          <t>GBP/MWh nominal</t>
        </is>
      </c>
    </row>
    <row r="598" ht="15" customHeight="1" s="78">
      <c r="A598" s="77" t="inlineStr">
        <is>
          <t>UK</t>
        </is>
      </c>
      <c r="B598" s="77" t="n">
        <v>2024</v>
      </c>
      <c r="C598" s="77" t="inlineStr">
        <is>
          <t>medium</t>
        </is>
      </c>
      <c r="D598" s="77" t="inlineStr">
        <is>
          <t>E2</t>
        </is>
      </c>
      <c r="E598" s="77" t="inlineStr">
        <is>
          <t>Wholesale (rolling year-ahead baseload; DA proxy &lt;=2021)</t>
        </is>
      </c>
      <c r="F598" s="77" t="inlineStr">
        <is>
          <t>1 Commodity</t>
        </is>
      </c>
      <c r="G598" s="77" t="inlineStr">
        <is>
          <t>wholesale market</t>
        </is>
      </c>
      <c r="H598" s="77" t="inlineStr">
        <is>
          <t>i</t>
        </is>
      </c>
      <c r="I598" s="77">
        <f>IF(ISNUMBER(N598),N598*fx_deflator!$I$19*fx_deflator!$M$19,"")</f>
        <v/>
      </c>
      <c r="J598" s="77" t="inlineStr">
        <is>
          <t>Ofgem data portal — DA baseload monthly avg (proxy &lt;=2021, D22); Forward Delivery Contracts (D21)</t>
        </is>
      </c>
      <c r="K598" s="77" t="inlineStr">
        <is>
          <t>stage4_uk r7-9</t>
        </is>
      </c>
      <c r="L598" s="77" t="inlineStr">
        <is>
          <t>2026-07-15</t>
        </is>
      </c>
      <c r="M598" s="77" t="inlineStr">
        <is>
          <t>Y</t>
        </is>
      </c>
      <c r="N598" s="136">
        <f>IF(ISNUMBER(timeseries!R22),timeseries!R22,"")</f>
        <v/>
      </c>
      <c r="O598" s="77" t="inlineStr">
        <is>
          <t>GBP/MWh nominal</t>
        </is>
      </c>
      <c r="P598" s="77" t="inlineStr">
        <is>
          <t>identical E1/E2; embedded carbon memo inside this item</t>
        </is>
      </c>
    </row>
    <row r="599" ht="15" customHeight="1" s="78">
      <c r="A599" s="77" t="inlineStr">
        <is>
          <t>UK</t>
        </is>
      </c>
      <c r="B599" s="77" t="n">
        <v>2024</v>
      </c>
      <c r="C599" s="77" t="inlineStr">
        <is>
          <t>medium</t>
        </is>
      </c>
      <c r="D599" s="77" t="inlineStr">
        <is>
          <t>E2</t>
        </is>
      </c>
      <c r="E599" s="77" t="inlineStr">
        <is>
          <t>TNUoS demand (zone 5; TCR banded residual from 2023)</t>
        </is>
      </c>
      <c r="F599" s="77" t="inlineStr">
        <is>
          <t>3 Network</t>
        </is>
      </c>
      <c r="G599" s="77" t="inlineStr">
        <is>
          <t>transmission network charge</t>
        </is>
      </c>
      <c r="H599" s="77" t="inlineStr">
        <is>
          <t>i (post-NCC relief; relief funded via ESL = ii instrument)</t>
        </is>
      </c>
      <c r="I599" s="77">
        <f>IF(ISNUMBER(N599),N599*fx_deflator!$I$19*fx_deflator!$M$19,"")</f>
        <v/>
      </c>
      <c r="J599" s="77" t="inlineStr">
        <is>
          <t>NESO TNUoS tariff documents (compendium doc 50736; Final TNUoS 2023/24-2026/27 Table 10)</t>
        </is>
      </c>
      <c r="K599" s="77" t="inlineStr">
        <is>
          <t>stage4_uk r25-27</t>
        </is>
      </c>
      <c r="L599" s="77" t="inlineStr">
        <is>
          <t>2026-07-15</t>
        </is>
      </c>
      <c r="M599" s="77" t="inlineStr">
        <is>
          <t>Y</t>
        </is>
      </c>
      <c r="N599" s="77">
        <f>IF(ISNUMBER(timeseries!R23),timeseries!R23*(1-IF(ISNUMBER(stage4_uk!R48),stage4_uk!R48,0)),"")</f>
        <v/>
      </c>
      <c r="O599" s="77" t="inlineStr">
        <is>
          <t>GBP/MWh nominal</t>
        </is>
      </c>
    </row>
    <row r="600" ht="15" customHeight="1" s="78">
      <c r="A600" s="77" t="inlineStr">
        <is>
          <t>UK</t>
        </is>
      </c>
      <c r="B600" s="77" t="n">
        <v>2024</v>
      </c>
      <c r="C600" s="77" t="inlineStr">
        <is>
          <t>medium</t>
        </is>
      </c>
      <c r="D600" s="77" t="inlineStr">
        <is>
          <t>E2</t>
        </is>
      </c>
      <c r="E600" s="77" t="inlineStr">
        <is>
          <t>DUoS unit rates (NPg CDCM red/amber/green, uniform-operation weights)</t>
        </is>
      </c>
      <c r="F600" s="77" t="inlineStr">
        <is>
          <t>3 Network</t>
        </is>
      </c>
      <c r="G600" s="77" t="inlineStr">
        <is>
          <t>distribution network charge</t>
        </is>
      </c>
      <c r="H600" s="77" t="inlineStr">
        <is>
          <t>i (post-NCC relief)</t>
        </is>
      </c>
      <c r="I600" s="77">
        <f>IF(ISNUMBER(N600),N600*fx_deflator!$I$19*fx_deflator!$M$19,"")</f>
        <v/>
      </c>
      <c r="J600" s="77" t="inlineStr">
        <is>
          <t>NPg (Yorkshire) LC14 CDCM statements; D28 reconstruction 2010-16</t>
        </is>
      </c>
      <c r="K600" s="77" t="inlineStr">
        <is>
          <t>stage4_uk r34-41</t>
        </is>
      </c>
      <c r="L600" s="77" t="inlineStr">
        <is>
          <t>2026-07-15</t>
        </is>
      </c>
      <c r="M600" s="77" t="inlineStr">
        <is>
          <t>Y</t>
        </is>
      </c>
      <c r="N600" s="77">
        <f>IF(ISNUMBER(timeseries!R24),timeseries!R24*(1-IF(ISNUMBER(stage4_uk!R48),stage4_uk!R48,0)),"")</f>
        <v/>
      </c>
      <c r="O600" s="77" t="inlineStr">
        <is>
          <t>GBP/MWh nominal</t>
        </is>
      </c>
    </row>
    <row r="601" ht="15" customHeight="1" s="78">
      <c r="A601" s="77" t="inlineStr">
        <is>
          <t>UK</t>
        </is>
      </c>
      <c r="B601" s="77" t="n">
        <v>2024</v>
      </c>
      <c r="C601" s="77" t="inlineStr">
        <is>
          <t>medium</t>
        </is>
      </c>
      <c r="D601" s="77" t="inlineStr">
        <is>
          <t>E2</t>
        </is>
      </c>
      <c r="E601" s="77" t="inlineStr">
        <is>
          <t>DUoS fixed charge (TCR Band-4 residual from 2022/23)</t>
        </is>
      </c>
      <c r="F601" s="77" t="inlineStr">
        <is>
          <t>3 Network</t>
        </is>
      </c>
      <c r="G601" s="77" t="inlineStr">
        <is>
          <t>distribution network charge</t>
        </is>
      </c>
      <c r="H601" s="77" t="inlineStr">
        <is>
          <t>i (post-NCC relief)</t>
        </is>
      </c>
      <c r="I601" s="77">
        <f>IF(ISNUMBER(N601),N601*fx_deflator!$I$19*fx_deflator!$M$19,"")</f>
        <v/>
      </c>
      <c r="J601" s="77" t="inlineStr">
        <is>
          <t>NPg (Yorkshire) LC14 CDCM statements; D28 reconstruction 2010-16</t>
        </is>
      </c>
      <c r="K601" s="77" t="inlineStr">
        <is>
          <t>stage4_uk r34-41</t>
        </is>
      </c>
      <c r="L601" s="77" t="inlineStr">
        <is>
          <t>2026-07-15</t>
        </is>
      </c>
      <c r="M601" s="77" t="inlineStr">
        <is>
          <t>Y</t>
        </is>
      </c>
      <c r="N601" s="77">
        <f>IF(ISNUMBER(timeseries!R25),timeseries!R25*(1-IF(ISNUMBER(stage4_uk!R48),stage4_uk!R48,0)),"")</f>
        <v/>
      </c>
      <c r="O601" s="77" t="inlineStr">
        <is>
          <t>GBP/MWh nominal</t>
        </is>
      </c>
    </row>
    <row r="602" ht="15" customHeight="1" s="78">
      <c r="A602" s="77" t="inlineStr">
        <is>
          <t>UK</t>
        </is>
      </c>
      <c r="B602" s="77" t="n">
        <v>2024</v>
      </c>
      <c r="C602" s="77" t="inlineStr">
        <is>
          <t>medium</t>
        </is>
      </c>
      <c r="D602" s="77" t="inlineStr">
        <is>
          <t>E2</t>
        </is>
      </c>
      <c r="E602" s="77" t="inlineStr">
        <is>
          <t>DUoS capacity charge</t>
        </is>
      </c>
      <c r="F602" s="77" t="inlineStr">
        <is>
          <t>3 Network</t>
        </is>
      </c>
      <c r="G602" s="77" t="inlineStr">
        <is>
          <t>distribution network charge</t>
        </is>
      </c>
      <c r="H602" s="77" t="inlineStr">
        <is>
          <t>i (post-NCC relief)</t>
        </is>
      </c>
      <c r="I602" s="77">
        <f>IF(ISNUMBER(N602),N602*fx_deflator!$I$19*fx_deflator!$M$19,"")</f>
        <v/>
      </c>
      <c r="J602" s="77" t="inlineStr">
        <is>
          <t>NPg (Yorkshire) LC14 CDCM statements; D28 reconstruction 2010-16</t>
        </is>
      </c>
      <c r="K602" s="77" t="inlineStr">
        <is>
          <t>stage4_uk r34-41</t>
        </is>
      </c>
      <c r="L602" s="77" t="inlineStr">
        <is>
          <t>2026-07-15</t>
        </is>
      </c>
      <c r="M602" s="77" t="inlineStr">
        <is>
          <t>Y</t>
        </is>
      </c>
      <c r="N602" s="77">
        <f>IF(ISNUMBER(timeseries!R26),timeseries!R26*(1-IF(ISNUMBER(stage4_uk!R48),stage4_uk!R48,0)),"")</f>
        <v/>
      </c>
      <c r="O602" s="77" t="inlineStr">
        <is>
          <t>GBP/MWh nominal</t>
        </is>
      </c>
    </row>
    <row r="603" ht="15" customHeight="1" s="78">
      <c r="A603" s="77" t="inlineStr">
        <is>
          <t>UK</t>
        </is>
      </c>
      <c r="B603" s="77" t="n">
        <v>2024</v>
      </c>
      <c r="C603" s="77" t="inlineStr">
        <is>
          <t>medium</t>
        </is>
      </c>
      <c r="D603" s="77" t="inlineStr">
        <is>
          <t>E2</t>
        </is>
      </c>
      <c r="E603" s="77" t="inlineStr">
        <is>
          <t>BSUoS (demand-only from 04/2023)</t>
        </is>
      </c>
      <c r="F603" s="77" t="inlineStr">
        <is>
          <t>4 System services &amp; balancing</t>
        </is>
      </c>
      <c r="G603" s="77" t="inlineStr">
        <is>
          <t>balancing charge</t>
        </is>
      </c>
      <c r="H603" s="77" t="inlineStr">
        <is>
          <t>i (post-NCC relief)</t>
        </is>
      </c>
      <c r="I603" s="77">
        <f>IF(ISNUMBER(N603),N603*fx_deflator!$I$19*fx_deflator!$M$19,"")</f>
        <v/>
      </c>
      <c r="J603" s="77" t="inlineStr">
        <is>
          <t>NESO bsuos-fixed-tariffs + HH RF settlement files (own annual avg 2010-22)</t>
        </is>
      </c>
      <c r="K603" s="77" t="inlineStr">
        <is>
          <t>stage4_uk r28-30</t>
        </is>
      </c>
      <c r="L603" s="77" t="inlineStr">
        <is>
          <t>2026-07-15</t>
        </is>
      </c>
      <c r="M603" s="77" t="inlineStr">
        <is>
          <t>Y</t>
        </is>
      </c>
      <c r="N603" s="77">
        <f>IF(ISNUMBER(timeseries!R8),timeseries!R8*(1-IF(ISNUMBER(stage4_uk!R48),stage4_uk!R48,0)),"")</f>
        <v/>
      </c>
      <c r="O603" s="77" t="inlineStr">
        <is>
          <t>GBP/MWh nominal</t>
        </is>
      </c>
    </row>
    <row r="604" ht="15" customHeight="1" s="78">
      <c r="A604" s="77" t="inlineStr">
        <is>
          <t>UK</t>
        </is>
      </c>
      <c r="B604" s="77" t="n">
        <v>2024</v>
      </c>
      <c r="C604" s="77" t="inlineStr">
        <is>
          <t>medium</t>
        </is>
      </c>
      <c r="D604" s="77" t="inlineStr">
        <is>
          <t>E2</t>
        </is>
      </c>
      <c r="E604" s="77" t="inlineStr">
        <is>
          <t>AAHEDC</t>
        </is>
      </c>
      <c r="F604" s="77" t="inlineStr">
        <is>
          <t>3 Network</t>
        </is>
      </c>
      <c r="G604" s="77" t="inlineStr">
        <is>
          <t>network levy (hydro benefit)</t>
        </is>
      </c>
      <c r="H604" s="77" t="inlineStr">
        <is>
          <t>ii (pays cross-subsidy to N Scotland consumers)</t>
        </is>
      </c>
      <c r="I604" s="77">
        <f>IF(ISNUMBER(N604),N604*fx_deflator!$I$19*fx_deflator!$M$19,"")</f>
        <v/>
      </c>
      <c r="J604" s="77" t="inlineStr">
        <is>
          <t>NG/ESO AAHEDC charging statements &amp; final tariff letters</t>
        </is>
      </c>
      <c r="K604" s="77" t="inlineStr">
        <is>
          <t>stage4_uk r31</t>
        </is>
      </c>
      <c r="L604" s="77" t="inlineStr">
        <is>
          <t>2026-07-15</t>
        </is>
      </c>
      <c r="M604" s="77" t="inlineStr">
        <is>
          <t>N</t>
        </is>
      </c>
      <c r="N604" s="136">
        <f>IF(ISNUMBER(timeseries!R9),timeseries!R9,"")</f>
        <v/>
      </c>
      <c r="O604" s="77" t="inlineStr">
        <is>
          <t>GBP/MWh nominal</t>
        </is>
      </c>
      <c r="P604" s="77" t="inlineStr">
        <is>
          <t>not in NCC base (conservative, unverified)</t>
        </is>
      </c>
    </row>
    <row r="605" ht="15" customHeight="1" s="78">
      <c r="A605" s="77" t="inlineStr">
        <is>
          <t>UK</t>
        </is>
      </c>
      <c r="B605" s="77" t="n">
        <v>2024</v>
      </c>
      <c r="C605" s="77" t="inlineStr">
        <is>
          <t>medium</t>
        </is>
      </c>
      <c r="D605" s="77" t="inlineStr">
        <is>
          <t>E2</t>
        </is>
      </c>
      <c r="E605" s="77" t="inlineStr">
        <is>
          <t>RO (buy-out x obligation)</t>
        </is>
      </c>
      <c r="F605" s="77" t="inlineStr">
        <is>
          <t>2 Gen capital recovery</t>
        </is>
      </c>
      <c r="G605" s="77" t="inlineStr">
        <is>
          <t>renewables levy</t>
        </is>
      </c>
      <c r="H605" s="77" t="inlineStr">
        <is>
          <t>i</t>
        </is>
      </c>
      <c r="I605" s="77">
        <f>IF(ISNUMBER(N605),N605*fx_deflator!$I$19*fx_deflator!$M$19,"")</f>
        <v/>
      </c>
      <c r="J605" s="77" t="inlineStr">
        <is>
          <t>Ofgem RO guidance OFG1164 Table 1.1 (buy-out x obligation)</t>
        </is>
      </c>
      <c r="K605" s="77" t="inlineStr">
        <is>
          <t>stage4_uk r12-14</t>
        </is>
      </c>
      <c r="L605" s="77" t="inlineStr">
        <is>
          <t>2026-07-15</t>
        </is>
      </c>
      <c r="M605" s="77" t="inlineStr">
        <is>
          <t>Y</t>
        </is>
      </c>
      <c r="N605" s="77">
        <f>IF(ISNUMBER(timeseries!R10),timeseries!R10*(1-IF(ISNUMBER(stage4_uk!R45),stage4_uk!R45,0)),"")</f>
        <v/>
      </c>
      <c r="O605" s="77" t="inlineStr">
        <is>
          <t>GBP/MWh nominal</t>
        </is>
      </c>
    </row>
    <row r="606" ht="15" customHeight="1" s="78">
      <c r="A606" s="77" t="inlineStr">
        <is>
          <t>UK</t>
        </is>
      </c>
      <c r="B606" s="77" t="n">
        <v>2024</v>
      </c>
      <c r="C606" s="77" t="inlineStr">
        <is>
          <t>medium</t>
        </is>
      </c>
      <c r="D606" s="77" t="inlineStr">
        <is>
          <t>E2</t>
        </is>
      </c>
      <c r="E606" s="77" t="inlineStr">
        <is>
          <t>CfD Interim Levy Rate (annual avg)</t>
        </is>
      </c>
      <c r="F606" s="77" t="inlineStr">
        <is>
          <t>2 Gen capital recovery</t>
        </is>
      </c>
      <c r="G606" s="77" t="inlineStr">
        <is>
          <t>renewables levy</t>
        </is>
      </c>
      <c r="H606" s="77" t="inlineStr">
        <is>
          <t>i</t>
        </is>
      </c>
      <c r="I606" s="77">
        <f>IF(ISNUMBER(N606),N606*fx_deflator!$I$19*fx_deflator!$M$19,"")</f>
        <v/>
      </c>
      <c r="J606" s="77" t="inlineStr">
        <is>
          <t>LCCC Actual ILR Income dataset (quarterly avg)</t>
        </is>
      </c>
      <c r="K606" s="77" t="inlineStr">
        <is>
          <t>stage4_uk r15-19</t>
        </is>
      </c>
      <c r="L606" s="77" t="inlineStr">
        <is>
          <t>2026-07-15</t>
        </is>
      </c>
      <c r="M606" s="77" t="inlineStr">
        <is>
          <t>Y</t>
        </is>
      </c>
      <c r="N606" s="77">
        <f>IF(ISNUMBER(timeseries!R11),timeseries!R11*(1-IF(ISNUMBER(stage4_uk!R44),stage4_uk!R44,0)),"")</f>
        <v/>
      </c>
      <c r="O606" s="77" t="inlineStr">
        <is>
          <t>GBP/MWh nominal</t>
        </is>
      </c>
    </row>
    <row r="607" ht="15" customHeight="1" s="78">
      <c r="A607" s="77" t="inlineStr">
        <is>
          <t>UK</t>
        </is>
      </c>
      <c r="B607" s="77" t="n">
        <v>2024</v>
      </c>
      <c r="C607" s="77" t="inlineStr">
        <is>
          <t>medium</t>
        </is>
      </c>
      <c r="D607" s="77" t="inlineStr">
        <is>
          <t>E2</t>
        </is>
      </c>
      <c r="E607" s="77" t="inlineStr">
        <is>
          <t>FiT levelisation</t>
        </is>
      </c>
      <c r="F607" s="77" t="inlineStr">
        <is>
          <t>2 Gen capital recovery</t>
        </is>
      </c>
      <c r="G607" s="77" t="inlineStr">
        <is>
          <t>renewables levy</t>
        </is>
      </c>
      <c r="H607" s="77" t="inlineStr">
        <is>
          <t>i</t>
        </is>
      </c>
      <c r="I607" s="77">
        <f>IF(ISNUMBER(N607),N607*fx_deflator!$I$19*fx_deflator!$M$19,"")</f>
        <v/>
      </c>
      <c r="J607" s="77" t="inlineStr">
        <is>
          <t>Ofgem FIT Annual Reports SY1-SY15; D27 for 2010-14</t>
        </is>
      </c>
      <c r="K607" s="77" t="inlineStr">
        <is>
          <t>stage4_uk r20</t>
        </is>
      </c>
      <c r="L607" s="77" t="inlineStr">
        <is>
          <t>2026-07-15</t>
        </is>
      </c>
      <c r="M607" s="77" t="inlineStr">
        <is>
          <t>Y</t>
        </is>
      </c>
      <c r="N607" s="77">
        <f>IF(ISNUMBER(timeseries!R12),timeseries!R12*(1-IF(ISNUMBER(stage4_uk!R46),stage4_uk!R46,0)),"")</f>
        <v/>
      </c>
      <c r="O607" s="77" t="inlineStr">
        <is>
          <t>GBP/MWh nominal</t>
        </is>
      </c>
      <c r="P607" s="77" t="inlineStr">
        <is>
          <t>2025 unpublished (Q32) — row absent, gap stated</t>
        </is>
      </c>
    </row>
    <row r="608" ht="15" customHeight="1" s="78">
      <c r="A608" s="77" t="inlineStr">
        <is>
          <t>UK</t>
        </is>
      </c>
      <c r="B608" s="77" t="n">
        <v>2024</v>
      </c>
      <c r="C608" s="77" t="inlineStr">
        <is>
          <t>medium</t>
        </is>
      </c>
      <c r="D608" s="77" t="inlineStr">
        <is>
          <t>E2</t>
        </is>
      </c>
      <c r="E608" s="77" t="inlineStr">
        <is>
          <t>Capacity Market (derived per-MWh)</t>
        </is>
      </c>
      <c r="F608" s="77" t="inlineStr">
        <is>
          <t>2 Gen capital recovery</t>
        </is>
      </c>
      <c r="G608" s="77" t="inlineStr">
        <is>
          <t>capacity market levy</t>
        </is>
      </c>
      <c r="H608" s="77" t="inlineStr">
        <is>
          <t>i</t>
        </is>
      </c>
      <c r="I608" s="77">
        <f>IF(ISNUMBER(N608),N608*fx_deflator!$I$19*fx_deflator!$M$19,"")</f>
        <v/>
      </c>
      <c r="J608" s="77" t="inlineStr">
        <is>
          <t>EMRS Key Figures for Payments (derived per-MWh, D30)</t>
        </is>
      </c>
      <c r="K608" s="77" t="inlineStr">
        <is>
          <t>stage4_uk r21</t>
        </is>
      </c>
      <c r="L608" s="77" t="inlineStr">
        <is>
          <t>2026-07-15</t>
        </is>
      </c>
      <c r="M608" s="77" t="inlineStr">
        <is>
          <t>Y</t>
        </is>
      </c>
      <c r="N608" s="77">
        <f>IF(ISNUMBER(timeseries!R13),timeseries!R13*(1-IF(ISNUMBER(stage4_uk!R47),stage4_uk!R47,0)),"")</f>
        <v/>
      </c>
      <c r="O608" s="77" t="inlineStr">
        <is>
          <t>GBP/MWh nominal</t>
        </is>
      </c>
      <c r="P608" s="77" t="inlineStr">
        <is>
          <t>function 2 per D9</t>
        </is>
      </c>
    </row>
    <row r="609" ht="15" customHeight="1" s="78">
      <c r="A609" s="77" t="inlineStr">
        <is>
          <t>UK</t>
        </is>
      </c>
      <c r="B609" s="77" t="n">
        <v>2024</v>
      </c>
      <c r="C609" s="77" t="inlineStr">
        <is>
          <t>medium</t>
        </is>
      </c>
      <c r="D609" s="77" t="inlineStr">
        <is>
          <t>E2</t>
        </is>
      </c>
      <c r="E609" s="77" t="inlineStr">
        <is>
          <t>CCL — EXEMPT for the relieved case (mineralogical/metallurgical, HMRC CCL1/3 s3.14; D71)</t>
        </is>
      </c>
      <c r="F609" s="77" t="inlineStr">
        <is>
          <t>5 General taxation &amp; levies</t>
        </is>
      </c>
      <c r="G609" s="77" t="inlineStr">
        <is>
          <t>climate levy (tax)</t>
        </is>
      </c>
      <c r="H609" s="77" t="inlineStr">
        <is>
          <t>i</t>
        </is>
      </c>
      <c r="I609" s="77">
        <f>IF(ISNUMBER(N609),N609*fx_deflator!$I$19*fx_deflator!$M$19,"")</f>
        <v/>
      </c>
      <c r="J609" s="77" t="inlineStr">
        <is>
          <t>HMRC Excise Notice CCL1/3 s3.14 + Annex A (exemption from 01.04.2014). S209</t>
        </is>
      </c>
      <c r="K609" s="77" t="inlineStr">
        <is>
          <t>stage4_uk r22</t>
        </is>
      </c>
      <c r="L609" s="77" t="inlineStr">
        <is>
          <t>2026-07-15</t>
        </is>
      </c>
      <c r="M609" s="77" t="inlineStr">
        <is>
          <t>N</t>
        </is>
      </c>
      <c r="N609" s="136">
        <f>IF(ISNUMBER(timeseries!R14),0,"")</f>
        <v/>
      </c>
      <c r="O609" s="77" t="inlineStr">
        <is>
          <t>GBP/MWh nominal</t>
        </is>
      </c>
    </row>
    <row r="610" ht="15" customHeight="1" s="78">
      <c r="A610" s="77" t="inlineStr">
        <is>
          <t>UK</t>
        </is>
      </c>
      <c r="B610" s="77" t="n">
        <v>2025</v>
      </c>
      <c r="C610" s="77" t="inlineStr">
        <is>
          <t>medium</t>
        </is>
      </c>
      <c r="D610" s="77" t="inlineStr">
        <is>
          <t>E2</t>
        </is>
      </c>
      <c r="E610" s="77" t="inlineStr">
        <is>
          <t>Wholesale (rolling year-ahead baseload; DA proxy &lt;=2021)</t>
        </is>
      </c>
      <c r="F610" s="77" t="inlineStr">
        <is>
          <t>1 Commodity</t>
        </is>
      </c>
      <c r="G610" s="77" t="inlineStr">
        <is>
          <t>wholesale market</t>
        </is>
      </c>
      <c r="H610" s="77" t="inlineStr">
        <is>
          <t>i</t>
        </is>
      </c>
      <c r="I610" s="77">
        <f>IF(ISNUMBER(N610),N610*fx_deflator!$I$20*fx_deflator!$M$20,"")</f>
        <v/>
      </c>
      <c r="J610" s="77" t="inlineStr">
        <is>
          <t>Ofgem data portal — DA baseload monthly avg (proxy &lt;=2021, D22); Forward Delivery Contracts (D21)</t>
        </is>
      </c>
      <c r="K610" s="77" t="inlineStr">
        <is>
          <t>stage4_uk r7-9</t>
        </is>
      </c>
      <c r="L610" s="77" t="inlineStr">
        <is>
          <t>2026-07-15</t>
        </is>
      </c>
      <c r="M610" s="77" t="inlineStr">
        <is>
          <t>Y</t>
        </is>
      </c>
      <c r="N610" s="136">
        <f>IF(ISNUMBER(timeseries!S22),timeseries!S22,"")</f>
        <v/>
      </c>
      <c r="O610" s="77" t="inlineStr">
        <is>
          <t>GBP/MWh nominal</t>
        </is>
      </c>
      <c r="P610" s="77" t="inlineStr">
        <is>
          <t>identical E1/E2; embedded carbon memo inside this item</t>
        </is>
      </c>
    </row>
    <row r="611" ht="15" customHeight="1" s="78">
      <c r="A611" s="77" t="inlineStr">
        <is>
          <t>UK</t>
        </is>
      </c>
      <c r="B611" s="77" t="n">
        <v>2025</v>
      </c>
      <c r="C611" s="77" t="inlineStr">
        <is>
          <t>medium</t>
        </is>
      </c>
      <c r="D611" s="77" t="inlineStr">
        <is>
          <t>E2</t>
        </is>
      </c>
      <c r="E611" s="77" t="inlineStr">
        <is>
          <t>TNUoS demand (zone 5; TCR banded residual from 2023)</t>
        </is>
      </c>
      <c r="F611" s="77" t="inlineStr">
        <is>
          <t>3 Network</t>
        </is>
      </c>
      <c r="G611" s="77" t="inlineStr">
        <is>
          <t>transmission network charge</t>
        </is>
      </c>
      <c r="H611" s="77" t="inlineStr">
        <is>
          <t>i (post-NCC relief; relief funded via ESL = ii instrument)</t>
        </is>
      </c>
      <c r="I611" s="77">
        <f>IF(ISNUMBER(N611),N611*fx_deflator!$I$20*fx_deflator!$M$20,"")</f>
        <v/>
      </c>
      <c r="J611" s="77" t="inlineStr">
        <is>
          <t>NESO TNUoS tariff documents (compendium doc 50736; Final TNUoS 2023/24-2026/27 Table 10)</t>
        </is>
      </c>
      <c r="K611" s="77" t="inlineStr">
        <is>
          <t>stage4_uk r25-27</t>
        </is>
      </c>
      <c r="L611" s="77" t="inlineStr">
        <is>
          <t>2026-07-15</t>
        </is>
      </c>
      <c r="M611" s="77" t="inlineStr">
        <is>
          <t>Y</t>
        </is>
      </c>
      <c r="N611" s="77">
        <f>IF(ISNUMBER(timeseries!S23),timeseries!S23*(1-IF(ISNUMBER(stage4_uk!S48),stage4_uk!S48,0)),"")</f>
        <v/>
      </c>
      <c r="O611" s="77" t="inlineStr">
        <is>
          <t>GBP/MWh nominal</t>
        </is>
      </c>
    </row>
    <row r="612" ht="15" customHeight="1" s="78">
      <c r="A612" s="77" t="inlineStr">
        <is>
          <t>UK</t>
        </is>
      </c>
      <c r="B612" s="77" t="n">
        <v>2025</v>
      </c>
      <c r="C612" s="77" t="inlineStr">
        <is>
          <t>medium</t>
        </is>
      </c>
      <c r="D612" s="77" t="inlineStr">
        <is>
          <t>E2</t>
        </is>
      </c>
      <c r="E612" s="77" t="inlineStr">
        <is>
          <t>DUoS unit rates (NPg CDCM red/amber/green, uniform-operation weights)</t>
        </is>
      </c>
      <c r="F612" s="77" t="inlineStr">
        <is>
          <t>3 Network</t>
        </is>
      </c>
      <c r="G612" s="77" t="inlineStr">
        <is>
          <t>distribution network charge</t>
        </is>
      </c>
      <c r="H612" s="77" t="inlineStr">
        <is>
          <t>i (post-NCC relief)</t>
        </is>
      </c>
      <c r="I612" s="77">
        <f>IF(ISNUMBER(N612),N612*fx_deflator!$I$20*fx_deflator!$M$20,"")</f>
        <v/>
      </c>
      <c r="J612" s="77" t="inlineStr">
        <is>
          <t>NPg (Yorkshire) LC14 CDCM statements; D28 reconstruction 2010-16</t>
        </is>
      </c>
      <c r="K612" s="77" t="inlineStr">
        <is>
          <t>stage4_uk r34-41</t>
        </is>
      </c>
      <c r="L612" s="77" t="inlineStr">
        <is>
          <t>2026-07-15</t>
        </is>
      </c>
      <c r="M612" s="77" t="inlineStr">
        <is>
          <t>Y</t>
        </is>
      </c>
      <c r="N612" s="77">
        <f>IF(ISNUMBER(timeseries!S24),timeseries!S24*(1-IF(ISNUMBER(stage4_uk!S48),stage4_uk!S48,0)),"")</f>
        <v/>
      </c>
      <c r="O612" s="77" t="inlineStr">
        <is>
          <t>GBP/MWh nominal</t>
        </is>
      </c>
    </row>
    <row r="613" ht="15" customHeight="1" s="78">
      <c r="A613" s="77" t="inlineStr">
        <is>
          <t>UK</t>
        </is>
      </c>
      <c r="B613" s="77" t="n">
        <v>2025</v>
      </c>
      <c r="C613" s="77" t="inlineStr">
        <is>
          <t>medium</t>
        </is>
      </c>
      <c r="D613" s="77" t="inlineStr">
        <is>
          <t>E2</t>
        </is>
      </c>
      <c r="E613" s="77" t="inlineStr">
        <is>
          <t>DUoS fixed charge (TCR Band-4 residual from 2022/23)</t>
        </is>
      </c>
      <c r="F613" s="77" t="inlineStr">
        <is>
          <t>3 Network</t>
        </is>
      </c>
      <c r="G613" s="77" t="inlineStr">
        <is>
          <t>distribution network charge</t>
        </is>
      </c>
      <c r="H613" s="77" t="inlineStr">
        <is>
          <t>i (post-NCC relief)</t>
        </is>
      </c>
      <c r="I613" s="77">
        <f>IF(ISNUMBER(N613),N613*fx_deflator!$I$20*fx_deflator!$M$20,"")</f>
        <v/>
      </c>
      <c r="J613" s="77" t="inlineStr">
        <is>
          <t>NPg (Yorkshire) LC14 CDCM statements; D28 reconstruction 2010-16</t>
        </is>
      </c>
      <c r="K613" s="77" t="inlineStr">
        <is>
          <t>stage4_uk r34-41</t>
        </is>
      </c>
      <c r="L613" s="77" t="inlineStr">
        <is>
          <t>2026-07-15</t>
        </is>
      </c>
      <c r="M613" s="77" t="inlineStr">
        <is>
          <t>Y</t>
        </is>
      </c>
      <c r="N613" s="77">
        <f>IF(ISNUMBER(timeseries!S25),timeseries!S25*(1-IF(ISNUMBER(stage4_uk!S48),stage4_uk!S48,0)),"")</f>
        <v/>
      </c>
      <c r="O613" s="77" t="inlineStr">
        <is>
          <t>GBP/MWh nominal</t>
        </is>
      </c>
    </row>
    <row r="614" ht="15" customHeight="1" s="78">
      <c r="A614" s="77" t="inlineStr">
        <is>
          <t>UK</t>
        </is>
      </c>
      <c r="B614" s="77" t="n">
        <v>2025</v>
      </c>
      <c r="C614" s="77" t="inlineStr">
        <is>
          <t>medium</t>
        </is>
      </c>
      <c r="D614" s="77" t="inlineStr">
        <is>
          <t>E2</t>
        </is>
      </c>
      <c r="E614" s="77" t="inlineStr">
        <is>
          <t>DUoS capacity charge</t>
        </is>
      </c>
      <c r="F614" s="77" t="inlineStr">
        <is>
          <t>3 Network</t>
        </is>
      </c>
      <c r="G614" s="77" t="inlineStr">
        <is>
          <t>distribution network charge</t>
        </is>
      </c>
      <c r="H614" s="77" t="inlineStr">
        <is>
          <t>i (post-NCC relief)</t>
        </is>
      </c>
      <c r="I614" s="77">
        <f>IF(ISNUMBER(N614),N614*fx_deflator!$I$20*fx_deflator!$M$20,"")</f>
        <v/>
      </c>
      <c r="J614" s="77" t="inlineStr">
        <is>
          <t>NPg (Yorkshire) LC14 CDCM statements; D28 reconstruction 2010-16</t>
        </is>
      </c>
      <c r="K614" s="77" t="inlineStr">
        <is>
          <t>stage4_uk r34-41</t>
        </is>
      </c>
      <c r="L614" s="77" t="inlineStr">
        <is>
          <t>2026-07-15</t>
        </is>
      </c>
      <c r="M614" s="77" t="inlineStr">
        <is>
          <t>Y</t>
        </is>
      </c>
      <c r="N614" s="77">
        <f>IF(ISNUMBER(timeseries!S26),timeseries!S26*(1-IF(ISNUMBER(stage4_uk!S48),stage4_uk!S48,0)),"")</f>
        <v/>
      </c>
      <c r="O614" s="77" t="inlineStr">
        <is>
          <t>GBP/MWh nominal</t>
        </is>
      </c>
    </row>
    <row r="615" ht="15" customHeight="1" s="78">
      <c r="A615" s="77" t="inlineStr">
        <is>
          <t>UK</t>
        </is>
      </c>
      <c r="B615" s="77" t="n">
        <v>2025</v>
      </c>
      <c r="C615" s="77" t="inlineStr">
        <is>
          <t>medium</t>
        </is>
      </c>
      <c r="D615" s="77" t="inlineStr">
        <is>
          <t>E2</t>
        </is>
      </c>
      <c r="E615" s="77" t="inlineStr">
        <is>
          <t>BSUoS (demand-only from 04/2023)</t>
        </is>
      </c>
      <c r="F615" s="77" t="inlineStr">
        <is>
          <t>4 System services &amp; balancing</t>
        </is>
      </c>
      <c r="G615" s="77" t="inlineStr">
        <is>
          <t>balancing charge</t>
        </is>
      </c>
      <c r="H615" s="77" t="inlineStr">
        <is>
          <t>i (post-NCC relief)</t>
        </is>
      </c>
      <c r="I615" s="77">
        <f>IF(ISNUMBER(N615),N615*fx_deflator!$I$20*fx_deflator!$M$20,"")</f>
        <v/>
      </c>
      <c r="J615" s="77" t="inlineStr">
        <is>
          <t>NESO bsuos-fixed-tariffs + HH RF settlement files (own annual avg 2010-22)</t>
        </is>
      </c>
      <c r="K615" s="77" t="inlineStr">
        <is>
          <t>stage4_uk r28-30</t>
        </is>
      </c>
      <c r="L615" s="77" t="inlineStr">
        <is>
          <t>2026-07-15</t>
        </is>
      </c>
      <c r="M615" s="77" t="inlineStr">
        <is>
          <t>Y</t>
        </is>
      </c>
      <c r="N615" s="77">
        <f>IF(ISNUMBER(timeseries!S8),timeseries!S8*(1-IF(ISNUMBER(stage4_uk!S48),stage4_uk!S48,0)),"")</f>
        <v/>
      </c>
      <c r="O615" s="77" t="inlineStr">
        <is>
          <t>GBP/MWh nominal</t>
        </is>
      </c>
    </row>
    <row r="616" ht="15" customHeight="1" s="78">
      <c r="A616" s="77" t="inlineStr">
        <is>
          <t>UK</t>
        </is>
      </c>
      <c r="B616" s="77" t="n">
        <v>2025</v>
      </c>
      <c r="C616" s="77" t="inlineStr">
        <is>
          <t>medium</t>
        </is>
      </c>
      <c r="D616" s="77" t="inlineStr">
        <is>
          <t>E2</t>
        </is>
      </c>
      <c r="E616" s="77" t="inlineStr">
        <is>
          <t>AAHEDC</t>
        </is>
      </c>
      <c r="F616" s="77" t="inlineStr">
        <is>
          <t>3 Network</t>
        </is>
      </c>
      <c r="G616" s="77" t="inlineStr">
        <is>
          <t>network levy (hydro benefit)</t>
        </is>
      </c>
      <c r="H616" s="77" t="inlineStr">
        <is>
          <t>ii (pays cross-subsidy to N Scotland consumers)</t>
        </is>
      </c>
      <c r="I616" s="77">
        <f>IF(ISNUMBER(N616),N616*fx_deflator!$I$20*fx_deflator!$M$20,"")</f>
        <v/>
      </c>
      <c r="J616" s="77" t="inlineStr">
        <is>
          <t>NG/ESO AAHEDC charging statements &amp; final tariff letters</t>
        </is>
      </c>
      <c r="K616" s="77" t="inlineStr">
        <is>
          <t>stage4_uk r31</t>
        </is>
      </c>
      <c r="L616" s="77" t="inlineStr">
        <is>
          <t>2026-07-15</t>
        </is>
      </c>
      <c r="M616" s="77" t="inlineStr">
        <is>
          <t>N</t>
        </is>
      </c>
      <c r="N616" s="136">
        <f>IF(ISNUMBER(timeseries!S9),timeseries!S9,"")</f>
        <v/>
      </c>
      <c r="O616" s="77" t="inlineStr">
        <is>
          <t>GBP/MWh nominal</t>
        </is>
      </c>
      <c r="P616" s="77" t="inlineStr">
        <is>
          <t>not in NCC base (conservative, unverified)</t>
        </is>
      </c>
    </row>
    <row r="617" ht="15" customHeight="1" s="78">
      <c r="A617" s="77" t="inlineStr">
        <is>
          <t>UK</t>
        </is>
      </c>
      <c r="B617" s="77" t="n">
        <v>2025</v>
      </c>
      <c r="C617" s="77" t="inlineStr">
        <is>
          <t>medium</t>
        </is>
      </c>
      <c r="D617" s="77" t="inlineStr">
        <is>
          <t>E2</t>
        </is>
      </c>
      <c r="E617" s="77" t="inlineStr">
        <is>
          <t>RO (buy-out x obligation)</t>
        </is>
      </c>
      <c r="F617" s="77" t="inlineStr">
        <is>
          <t>2 Gen capital recovery</t>
        </is>
      </c>
      <c r="G617" s="77" t="inlineStr">
        <is>
          <t>renewables levy</t>
        </is>
      </c>
      <c r="H617" s="77" t="inlineStr">
        <is>
          <t>i</t>
        </is>
      </c>
      <c r="I617" s="77">
        <f>IF(ISNUMBER(N617),N617*fx_deflator!$I$20*fx_deflator!$M$20,"")</f>
        <v/>
      </c>
      <c r="J617" s="77" t="inlineStr">
        <is>
          <t>Ofgem RO guidance OFG1164 Table 1.1 (buy-out x obligation)</t>
        </is>
      </c>
      <c r="K617" s="77" t="inlineStr">
        <is>
          <t>stage4_uk r12-14</t>
        </is>
      </c>
      <c r="L617" s="77" t="inlineStr">
        <is>
          <t>2026-07-15</t>
        </is>
      </c>
      <c r="M617" s="77" t="inlineStr">
        <is>
          <t>Y</t>
        </is>
      </c>
      <c r="N617" s="77">
        <f>IF(ISNUMBER(timeseries!S10),timeseries!S10*(1-IF(ISNUMBER(stage4_uk!S45),stage4_uk!S45,0)),"")</f>
        <v/>
      </c>
      <c r="O617" s="77" t="inlineStr">
        <is>
          <t>GBP/MWh nominal</t>
        </is>
      </c>
    </row>
    <row r="618" ht="15" customHeight="1" s="78">
      <c r="A618" s="77" t="inlineStr">
        <is>
          <t>UK</t>
        </is>
      </c>
      <c r="B618" s="77" t="n">
        <v>2025</v>
      </c>
      <c r="C618" s="77" t="inlineStr">
        <is>
          <t>medium</t>
        </is>
      </c>
      <c r="D618" s="77" t="inlineStr">
        <is>
          <t>E2</t>
        </is>
      </c>
      <c r="E618" s="77" t="inlineStr">
        <is>
          <t>CfD Interim Levy Rate (annual avg)</t>
        </is>
      </c>
      <c r="F618" s="77" t="inlineStr">
        <is>
          <t>2 Gen capital recovery</t>
        </is>
      </c>
      <c r="G618" s="77" t="inlineStr">
        <is>
          <t>renewables levy</t>
        </is>
      </c>
      <c r="H618" s="77" t="inlineStr">
        <is>
          <t>i</t>
        </is>
      </c>
      <c r="I618" s="77">
        <f>IF(ISNUMBER(N618),N618*fx_deflator!$I$20*fx_deflator!$M$20,"")</f>
        <v/>
      </c>
      <c r="J618" s="77" t="inlineStr">
        <is>
          <t>LCCC Actual ILR Income dataset (quarterly avg)</t>
        </is>
      </c>
      <c r="K618" s="77" t="inlineStr">
        <is>
          <t>stage4_uk r15-19</t>
        </is>
      </c>
      <c r="L618" s="77" t="inlineStr">
        <is>
          <t>2026-07-15</t>
        </is>
      </c>
      <c r="M618" s="77" t="inlineStr">
        <is>
          <t>Y</t>
        </is>
      </c>
      <c r="N618" s="77">
        <f>IF(ISNUMBER(timeseries!S11),timeseries!S11*(1-IF(ISNUMBER(stage4_uk!S44),stage4_uk!S44,0)),"")</f>
        <v/>
      </c>
      <c r="O618" s="77" t="inlineStr">
        <is>
          <t>GBP/MWh nominal</t>
        </is>
      </c>
    </row>
    <row r="619" ht="15" customHeight="1" s="78">
      <c r="A619" s="77" t="inlineStr">
        <is>
          <t>UK</t>
        </is>
      </c>
      <c r="B619" s="77" t="n">
        <v>2025</v>
      </c>
      <c r="C619" s="77" t="inlineStr">
        <is>
          <t>medium</t>
        </is>
      </c>
      <c r="D619" s="77" t="inlineStr">
        <is>
          <t>E2</t>
        </is>
      </c>
      <c r="E619" s="77" t="inlineStr">
        <is>
          <t>Capacity Market (derived per-MWh)</t>
        </is>
      </c>
      <c r="F619" s="77" t="inlineStr">
        <is>
          <t>2 Gen capital recovery</t>
        </is>
      </c>
      <c r="G619" s="77" t="inlineStr">
        <is>
          <t>capacity market levy</t>
        </is>
      </c>
      <c r="H619" s="77" t="inlineStr">
        <is>
          <t>i</t>
        </is>
      </c>
      <c r="I619" s="77">
        <f>IF(ISNUMBER(N619),N619*fx_deflator!$I$20*fx_deflator!$M$20,"")</f>
        <v/>
      </c>
      <c r="J619" s="77" t="inlineStr">
        <is>
          <t>EMRS Key Figures for Payments (derived per-MWh, D30)</t>
        </is>
      </c>
      <c r="K619" s="77" t="inlineStr">
        <is>
          <t>stage4_uk r21</t>
        </is>
      </c>
      <c r="L619" s="77" t="inlineStr">
        <is>
          <t>2026-07-15</t>
        </is>
      </c>
      <c r="M619" s="77" t="inlineStr">
        <is>
          <t>Y</t>
        </is>
      </c>
      <c r="N619" s="77">
        <f>IF(ISNUMBER(timeseries!S13),timeseries!S13*(1-IF(ISNUMBER(stage4_uk!S47),stage4_uk!S47,0)),"")</f>
        <v/>
      </c>
      <c r="O619" s="77" t="inlineStr">
        <is>
          <t>GBP/MWh nominal</t>
        </is>
      </c>
      <c r="P619" s="77" t="inlineStr">
        <is>
          <t>function 2 per D9</t>
        </is>
      </c>
    </row>
    <row r="620" ht="15" customHeight="1" s="78">
      <c r="A620" s="77" t="inlineStr">
        <is>
          <t>UK</t>
        </is>
      </c>
      <c r="B620" s="77" t="n">
        <v>2025</v>
      </c>
      <c r="C620" s="77" t="inlineStr">
        <is>
          <t>medium</t>
        </is>
      </c>
      <c r="D620" s="77" t="inlineStr">
        <is>
          <t>E2</t>
        </is>
      </c>
      <c r="E620" s="77" t="inlineStr">
        <is>
          <t>CCL — EXEMPT for the relieved case (mineralogical/metallurgical, HMRC CCL1/3 s3.14; D71)</t>
        </is>
      </c>
      <c r="F620" s="77" t="inlineStr">
        <is>
          <t>5 General taxation &amp; levies</t>
        </is>
      </c>
      <c r="G620" s="77" t="inlineStr">
        <is>
          <t>climate levy (tax)</t>
        </is>
      </c>
      <c r="H620" s="77" t="inlineStr">
        <is>
          <t>i</t>
        </is>
      </c>
      <c r="I620" s="77">
        <f>IF(ISNUMBER(N620),N620*fx_deflator!$I$20*fx_deflator!$M$20,"")</f>
        <v/>
      </c>
      <c r="J620" s="77" t="inlineStr">
        <is>
          <t>HMRC Excise Notice CCL1/3 s3.14 + Annex A (exemption from 01.04.2014). S209</t>
        </is>
      </c>
      <c r="K620" s="77" t="inlineStr">
        <is>
          <t>stage4_uk r22</t>
        </is>
      </c>
      <c r="L620" s="77" t="inlineStr">
        <is>
          <t>2026-07-15</t>
        </is>
      </c>
      <c r="M620" s="77" t="inlineStr">
        <is>
          <t>N</t>
        </is>
      </c>
      <c r="N620" s="136">
        <f>IF(ISNUMBER(timeseries!S14),0,"")</f>
        <v/>
      </c>
      <c r="O620" s="77" t="inlineStr">
        <is>
          <t>GBP/MWh nominal</t>
        </is>
      </c>
    </row>
    <row r="621" ht="15" customHeight="1" s="78">
      <c r="A621" s="77" t="inlineStr">
        <is>
          <t>DE</t>
        </is>
      </c>
      <c r="B621" s="77" t="n">
        <v>2010</v>
      </c>
      <c r="C621" s="77" t="inlineStr">
        <is>
          <t>large</t>
        </is>
      </c>
      <c r="D621" s="77" t="inlineStr">
        <is>
          <t>E1</t>
        </is>
      </c>
      <c r="E621" s="77" t="inlineStr">
        <is>
          <t>Netzentgelte HoeS (LP+AP)</t>
        </is>
      </c>
      <c r="F621" s="77" t="inlineStr">
        <is>
          <t>3 Network</t>
        </is>
      </c>
      <c r="G621" s="77" t="inlineStr">
        <is>
          <t>transmission network charge</t>
        </is>
      </c>
      <c r="H621" s="77" t="inlineStr">
        <is>
          <t>i</t>
        </is>
      </c>
      <c r="I621" s="77">
        <f>IF(ISNUMBER(N621),N621*fx_deflator!$J$5*fx_deflator!$M$5,"")</f>
        <v/>
      </c>
      <c r="J621" s="77" t="inlineStr">
        <is>
          <t>Amprion Preisblatt archive; netztransparenz joint UeNB-Preisblatt (bundeseinheitlich 2023+)</t>
        </is>
      </c>
      <c r="K621" s="77" t="inlineStr">
        <is>
          <t>stage4_de r11-12</t>
        </is>
      </c>
      <c r="L621" s="77" t="inlineStr">
        <is>
          <t>2026-07-15</t>
        </is>
      </c>
      <c r="M621" s="77" t="inlineStr">
        <is>
          <t>N</t>
        </is>
      </c>
      <c r="N621" s="136">
        <f>IF(ISNUMBER(timeseries!D33),timeseries!D33,"")</f>
        <v/>
      </c>
      <c r="O621" s="77" t="inlineStr">
        <is>
          <t>EUR/MWh nominal</t>
        </is>
      </c>
    </row>
    <row r="622" ht="15" customHeight="1" s="78">
      <c r="A622" s="77" t="inlineStr">
        <is>
          <t>DE</t>
        </is>
      </c>
      <c r="B622" s="77" t="n">
        <v>2010</v>
      </c>
      <c r="C622" s="77" t="inlineStr">
        <is>
          <t>large</t>
        </is>
      </c>
      <c r="D622" s="77" t="inlineStr">
        <is>
          <t>E1</t>
        </is>
      </c>
      <c r="E622" s="77" t="inlineStr">
        <is>
          <t>EEG-Umlage (full, non-privileged)</t>
        </is>
      </c>
      <c r="F622" s="77" t="inlineStr">
        <is>
          <t>2 Gen capital recovery</t>
        </is>
      </c>
      <c r="G622" s="77" t="inlineStr">
        <is>
          <t>renewables levy (Umlage)</t>
        </is>
      </c>
      <c r="H622" s="77" t="inlineStr">
        <is>
          <t>i (0 from 07/2022 — cost moved to taxpayer, see HATCH iii row)</t>
        </is>
      </c>
      <c r="I622" s="77">
        <f>IF(ISNUMBER(N622),N622*fx_deflator!$J$5*fx_deflator!$M$5,"")</f>
        <v/>
      </c>
      <c r="J622" s="77" t="inlineStr">
        <is>
          <t>netztransparenz.de EEG-Umlagen der Vorjahre + per-year pages</t>
        </is>
      </c>
      <c r="K622" s="77" t="inlineStr">
        <is>
          <t>stage4_de r21</t>
        </is>
      </c>
      <c r="L622" s="77" t="inlineStr">
        <is>
          <t>2026-07-15</t>
        </is>
      </c>
      <c r="M622" s="77" t="inlineStr">
        <is>
          <t>N</t>
        </is>
      </c>
      <c r="N622" s="136">
        <f>IF(ISNUMBER(timeseries!D35),timeseries!D35,"")</f>
        <v/>
      </c>
      <c r="O622" s="77" t="inlineStr">
        <is>
          <t>EUR/MWh nominal</t>
        </is>
      </c>
    </row>
    <row r="623" ht="15" customHeight="1" s="78">
      <c r="A623" s="77" t="inlineStr">
        <is>
          <t>DE</t>
        </is>
      </c>
      <c r="B623" s="77" t="n">
        <v>2010</v>
      </c>
      <c r="C623" s="77" t="inlineStr">
        <is>
          <t>large</t>
        </is>
      </c>
      <c r="D623" s="77" t="inlineStr">
        <is>
          <t>E1</t>
        </is>
      </c>
      <c r="E623" s="77" t="inlineStr">
        <is>
          <t>KWKG-Umlage</t>
        </is>
      </c>
      <c r="F623" s="77" t="inlineStr">
        <is>
          <t>2 Gen capital recovery</t>
        </is>
      </c>
      <c r="G623" s="77" t="inlineStr">
        <is>
          <t>CHP levy (Umlage)</t>
        </is>
      </c>
      <c r="H623" s="77" t="inlineStr">
        <is>
          <t>i</t>
        </is>
      </c>
      <c r="I623" s="77">
        <f>IF(ISNUMBER(N623),N623*fx_deflator!$J$5*fx_deflator!$M$5,"")</f>
        <v/>
      </c>
      <c r="J623" s="77" t="inlineStr">
        <is>
          <t>netztransparenz Uebersicht KWKG-Aufschlaege 2002-2016 + per-year pages; tranche blends</t>
        </is>
      </c>
      <c r="K623" s="77" t="inlineStr">
        <is>
          <t>stage4_de r22-24</t>
        </is>
      </c>
      <c r="L623" s="77" t="inlineStr">
        <is>
          <t>2026-07-15</t>
        </is>
      </c>
      <c r="M623" s="77" t="inlineStr">
        <is>
          <t>Y</t>
        </is>
      </c>
      <c r="N623" s="136">
        <f>IF(ISNUMBER(timeseries!D36),timeseries!D36,"")</f>
        <v/>
      </c>
      <c r="O623" s="77" t="inlineStr">
        <is>
          <t>EUR/MWh nominal</t>
        </is>
      </c>
    </row>
    <row r="624" ht="15" customHeight="1" s="78">
      <c r="A624" s="77" t="inlineStr">
        <is>
          <t>DE</t>
        </is>
      </c>
      <c r="B624" s="77" t="n">
        <v>2010</v>
      </c>
      <c r="C624" s="77" t="inlineStr">
        <is>
          <t>large</t>
        </is>
      </c>
      <c r="D624" s="77" t="inlineStr">
        <is>
          <t>E1</t>
        </is>
      </c>
      <c r="E624" s="77" t="inlineStr">
        <is>
          <t>Stromsteuer (full sec.3 rate)</t>
        </is>
      </c>
      <c r="F624" s="77" t="inlineStr">
        <is>
          <t>5 General taxation &amp; levies</t>
        </is>
      </c>
      <c r="G624" s="77" t="inlineStr">
        <is>
          <t>electricity tax</t>
        </is>
      </c>
      <c r="H624" s="77" t="inlineStr">
        <is>
          <t>i</t>
        </is>
      </c>
      <c r="I624" s="77">
        <f>IF(ISNUMBER(N624),N624*fx_deflator!$J$5*fx_deflator!$M$5,"")</f>
        <v/>
      </c>
      <c r="J624" s="77" t="inlineStr">
        <is>
          <t>StromStG sec.3/sec.9b (BGBl. 2025 I Nr. 340: 0.50 permanent from 2026); gesetze-im-internet.de</t>
        </is>
      </c>
      <c r="K624" s="77" t="inlineStr">
        <is>
          <t>stage4_de r34-35</t>
        </is>
      </c>
      <c r="L624" s="77" t="inlineStr">
        <is>
          <t>2026-07-15</t>
        </is>
      </c>
      <c r="M624" s="77" t="inlineStr">
        <is>
          <t>N</t>
        </is>
      </c>
      <c r="N624" s="77">
        <f>IF(ISNUMBER(stage4_de!D34),stage4_de!D34,"")</f>
        <v/>
      </c>
      <c r="O624" s="77" t="inlineStr">
        <is>
          <t>EUR/MWh nominal</t>
        </is>
      </c>
    </row>
    <row r="625" ht="15" customHeight="1" s="78">
      <c r="A625" s="77" t="inlineStr">
        <is>
          <t>DE</t>
        </is>
      </c>
      <c r="B625" s="77" t="n">
        <v>2010</v>
      </c>
      <c r="C625" s="77" t="inlineStr">
        <is>
          <t>large</t>
        </is>
      </c>
      <c r="D625" s="77" t="inlineStr">
        <is>
          <t>E1</t>
        </is>
      </c>
      <c r="E625" s="77" t="inlineStr">
        <is>
          <t>Konzessionsabgabe (0 via Grenzpreis rule)</t>
        </is>
      </c>
      <c r="F625" s="77" t="inlineStr">
        <is>
          <t>5 General taxation &amp; levies</t>
        </is>
      </c>
      <c r="G625" s="77" t="inlineStr">
        <is>
          <t>concession fee</t>
        </is>
      </c>
      <c r="H625" s="77" t="inlineStr">
        <is>
          <t>i</t>
        </is>
      </c>
      <c r="I625" s="77">
        <f>IF(ISNUMBER(N625),N625*fx_deflator!$J$5*fx_deflator!$M$5,"")</f>
        <v/>
      </c>
      <c r="J625" s="77" t="inlineStr">
        <is>
          <t>KAV sec.2(3)/(4) Grenzpreis rule -&gt; 0 for Sondervertragskunden</t>
        </is>
      </c>
      <c r="K625" s="77" t="inlineStr">
        <is>
          <t>stage4_de r36</t>
        </is>
      </c>
      <c r="L625" s="77" t="inlineStr">
        <is>
          <t>2026-07-15</t>
        </is>
      </c>
      <c r="M625" s="77" t="inlineStr">
        <is>
          <t>N</t>
        </is>
      </c>
      <c r="N625" s="77">
        <f>IF(ISNUMBER(stage4_de!D36),stage4_de!D36*10,"")</f>
        <v/>
      </c>
      <c r="O625" s="77" t="inlineStr">
        <is>
          <t>EUR/MWh nominal</t>
        </is>
      </c>
    </row>
    <row r="626" ht="15" customHeight="1" s="78">
      <c r="A626" s="77" t="inlineStr">
        <is>
          <t>DE</t>
        </is>
      </c>
      <c r="B626" s="77" t="n">
        <v>2011</v>
      </c>
      <c r="C626" s="77" t="inlineStr">
        <is>
          <t>large</t>
        </is>
      </c>
      <c r="D626" s="77" t="inlineStr">
        <is>
          <t>E1</t>
        </is>
      </c>
      <c r="E626" s="77" t="inlineStr">
        <is>
          <t>Wholesale (Phelix base front-year)</t>
        </is>
      </c>
      <c r="F626" s="77" t="inlineStr">
        <is>
          <t>1 Commodity</t>
        </is>
      </c>
      <c r="G626" s="77" t="inlineStr">
        <is>
          <t>wholesale market</t>
        </is>
      </c>
      <c r="H626" s="77" t="inlineStr">
        <is>
          <t>i</t>
        </is>
      </c>
      <c r="I626" s="77">
        <f>IF(ISNUMBER(N626),N626*fx_deflator!$J$6*fx_deflator!$M$6,"")</f>
        <v/>
      </c>
      <c r="J626" s="77" t="inlineStr">
        <is>
          <t>BNetzA Monitoringberichte — Phelix base front-year by trading yr -&gt; delivery yr; 2026 = D29</t>
        </is>
      </c>
      <c r="K626" s="77" t="inlineStr">
        <is>
          <t>stage4_de r7</t>
        </is>
      </c>
      <c r="L626" s="77" t="inlineStr">
        <is>
          <t>2026-07-15</t>
        </is>
      </c>
      <c r="M626" s="77" t="inlineStr">
        <is>
          <t>Y</t>
        </is>
      </c>
      <c r="N626" s="136">
        <f>IF(ISNUMBER(timeseries!E32),timeseries!E32,"")</f>
        <v/>
      </c>
      <c r="O626" s="77" t="inlineStr">
        <is>
          <t>EUR/MWh nominal</t>
        </is>
      </c>
    </row>
    <row r="627" ht="15" customHeight="1" s="78">
      <c r="A627" s="77" t="inlineStr">
        <is>
          <t>DE</t>
        </is>
      </c>
      <c r="B627" s="77" t="n">
        <v>2011</v>
      </c>
      <c r="C627" s="77" t="inlineStr">
        <is>
          <t>large</t>
        </is>
      </c>
      <c r="D627" s="77" t="inlineStr">
        <is>
          <t>E1</t>
        </is>
      </c>
      <c r="E627" s="77" t="inlineStr">
        <is>
          <t>Netzentgelte HoeS (LP+AP)</t>
        </is>
      </c>
      <c r="F627" s="77" t="inlineStr">
        <is>
          <t>3 Network</t>
        </is>
      </c>
      <c r="G627" s="77" t="inlineStr">
        <is>
          <t>transmission network charge</t>
        </is>
      </c>
      <c r="H627" s="77" t="inlineStr">
        <is>
          <t>i</t>
        </is>
      </c>
      <c r="I627" s="77">
        <f>IF(ISNUMBER(N627),N627*fx_deflator!$J$6*fx_deflator!$M$6,"")</f>
        <v/>
      </c>
      <c r="J627" s="77" t="inlineStr">
        <is>
          <t>Amprion Preisblatt archive; netztransparenz joint UeNB-Preisblatt (bundeseinheitlich 2023+)</t>
        </is>
      </c>
      <c r="K627" s="77" t="inlineStr">
        <is>
          <t>stage4_de r11-12</t>
        </is>
      </c>
      <c r="L627" s="77" t="inlineStr">
        <is>
          <t>2026-07-15</t>
        </is>
      </c>
      <c r="M627" s="77" t="inlineStr">
        <is>
          <t>N</t>
        </is>
      </c>
      <c r="N627" s="136">
        <f>IF(ISNUMBER(timeseries!E33),timeseries!E33,"")</f>
        <v/>
      </c>
      <c r="O627" s="77" t="inlineStr">
        <is>
          <t>EUR/MWh nominal</t>
        </is>
      </c>
    </row>
    <row r="628" ht="15" customHeight="1" s="78">
      <c r="A628" s="77" t="inlineStr">
        <is>
          <t>DE</t>
        </is>
      </c>
      <c r="B628" s="77" t="n">
        <v>2011</v>
      </c>
      <c r="C628" s="77" t="inlineStr">
        <is>
          <t>large</t>
        </is>
      </c>
      <c r="D628" s="77" t="inlineStr">
        <is>
          <t>E1</t>
        </is>
      </c>
      <c r="E628" s="77" t="inlineStr">
        <is>
          <t>EEG-Umlage (full, non-privileged)</t>
        </is>
      </c>
      <c r="F628" s="77" t="inlineStr">
        <is>
          <t>2 Gen capital recovery</t>
        </is>
      </c>
      <c r="G628" s="77" t="inlineStr">
        <is>
          <t>renewables levy (Umlage)</t>
        </is>
      </c>
      <c r="H628" s="77" t="inlineStr">
        <is>
          <t>i (0 from 07/2022 — cost moved to taxpayer, see HATCH iii row)</t>
        </is>
      </c>
      <c r="I628" s="77">
        <f>IF(ISNUMBER(N628),N628*fx_deflator!$J$6*fx_deflator!$M$6,"")</f>
        <v/>
      </c>
      <c r="J628" s="77" t="inlineStr">
        <is>
          <t>netztransparenz.de EEG-Umlagen der Vorjahre + per-year pages</t>
        </is>
      </c>
      <c r="K628" s="77" t="inlineStr">
        <is>
          <t>stage4_de r21</t>
        </is>
      </c>
      <c r="L628" s="77" t="inlineStr">
        <is>
          <t>2026-07-15</t>
        </is>
      </c>
      <c r="M628" s="77" t="inlineStr">
        <is>
          <t>N</t>
        </is>
      </c>
      <c r="N628" s="136">
        <f>IF(ISNUMBER(timeseries!E35),timeseries!E35,"")</f>
        <v/>
      </c>
      <c r="O628" s="77" t="inlineStr">
        <is>
          <t>EUR/MWh nominal</t>
        </is>
      </c>
    </row>
    <row r="629" ht="15" customHeight="1" s="78">
      <c r="A629" s="77" t="inlineStr">
        <is>
          <t>DE</t>
        </is>
      </c>
      <c r="B629" s="77" t="n">
        <v>2011</v>
      </c>
      <c r="C629" s="77" t="inlineStr">
        <is>
          <t>large</t>
        </is>
      </c>
      <c r="D629" s="77" t="inlineStr">
        <is>
          <t>E1</t>
        </is>
      </c>
      <c r="E629" s="77" t="inlineStr">
        <is>
          <t>KWKG-Umlage</t>
        </is>
      </c>
      <c r="F629" s="77" t="inlineStr">
        <is>
          <t>2 Gen capital recovery</t>
        </is>
      </c>
      <c r="G629" s="77" t="inlineStr">
        <is>
          <t>CHP levy (Umlage)</t>
        </is>
      </c>
      <c r="H629" s="77" t="inlineStr">
        <is>
          <t>i</t>
        </is>
      </c>
      <c r="I629" s="77">
        <f>IF(ISNUMBER(N629),N629*fx_deflator!$J$6*fx_deflator!$M$6,"")</f>
        <v/>
      </c>
      <c r="J629" s="77" t="inlineStr">
        <is>
          <t>netztransparenz Uebersicht KWKG-Aufschlaege 2002-2016 + per-year pages; tranche blends</t>
        </is>
      </c>
      <c r="K629" s="77" t="inlineStr">
        <is>
          <t>stage4_de r22-24</t>
        </is>
      </c>
      <c r="L629" s="77" t="inlineStr">
        <is>
          <t>2026-07-15</t>
        </is>
      </c>
      <c r="M629" s="77" t="inlineStr">
        <is>
          <t>Y</t>
        </is>
      </c>
      <c r="N629" s="136">
        <f>IF(ISNUMBER(timeseries!E36),timeseries!E36,"")</f>
        <v/>
      </c>
      <c r="O629" s="77" t="inlineStr">
        <is>
          <t>EUR/MWh nominal</t>
        </is>
      </c>
    </row>
    <row r="630" ht="15" customHeight="1" s="78">
      <c r="A630" s="77" t="inlineStr">
        <is>
          <t>DE</t>
        </is>
      </c>
      <c r="B630" s="77" t="n">
        <v>2011</v>
      </c>
      <c r="C630" s="77" t="inlineStr">
        <is>
          <t>large</t>
        </is>
      </c>
      <c r="D630" s="77" t="inlineStr">
        <is>
          <t>E1</t>
        </is>
      </c>
      <c r="E630" s="77" t="inlineStr">
        <is>
          <t>Stromsteuer (full sec.3 rate)</t>
        </is>
      </c>
      <c r="F630" s="77" t="inlineStr">
        <is>
          <t>5 General taxation &amp; levies</t>
        </is>
      </c>
      <c r="G630" s="77" t="inlineStr">
        <is>
          <t>electricity tax</t>
        </is>
      </c>
      <c r="H630" s="77" t="inlineStr">
        <is>
          <t>i</t>
        </is>
      </c>
      <c r="I630" s="77">
        <f>IF(ISNUMBER(N630),N630*fx_deflator!$J$6*fx_deflator!$M$6,"")</f>
        <v/>
      </c>
      <c r="J630" s="77" t="inlineStr">
        <is>
          <t>StromStG sec.3/sec.9b (BGBl. 2025 I Nr. 340: 0.50 permanent from 2026); gesetze-im-internet.de</t>
        </is>
      </c>
      <c r="K630" s="77" t="inlineStr">
        <is>
          <t>stage4_de r34-35</t>
        </is>
      </c>
      <c r="L630" s="77" t="inlineStr">
        <is>
          <t>2026-07-15</t>
        </is>
      </c>
      <c r="M630" s="77" t="inlineStr">
        <is>
          <t>N</t>
        </is>
      </c>
      <c r="N630" s="77">
        <f>IF(ISNUMBER(stage4_de!E34),stage4_de!E34,"")</f>
        <v/>
      </c>
      <c r="O630" s="77" t="inlineStr">
        <is>
          <t>EUR/MWh nominal</t>
        </is>
      </c>
    </row>
    <row r="631" ht="15" customHeight="1" s="78">
      <c r="A631" s="77" t="inlineStr">
        <is>
          <t>DE</t>
        </is>
      </c>
      <c r="B631" s="77" t="n">
        <v>2011</v>
      </c>
      <c r="C631" s="77" t="inlineStr">
        <is>
          <t>large</t>
        </is>
      </c>
      <c r="D631" s="77" t="inlineStr">
        <is>
          <t>E1</t>
        </is>
      </c>
      <c r="E631" s="77" t="inlineStr">
        <is>
          <t>Konzessionsabgabe (0 via Grenzpreis rule)</t>
        </is>
      </c>
      <c r="F631" s="77" t="inlineStr">
        <is>
          <t>5 General taxation &amp; levies</t>
        </is>
      </c>
      <c r="G631" s="77" t="inlineStr">
        <is>
          <t>concession fee</t>
        </is>
      </c>
      <c r="H631" s="77" t="inlineStr">
        <is>
          <t>i</t>
        </is>
      </c>
      <c r="I631" s="77">
        <f>IF(ISNUMBER(N631),N631*fx_deflator!$J$6*fx_deflator!$M$6,"")</f>
        <v/>
      </c>
      <c r="J631" s="77" t="inlineStr">
        <is>
          <t>KAV sec.2(3)/(4) Grenzpreis rule -&gt; 0 for Sondervertragskunden</t>
        </is>
      </c>
      <c r="K631" s="77" t="inlineStr">
        <is>
          <t>stage4_de r36</t>
        </is>
      </c>
      <c r="L631" s="77" t="inlineStr">
        <is>
          <t>2026-07-15</t>
        </is>
      </c>
      <c r="M631" s="77" t="inlineStr">
        <is>
          <t>N</t>
        </is>
      </c>
      <c r="N631" s="77">
        <f>IF(ISNUMBER(stage4_de!E36),stage4_de!E36*10,"")</f>
        <v/>
      </c>
      <c r="O631" s="77" t="inlineStr">
        <is>
          <t>EUR/MWh nominal</t>
        </is>
      </c>
    </row>
    <row r="632" ht="15" customHeight="1" s="78">
      <c r="A632" s="77" t="inlineStr">
        <is>
          <t>DE</t>
        </is>
      </c>
      <c r="B632" s="77" t="n">
        <v>2012</v>
      </c>
      <c r="C632" s="77" t="inlineStr">
        <is>
          <t>large</t>
        </is>
      </c>
      <c r="D632" s="77" t="inlineStr">
        <is>
          <t>E1</t>
        </is>
      </c>
      <c r="E632" s="77" t="inlineStr">
        <is>
          <t>Wholesale (Phelix base front-year)</t>
        </is>
      </c>
      <c r="F632" s="77" t="inlineStr">
        <is>
          <t>1 Commodity</t>
        </is>
      </c>
      <c r="G632" s="77" t="inlineStr">
        <is>
          <t>wholesale market</t>
        </is>
      </c>
      <c r="H632" s="77" t="inlineStr">
        <is>
          <t>i</t>
        </is>
      </c>
      <c r="I632" s="77">
        <f>IF(ISNUMBER(N632),N632*fx_deflator!$J$7*fx_deflator!$M$7,"")</f>
        <v/>
      </c>
      <c r="J632" s="77" t="inlineStr">
        <is>
          <t>BNetzA Monitoringberichte — Phelix base front-year by trading yr -&gt; delivery yr; 2026 = D29</t>
        </is>
      </c>
      <c r="K632" s="77" t="inlineStr">
        <is>
          <t>stage4_de r7</t>
        </is>
      </c>
      <c r="L632" s="77" t="inlineStr">
        <is>
          <t>2026-07-15</t>
        </is>
      </c>
      <c r="M632" s="77" t="inlineStr">
        <is>
          <t>Y</t>
        </is>
      </c>
      <c r="N632" s="136">
        <f>IF(ISNUMBER(timeseries!F32),timeseries!F32,"")</f>
        <v/>
      </c>
      <c r="O632" s="77" t="inlineStr">
        <is>
          <t>EUR/MWh nominal</t>
        </is>
      </c>
    </row>
    <row r="633" ht="15" customHeight="1" s="78">
      <c r="A633" s="77" t="inlineStr">
        <is>
          <t>DE</t>
        </is>
      </c>
      <c r="B633" s="77" t="n">
        <v>2012</v>
      </c>
      <c r="C633" s="77" t="inlineStr">
        <is>
          <t>large</t>
        </is>
      </c>
      <c r="D633" s="77" t="inlineStr">
        <is>
          <t>E1</t>
        </is>
      </c>
      <c r="E633" s="77" t="inlineStr">
        <is>
          <t>Netzentgelte HoeS (LP+AP)</t>
        </is>
      </c>
      <c r="F633" s="77" t="inlineStr">
        <is>
          <t>3 Network</t>
        </is>
      </c>
      <c r="G633" s="77" t="inlineStr">
        <is>
          <t>transmission network charge</t>
        </is>
      </c>
      <c r="H633" s="77" t="inlineStr">
        <is>
          <t>i</t>
        </is>
      </c>
      <c r="I633" s="77">
        <f>IF(ISNUMBER(N633),N633*fx_deflator!$J$7*fx_deflator!$M$7,"")</f>
        <v/>
      </c>
      <c r="J633" s="77" t="inlineStr">
        <is>
          <t>Amprion Preisblatt archive; netztransparenz joint UeNB-Preisblatt (bundeseinheitlich 2023+)</t>
        </is>
      </c>
      <c r="K633" s="77" t="inlineStr">
        <is>
          <t>stage4_de r11-12</t>
        </is>
      </c>
      <c r="L633" s="77" t="inlineStr">
        <is>
          <t>2026-07-15</t>
        </is>
      </c>
      <c r="M633" s="77" t="inlineStr">
        <is>
          <t>N</t>
        </is>
      </c>
      <c r="N633" s="136">
        <f>IF(ISNUMBER(timeseries!F33),timeseries!F33,"")</f>
        <v/>
      </c>
      <c r="O633" s="77" t="inlineStr">
        <is>
          <t>EUR/MWh nominal</t>
        </is>
      </c>
    </row>
    <row r="634" ht="15" customHeight="1" s="78">
      <c r="A634" s="77" t="inlineStr">
        <is>
          <t>DE</t>
        </is>
      </c>
      <c r="B634" s="77" t="n">
        <v>2012</v>
      </c>
      <c r="C634" s="77" t="inlineStr">
        <is>
          <t>large</t>
        </is>
      </c>
      <c r="D634" s="77" t="inlineStr">
        <is>
          <t>E1</t>
        </is>
      </c>
      <c r="E634" s="77" t="inlineStr">
        <is>
          <t>EEG-Umlage (full, non-privileged)</t>
        </is>
      </c>
      <c r="F634" s="77" t="inlineStr">
        <is>
          <t>2 Gen capital recovery</t>
        </is>
      </c>
      <c r="G634" s="77" t="inlineStr">
        <is>
          <t>renewables levy (Umlage)</t>
        </is>
      </c>
      <c r="H634" s="77" t="inlineStr">
        <is>
          <t>i (0 from 07/2022 — cost moved to taxpayer, see HATCH iii row)</t>
        </is>
      </c>
      <c r="I634" s="77">
        <f>IF(ISNUMBER(N634),N634*fx_deflator!$J$7*fx_deflator!$M$7,"")</f>
        <v/>
      </c>
      <c r="J634" s="77" t="inlineStr">
        <is>
          <t>netztransparenz.de EEG-Umlagen der Vorjahre + per-year pages</t>
        </is>
      </c>
      <c r="K634" s="77" t="inlineStr">
        <is>
          <t>stage4_de r21</t>
        </is>
      </c>
      <c r="L634" s="77" t="inlineStr">
        <is>
          <t>2026-07-15</t>
        </is>
      </c>
      <c r="M634" s="77" t="inlineStr">
        <is>
          <t>N</t>
        </is>
      </c>
      <c r="N634" s="136">
        <f>IF(ISNUMBER(timeseries!F35),timeseries!F35,"")</f>
        <v/>
      </c>
      <c r="O634" s="77" t="inlineStr">
        <is>
          <t>EUR/MWh nominal</t>
        </is>
      </c>
    </row>
    <row r="635" ht="15" customHeight="1" s="78">
      <c r="A635" s="77" t="inlineStr">
        <is>
          <t>DE</t>
        </is>
      </c>
      <c r="B635" s="77" t="n">
        <v>2012</v>
      </c>
      <c r="C635" s="77" t="inlineStr">
        <is>
          <t>large</t>
        </is>
      </c>
      <c r="D635" s="77" t="inlineStr">
        <is>
          <t>E1</t>
        </is>
      </c>
      <c r="E635" s="77" t="inlineStr">
        <is>
          <t>KWKG-Umlage</t>
        </is>
      </c>
      <c r="F635" s="77" t="inlineStr">
        <is>
          <t>2 Gen capital recovery</t>
        </is>
      </c>
      <c r="G635" s="77" t="inlineStr">
        <is>
          <t>CHP levy (Umlage)</t>
        </is>
      </c>
      <c r="H635" s="77" t="inlineStr">
        <is>
          <t>i</t>
        </is>
      </c>
      <c r="I635" s="77">
        <f>IF(ISNUMBER(N635),N635*fx_deflator!$J$7*fx_deflator!$M$7,"")</f>
        <v/>
      </c>
      <c r="J635" s="77" t="inlineStr">
        <is>
          <t>netztransparenz Uebersicht KWKG-Aufschlaege 2002-2016 + per-year pages; tranche blends</t>
        </is>
      </c>
      <c r="K635" s="77" t="inlineStr">
        <is>
          <t>stage4_de r22-24</t>
        </is>
      </c>
      <c r="L635" s="77" t="inlineStr">
        <is>
          <t>2026-07-15</t>
        </is>
      </c>
      <c r="M635" s="77" t="inlineStr">
        <is>
          <t>Y</t>
        </is>
      </c>
      <c r="N635" s="136">
        <f>IF(ISNUMBER(timeseries!F36),timeseries!F36,"")</f>
        <v/>
      </c>
      <c r="O635" s="77" t="inlineStr">
        <is>
          <t>EUR/MWh nominal</t>
        </is>
      </c>
    </row>
    <row r="636" ht="15" customHeight="1" s="78">
      <c r="A636" s="77" t="inlineStr">
        <is>
          <t>DE</t>
        </is>
      </c>
      <c r="B636" s="77" t="n">
        <v>2012</v>
      </c>
      <c r="C636" s="77" t="inlineStr">
        <is>
          <t>large</t>
        </is>
      </c>
      <c r="D636" s="77" t="inlineStr">
        <is>
          <t>E1</t>
        </is>
      </c>
      <c r="E636" s="77" t="inlineStr">
        <is>
          <t>sec.19 StromNEV-Umlage</t>
        </is>
      </c>
      <c r="F636" s="77" t="inlineStr">
        <is>
          <t>4 System services &amp; balancing</t>
        </is>
      </c>
      <c r="G636" s="77" t="inlineStr">
        <is>
          <t>network levy (Umlage)</t>
        </is>
      </c>
      <c r="H636" s="77" t="inlineStr">
        <is>
          <t>ii (pays for other users net-charge relief)</t>
        </is>
      </c>
      <c r="I636" s="77">
        <f>IF(ISNUMBER(N636),N636*fx_deflator!$J$7*fx_deflator!$M$7,"")</f>
        <v/>
      </c>
      <c r="J636" s="77" t="inlineStr">
        <is>
          <t>netztransparenz per-year Umlagen pages (A-prime/B-prime/C-prime)</t>
        </is>
      </c>
      <c r="K636" s="77" t="inlineStr">
        <is>
          <t>stage4_de r25-27</t>
        </is>
      </c>
      <c r="L636" s="77" t="inlineStr">
        <is>
          <t>2026-07-15</t>
        </is>
      </c>
      <c r="M636" s="77" t="inlineStr">
        <is>
          <t>Y</t>
        </is>
      </c>
      <c r="N636" s="136">
        <f>IF(ISNUMBER(timeseries!F37),timeseries!F37,"")</f>
        <v/>
      </c>
      <c r="O636" s="77" t="inlineStr">
        <is>
          <t>EUR/MWh nominal</t>
        </is>
      </c>
    </row>
    <row r="637" ht="15" customHeight="1" s="78">
      <c r="A637" s="77" t="inlineStr">
        <is>
          <t>DE</t>
        </is>
      </c>
      <c r="B637" s="77" t="n">
        <v>2012</v>
      </c>
      <c r="C637" s="77" t="inlineStr">
        <is>
          <t>large</t>
        </is>
      </c>
      <c r="D637" s="77" t="inlineStr">
        <is>
          <t>E1</t>
        </is>
      </c>
      <c r="E637" s="77" t="inlineStr">
        <is>
          <t>Stromsteuer (full sec.3 rate)</t>
        </is>
      </c>
      <c r="F637" s="77" t="inlineStr">
        <is>
          <t>5 General taxation &amp; levies</t>
        </is>
      </c>
      <c r="G637" s="77" t="inlineStr">
        <is>
          <t>electricity tax</t>
        </is>
      </c>
      <c r="H637" s="77" t="inlineStr">
        <is>
          <t>i</t>
        </is>
      </c>
      <c r="I637" s="77">
        <f>IF(ISNUMBER(N637),N637*fx_deflator!$J$7*fx_deflator!$M$7,"")</f>
        <v/>
      </c>
      <c r="J637" s="77" t="inlineStr">
        <is>
          <t>StromStG sec.3/sec.9b (BGBl. 2025 I Nr. 340: 0.50 permanent from 2026); gesetze-im-internet.de</t>
        </is>
      </c>
      <c r="K637" s="77" t="inlineStr">
        <is>
          <t>stage4_de r34-35</t>
        </is>
      </c>
      <c r="L637" s="77" t="inlineStr">
        <is>
          <t>2026-07-15</t>
        </is>
      </c>
      <c r="M637" s="77" t="inlineStr">
        <is>
          <t>N</t>
        </is>
      </c>
      <c r="N637" s="77">
        <f>IF(ISNUMBER(stage4_de!F34),stage4_de!F34,"")</f>
        <v/>
      </c>
      <c r="O637" s="77" t="inlineStr">
        <is>
          <t>EUR/MWh nominal</t>
        </is>
      </c>
    </row>
    <row r="638" ht="15" customHeight="1" s="78">
      <c r="A638" s="77" t="inlineStr">
        <is>
          <t>DE</t>
        </is>
      </c>
      <c r="B638" s="77" t="n">
        <v>2012</v>
      </c>
      <c r="C638" s="77" t="inlineStr">
        <is>
          <t>large</t>
        </is>
      </c>
      <c r="D638" s="77" t="inlineStr">
        <is>
          <t>E1</t>
        </is>
      </c>
      <c r="E638" s="77" t="inlineStr">
        <is>
          <t>Konzessionsabgabe (0 via Grenzpreis rule)</t>
        </is>
      </c>
      <c r="F638" s="77" t="inlineStr">
        <is>
          <t>5 General taxation &amp; levies</t>
        </is>
      </c>
      <c r="G638" s="77" t="inlineStr">
        <is>
          <t>concession fee</t>
        </is>
      </c>
      <c r="H638" s="77" t="inlineStr">
        <is>
          <t>i</t>
        </is>
      </c>
      <c r="I638" s="77">
        <f>IF(ISNUMBER(N638),N638*fx_deflator!$J$7*fx_deflator!$M$7,"")</f>
        <v/>
      </c>
      <c r="J638" s="77" t="inlineStr">
        <is>
          <t>KAV sec.2(3)/(4) Grenzpreis rule -&gt; 0 for Sondervertragskunden</t>
        </is>
      </c>
      <c r="K638" s="77" t="inlineStr">
        <is>
          <t>stage4_de r36</t>
        </is>
      </c>
      <c r="L638" s="77" t="inlineStr">
        <is>
          <t>2026-07-15</t>
        </is>
      </c>
      <c r="M638" s="77" t="inlineStr">
        <is>
          <t>N</t>
        </is>
      </c>
      <c r="N638" s="77">
        <f>IF(ISNUMBER(stage4_de!F36),stage4_de!F36*10,"")</f>
        <v/>
      </c>
      <c r="O638" s="77" t="inlineStr">
        <is>
          <t>EUR/MWh nominal</t>
        </is>
      </c>
    </row>
    <row r="639" ht="15" customHeight="1" s="78">
      <c r="A639" s="77" t="inlineStr">
        <is>
          <t>DE</t>
        </is>
      </c>
      <c r="B639" s="77" t="n">
        <v>2013</v>
      </c>
      <c r="C639" s="77" t="inlineStr">
        <is>
          <t>large</t>
        </is>
      </c>
      <c r="D639" s="77" t="inlineStr">
        <is>
          <t>E1</t>
        </is>
      </c>
      <c r="E639" s="77" t="inlineStr">
        <is>
          <t>Wholesale (Phelix base front-year)</t>
        </is>
      </c>
      <c r="F639" s="77" t="inlineStr">
        <is>
          <t>1 Commodity</t>
        </is>
      </c>
      <c r="G639" s="77" t="inlineStr">
        <is>
          <t>wholesale market</t>
        </is>
      </c>
      <c r="H639" s="77" t="inlineStr">
        <is>
          <t>i</t>
        </is>
      </c>
      <c r="I639" s="77">
        <f>IF(ISNUMBER(N639),N639*fx_deflator!$J$8*fx_deflator!$M$8,"")</f>
        <v/>
      </c>
      <c r="J639" s="77" t="inlineStr">
        <is>
          <t>BNetzA Monitoringberichte — Phelix base front-year by trading yr -&gt; delivery yr; 2026 = D29</t>
        </is>
      </c>
      <c r="K639" s="77" t="inlineStr">
        <is>
          <t>stage4_de r7</t>
        </is>
      </c>
      <c r="L639" s="77" t="inlineStr">
        <is>
          <t>2026-07-15</t>
        </is>
      </c>
      <c r="M639" s="77" t="inlineStr">
        <is>
          <t>Y</t>
        </is>
      </c>
      <c r="N639" s="136">
        <f>IF(ISNUMBER(timeseries!G32),timeseries!G32,"")</f>
        <v/>
      </c>
      <c r="O639" s="77" t="inlineStr">
        <is>
          <t>EUR/MWh nominal</t>
        </is>
      </c>
    </row>
    <row r="640" ht="15" customHeight="1" s="78">
      <c r="A640" s="77" t="inlineStr">
        <is>
          <t>DE</t>
        </is>
      </c>
      <c r="B640" s="77" t="n">
        <v>2013</v>
      </c>
      <c r="C640" s="77" t="inlineStr">
        <is>
          <t>large</t>
        </is>
      </c>
      <c r="D640" s="77" t="inlineStr">
        <is>
          <t>E1</t>
        </is>
      </c>
      <c r="E640" s="77" t="inlineStr">
        <is>
          <t>Netzentgelte HoeS (LP+AP)</t>
        </is>
      </c>
      <c r="F640" s="77" t="inlineStr">
        <is>
          <t>3 Network</t>
        </is>
      </c>
      <c r="G640" s="77" t="inlineStr">
        <is>
          <t>transmission network charge</t>
        </is>
      </c>
      <c r="H640" s="77" t="inlineStr">
        <is>
          <t>i</t>
        </is>
      </c>
      <c r="I640" s="77">
        <f>IF(ISNUMBER(N640),N640*fx_deflator!$J$8*fx_deflator!$M$8,"")</f>
        <v/>
      </c>
      <c r="J640" s="77" t="inlineStr">
        <is>
          <t>Amprion Preisblatt archive; netztransparenz joint UeNB-Preisblatt (bundeseinheitlich 2023+)</t>
        </is>
      </c>
      <c r="K640" s="77" t="inlineStr">
        <is>
          <t>stage4_de r11-12</t>
        </is>
      </c>
      <c r="L640" s="77" t="inlineStr">
        <is>
          <t>2026-07-15</t>
        </is>
      </c>
      <c r="M640" s="77" t="inlineStr">
        <is>
          <t>N</t>
        </is>
      </c>
      <c r="N640" s="136">
        <f>IF(ISNUMBER(timeseries!G33),timeseries!G33,"")</f>
        <v/>
      </c>
      <c r="O640" s="77" t="inlineStr">
        <is>
          <t>EUR/MWh nominal</t>
        </is>
      </c>
    </row>
    <row r="641" ht="15" customHeight="1" s="78">
      <c r="A641" s="77" t="inlineStr">
        <is>
          <t>DE</t>
        </is>
      </c>
      <c r="B641" s="77" t="n">
        <v>2013</v>
      </c>
      <c r="C641" s="77" t="inlineStr">
        <is>
          <t>large</t>
        </is>
      </c>
      <c r="D641" s="77" t="inlineStr">
        <is>
          <t>E1</t>
        </is>
      </c>
      <c r="E641" s="77" t="inlineStr">
        <is>
          <t>EEG-Umlage (full, non-privileged)</t>
        </is>
      </c>
      <c r="F641" s="77" t="inlineStr">
        <is>
          <t>2 Gen capital recovery</t>
        </is>
      </c>
      <c r="G641" s="77" t="inlineStr">
        <is>
          <t>renewables levy (Umlage)</t>
        </is>
      </c>
      <c r="H641" s="77" t="inlineStr">
        <is>
          <t>i (0 from 07/2022 — cost moved to taxpayer, see HATCH iii row)</t>
        </is>
      </c>
      <c r="I641" s="77">
        <f>IF(ISNUMBER(N641),N641*fx_deflator!$J$8*fx_deflator!$M$8,"")</f>
        <v/>
      </c>
      <c r="J641" s="77" t="inlineStr">
        <is>
          <t>netztransparenz.de EEG-Umlagen der Vorjahre + per-year pages</t>
        </is>
      </c>
      <c r="K641" s="77" t="inlineStr">
        <is>
          <t>stage4_de r21</t>
        </is>
      </c>
      <c r="L641" s="77" t="inlineStr">
        <is>
          <t>2026-07-15</t>
        </is>
      </c>
      <c r="M641" s="77" t="inlineStr">
        <is>
          <t>N</t>
        </is>
      </c>
      <c r="N641" s="136">
        <f>IF(ISNUMBER(timeseries!G35),timeseries!G35,"")</f>
        <v/>
      </c>
      <c r="O641" s="77" t="inlineStr">
        <is>
          <t>EUR/MWh nominal</t>
        </is>
      </c>
    </row>
    <row r="642" ht="15" customHeight="1" s="78">
      <c r="A642" s="77" t="inlineStr">
        <is>
          <t>DE</t>
        </is>
      </c>
      <c r="B642" s="77" t="n">
        <v>2013</v>
      </c>
      <c r="C642" s="77" t="inlineStr">
        <is>
          <t>large</t>
        </is>
      </c>
      <c r="D642" s="77" t="inlineStr">
        <is>
          <t>E1</t>
        </is>
      </c>
      <c r="E642" s="77" t="inlineStr">
        <is>
          <t>KWKG-Umlage</t>
        </is>
      </c>
      <c r="F642" s="77" t="inlineStr">
        <is>
          <t>2 Gen capital recovery</t>
        </is>
      </c>
      <c r="G642" s="77" t="inlineStr">
        <is>
          <t>CHP levy (Umlage)</t>
        </is>
      </c>
      <c r="H642" s="77" t="inlineStr">
        <is>
          <t>i</t>
        </is>
      </c>
      <c r="I642" s="77">
        <f>IF(ISNUMBER(N642),N642*fx_deflator!$J$8*fx_deflator!$M$8,"")</f>
        <v/>
      </c>
      <c r="J642" s="77" t="inlineStr">
        <is>
          <t>netztransparenz Uebersicht KWKG-Aufschlaege 2002-2016 + per-year pages; tranche blends</t>
        </is>
      </c>
      <c r="K642" s="77" t="inlineStr">
        <is>
          <t>stage4_de r22-24</t>
        </is>
      </c>
      <c r="L642" s="77" t="inlineStr">
        <is>
          <t>2026-07-15</t>
        </is>
      </c>
      <c r="M642" s="77" t="inlineStr">
        <is>
          <t>Y</t>
        </is>
      </c>
      <c r="N642" s="136">
        <f>IF(ISNUMBER(timeseries!G36),timeseries!G36,"")</f>
        <v/>
      </c>
      <c r="O642" s="77" t="inlineStr">
        <is>
          <t>EUR/MWh nominal</t>
        </is>
      </c>
    </row>
    <row r="643" ht="15" customHeight="1" s="78">
      <c r="A643" s="77" t="inlineStr">
        <is>
          <t>DE</t>
        </is>
      </c>
      <c r="B643" s="77" t="n">
        <v>2013</v>
      </c>
      <c r="C643" s="77" t="inlineStr">
        <is>
          <t>large</t>
        </is>
      </c>
      <c r="D643" s="77" t="inlineStr">
        <is>
          <t>E1</t>
        </is>
      </c>
      <c r="E643" s="77" t="inlineStr">
        <is>
          <t>sec.19 StromNEV-Umlage</t>
        </is>
      </c>
      <c r="F643" s="77" t="inlineStr">
        <is>
          <t>4 System services &amp; balancing</t>
        </is>
      </c>
      <c r="G643" s="77" t="inlineStr">
        <is>
          <t>network levy (Umlage)</t>
        </is>
      </c>
      <c r="H643" s="77" t="inlineStr">
        <is>
          <t>ii (pays for other users net-charge relief)</t>
        </is>
      </c>
      <c r="I643" s="77">
        <f>IF(ISNUMBER(N643),N643*fx_deflator!$J$8*fx_deflator!$M$8,"")</f>
        <v/>
      </c>
      <c r="J643" s="77" t="inlineStr">
        <is>
          <t>netztransparenz per-year Umlagen pages (A-prime/B-prime/C-prime)</t>
        </is>
      </c>
      <c r="K643" s="77" t="inlineStr">
        <is>
          <t>stage4_de r25-27</t>
        </is>
      </c>
      <c r="L643" s="77" t="inlineStr">
        <is>
          <t>2026-07-15</t>
        </is>
      </c>
      <c r="M643" s="77" t="inlineStr">
        <is>
          <t>Y</t>
        </is>
      </c>
      <c r="N643" s="136">
        <f>IF(ISNUMBER(timeseries!G37),timeseries!G37,"")</f>
        <v/>
      </c>
      <c r="O643" s="77" t="inlineStr">
        <is>
          <t>EUR/MWh nominal</t>
        </is>
      </c>
    </row>
    <row r="644" ht="15" customHeight="1" s="78">
      <c r="A644" s="77" t="inlineStr">
        <is>
          <t>DE</t>
        </is>
      </c>
      <c r="B644" s="77" t="n">
        <v>2013</v>
      </c>
      <c r="C644" s="77" t="inlineStr">
        <is>
          <t>large</t>
        </is>
      </c>
      <c r="D644" s="77" t="inlineStr">
        <is>
          <t>E1</t>
        </is>
      </c>
      <c r="E644" s="77" t="inlineStr">
        <is>
          <t>Offshore-Netzumlage</t>
        </is>
      </c>
      <c r="F644" s="77" t="inlineStr">
        <is>
          <t>2 Gen capital recovery</t>
        </is>
      </c>
      <c r="G644" s="77" t="inlineStr">
        <is>
          <t>offshore grid levy (Umlage)</t>
        </is>
      </c>
      <c r="H644" s="77" t="inlineStr">
        <is>
          <t>i</t>
        </is>
      </c>
      <c r="I644" s="77">
        <f>IF(ISNUMBER(N644),N644*fx_deflator!$J$8*fx_deflator!$M$8,"")</f>
        <v/>
      </c>
      <c r="J644" s="77" t="inlineStr">
        <is>
          <t>netztransparenz Offshore-Umlage per-year pages</t>
        </is>
      </c>
      <c r="K644" s="77" t="inlineStr">
        <is>
          <t>stage4_de r28-30</t>
        </is>
      </c>
      <c r="L644" s="77" t="inlineStr">
        <is>
          <t>2026-07-15</t>
        </is>
      </c>
      <c r="M644" s="77" t="inlineStr">
        <is>
          <t>Y</t>
        </is>
      </c>
      <c r="N644" s="136">
        <f>IF(ISNUMBER(timeseries!G38),timeseries!G38,"")</f>
        <v/>
      </c>
      <c r="O644" s="77" t="inlineStr">
        <is>
          <t>EUR/MWh nominal</t>
        </is>
      </c>
    </row>
    <row r="645" ht="15" customHeight="1" s="78">
      <c r="A645" s="77" t="inlineStr">
        <is>
          <t>DE</t>
        </is>
      </c>
      <c r="B645" s="77" t="n">
        <v>2013</v>
      </c>
      <c r="C645" s="77" t="inlineStr">
        <is>
          <t>large</t>
        </is>
      </c>
      <c r="D645" s="77" t="inlineStr">
        <is>
          <t>E1</t>
        </is>
      </c>
      <c r="E645" s="77" t="inlineStr">
        <is>
          <t>Stromsteuer (full sec.3 rate)</t>
        </is>
      </c>
      <c r="F645" s="77" t="inlineStr">
        <is>
          <t>5 General taxation &amp; levies</t>
        </is>
      </c>
      <c r="G645" s="77" t="inlineStr">
        <is>
          <t>electricity tax</t>
        </is>
      </c>
      <c r="H645" s="77" t="inlineStr">
        <is>
          <t>i</t>
        </is>
      </c>
      <c r="I645" s="77">
        <f>IF(ISNUMBER(N645),N645*fx_deflator!$J$8*fx_deflator!$M$8,"")</f>
        <v/>
      </c>
      <c r="J645" s="77" t="inlineStr">
        <is>
          <t>StromStG sec.3/sec.9b (BGBl. 2025 I Nr. 340: 0.50 permanent from 2026); gesetze-im-internet.de</t>
        </is>
      </c>
      <c r="K645" s="77" t="inlineStr">
        <is>
          <t>stage4_de r34-35</t>
        </is>
      </c>
      <c r="L645" s="77" t="inlineStr">
        <is>
          <t>2026-07-15</t>
        </is>
      </c>
      <c r="M645" s="77" t="inlineStr">
        <is>
          <t>N</t>
        </is>
      </c>
      <c r="N645" s="77">
        <f>IF(ISNUMBER(stage4_de!G34),stage4_de!G34,"")</f>
        <v/>
      </c>
      <c r="O645" s="77" t="inlineStr">
        <is>
          <t>EUR/MWh nominal</t>
        </is>
      </c>
    </row>
    <row r="646" ht="15" customHeight="1" s="78">
      <c r="A646" s="77" t="inlineStr">
        <is>
          <t>DE</t>
        </is>
      </c>
      <c r="B646" s="77" t="n">
        <v>2013</v>
      </c>
      <c r="C646" s="77" t="inlineStr">
        <is>
          <t>large</t>
        </is>
      </c>
      <c r="D646" s="77" t="inlineStr">
        <is>
          <t>E1</t>
        </is>
      </c>
      <c r="E646" s="77" t="inlineStr">
        <is>
          <t>Konzessionsabgabe (0 via Grenzpreis rule)</t>
        </is>
      </c>
      <c r="F646" s="77" t="inlineStr">
        <is>
          <t>5 General taxation &amp; levies</t>
        </is>
      </c>
      <c r="G646" s="77" t="inlineStr">
        <is>
          <t>concession fee</t>
        </is>
      </c>
      <c r="H646" s="77" t="inlineStr">
        <is>
          <t>i</t>
        </is>
      </c>
      <c r="I646" s="77">
        <f>IF(ISNUMBER(N646),N646*fx_deflator!$J$8*fx_deflator!$M$8,"")</f>
        <v/>
      </c>
      <c r="J646" s="77" t="inlineStr">
        <is>
          <t>KAV sec.2(3)/(4) Grenzpreis rule -&gt; 0 for Sondervertragskunden</t>
        </is>
      </c>
      <c r="K646" s="77" t="inlineStr">
        <is>
          <t>stage4_de r36</t>
        </is>
      </c>
      <c r="L646" s="77" t="inlineStr">
        <is>
          <t>2026-07-15</t>
        </is>
      </c>
      <c r="M646" s="77" t="inlineStr">
        <is>
          <t>N</t>
        </is>
      </c>
      <c r="N646" s="77">
        <f>IF(ISNUMBER(stage4_de!G36),stage4_de!G36*10,"")</f>
        <v/>
      </c>
      <c r="O646" s="77" t="inlineStr">
        <is>
          <t>EUR/MWh nominal</t>
        </is>
      </c>
    </row>
    <row r="647" ht="15" customHeight="1" s="78">
      <c r="A647" s="77" t="inlineStr">
        <is>
          <t>DE</t>
        </is>
      </c>
      <c r="B647" s="77" t="n">
        <v>2014</v>
      </c>
      <c r="C647" s="77" t="inlineStr">
        <is>
          <t>large</t>
        </is>
      </c>
      <c r="D647" s="77" t="inlineStr">
        <is>
          <t>E1</t>
        </is>
      </c>
      <c r="E647" s="77" t="inlineStr">
        <is>
          <t>Wholesale (Phelix base front-year)</t>
        </is>
      </c>
      <c r="F647" s="77" t="inlineStr">
        <is>
          <t>1 Commodity</t>
        </is>
      </c>
      <c r="G647" s="77" t="inlineStr">
        <is>
          <t>wholesale market</t>
        </is>
      </c>
      <c r="H647" s="77" t="inlineStr">
        <is>
          <t>i</t>
        </is>
      </c>
      <c r="I647" s="77">
        <f>IF(ISNUMBER(N647),N647*fx_deflator!$J$9*fx_deflator!$M$9,"")</f>
        <v/>
      </c>
      <c r="J647" s="77" t="inlineStr">
        <is>
          <t>BNetzA Monitoringberichte — Phelix base front-year by trading yr -&gt; delivery yr; 2026 = D29</t>
        </is>
      </c>
      <c r="K647" s="77" t="inlineStr">
        <is>
          <t>stage4_de r7</t>
        </is>
      </c>
      <c r="L647" s="77" t="inlineStr">
        <is>
          <t>2026-07-15</t>
        </is>
      </c>
      <c r="M647" s="77" t="inlineStr">
        <is>
          <t>Y</t>
        </is>
      </c>
      <c r="N647" s="136">
        <f>IF(ISNUMBER(timeseries!H32),timeseries!H32,"")</f>
        <v/>
      </c>
      <c r="O647" s="77" t="inlineStr">
        <is>
          <t>EUR/MWh nominal</t>
        </is>
      </c>
    </row>
    <row r="648" ht="15" customHeight="1" s="78">
      <c r="A648" s="77" t="inlineStr">
        <is>
          <t>DE</t>
        </is>
      </c>
      <c r="B648" s="77" t="n">
        <v>2014</v>
      </c>
      <c r="C648" s="77" t="inlineStr">
        <is>
          <t>large</t>
        </is>
      </c>
      <c r="D648" s="77" t="inlineStr">
        <is>
          <t>E1</t>
        </is>
      </c>
      <c r="E648" s="77" t="inlineStr">
        <is>
          <t>Netzentgelte HoeS (LP+AP)</t>
        </is>
      </c>
      <c r="F648" s="77" t="inlineStr">
        <is>
          <t>3 Network</t>
        </is>
      </c>
      <c r="G648" s="77" t="inlineStr">
        <is>
          <t>transmission network charge</t>
        </is>
      </c>
      <c r="H648" s="77" t="inlineStr">
        <is>
          <t>i</t>
        </is>
      </c>
      <c r="I648" s="77">
        <f>IF(ISNUMBER(N648),N648*fx_deflator!$J$9*fx_deflator!$M$9,"")</f>
        <v/>
      </c>
      <c r="J648" s="77" t="inlineStr">
        <is>
          <t>Amprion Preisblatt archive; netztransparenz joint UeNB-Preisblatt (bundeseinheitlich 2023+)</t>
        </is>
      </c>
      <c r="K648" s="77" t="inlineStr">
        <is>
          <t>stage4_de r11-12</t>
        </is>
      </c>
      <c r="L648" s="77" t="inlineStr">
        <is>
          <t>2026-07-15</t>
        </is>
      </c>
      <c r="M648" s="77" t="inlineStr">
        <is>
          <t>N</t>
        </is>
      </c>
      <c r="N648" s="136">
        <f>IF(ISNUMBER(timeseries!H33),timeseries!H33,"")</f>
        <v/>
      </c>
      <c r="O648" s="77" t="inlineStr">
        <is>
          <t>EUR/MWh nominal</t>
        </is>
      </c>
    </row>
    <row r="649" ht="15" customHeight="1" s="78">
      <c r="A649" s="77" t="inlineStr">
        <is>
          <t>DE</t>
        </is>
      </c>
      <c r="B649" s="77" t="n">
        <v>2014</v>
      </c>
      <c r="C649" s="77" t="inlineStr">
        <is>
          <t>large</t>
        </is>
      </c>
      <c r="D649" s="77" t="inlineStr">
        <is>
          <t>E1</t>
        </is>
      </c>
      <c r="E649" s="77" t="inlineStr">
        <is>
          <t>EEG-Umlage (full, non-privileged)</t>
        </is>
      </c>
      <c r="F649" s="77" t="inlineStr">
        <is>
          <t>2 Gen capital recovery</t>
        </is>
      </c>
      <c r="G649" s="77" t="inlineStr">
        <is>
          <t>renewables levy (Umlage)</t>
        </is>
      </c>
      <c r="H649" s="77" t="inlineStr">
        <is>
          <t>i (0 from 07/2022 — cost moved to taxpayer, see HATCH iii row)</t>
        </is>
      </c>
      <c r="I649" s="77">
        <f>IF(ISNUMBER(N649),N649*fx_deflator!$J$9*fx_deflator!$M$9,"")</f>
        <v/>
      </c>
      <c r="J649" s="77" t="inlineStr">
        <is>
          <t>netztransparenz.de EEG-Umlagen der Vorjahre + per-year pages</t>
        </is>
      </c>
      <c r="K649" s="77" t="inlineStr">
        <is>
          <t>stage4_de r21</t>
        </is>
      </c>
      <c r="L649" s="77" t="inlineStr">
        <is>
          <t>2026-07-15</t>
        </is>
      </c>
      <c r="M649" s="77" t="inlineStr">
        <is>
          <t>N</t>
        </is>
      </c>
      <c r="N649" s="136">
        <f>IF(ISNUMBER(timeseries!H35),timeseries!H35,"")</f>
        <v/>
      </c>
      <c r="O649" s="77" t="inlineStr">
        <is>
          <t>EUR/MWh nominal</t>
        </is>
      </c>
    </row>
    <row r="650" ht="15" customHeight="1" s="78">
      <c r="A650" s="77" t="inlineStr">
        <is>
          <t>DE</t>
        </is>
      </c>
      <c r="B650" s="77" t="n">
        <v>2014</v>
      </c>
      <c r="C650" s="77" t="inlineStr">
        <is>
          <t>large</t>
        </is>
      </c>
      <c r="D650" s="77" t="inlineStr">
        <is>
          <t>E1</t>
        </is>
      </c>
      <c r="E650" s="77" t="inlineStr">
        <is>
          <t>KWKG-Umlage</t>
        </is>
      </c>
      <c r="F650" s="77" t="inlineStr">
        <is>
          <t>2 Gen capital recovery</t>
        </is>
      </c>
      <c r="G650" s="77" t="inlineStr">
        <is>
          <t>CHP levy (Umlage)</t>
        </is>
      </c>
      <c r="H650" s="77" t="inlineStr">
        <is>
          <t>i</t>
        </is>
      </c>
      <c r="I650" s="77">
        <f>IF(ISNUMBER(N650),N650*fx_deflator!$J$9*fx_deflator!$M$9,"")</f>
        <v/>
      </c>
      <c r="J650" s="77" t="inlineStr">
        <is>
          <t>netztransparenz Uebersicht KWKG-Aufschlaege 2002-2016 + per-year pages; tranche blends</t>
        </is>
      </c>
      <c r="K650" s="77" t="inlineStr">
        <is>
          <t>stage4_de r22-24</t>
        </is>
      </c>
      <c r="L650" s="77" t="inlineStr">
        <is>
          <t>2026-07-15</t>
        </is>
      </c>
      <c r="M650" s="77" t="inlineStr">
        <is>
          <t>Y</t>
        </is>
      </c>
      <c r="N650" s="136">
        <f>IF(ISNUMBER(timeseries!H36),timeseries!H36,"")</f>
        <v/>
      </c>
      <c r="O650" s="77" t="inlineStr">
        <is>
          <t>EUR/MWh nominal</t>
        </is>
      </c>
    </row>
    <row r="651" ht="15" customHeight="1" s="78">
      <c r="A651" s="77" t="inlineStr">
        <is>
          <t>DE</t>
        </is>
      </c>
      <c r="B651" s="77" t="n">
        <v>2014</v>
      </c>
      <c r="C651" s="77" t="inlineStr">
        <is>
          <t>large</t>
        </is>
      </c>
      <c r="D651" s="77" t="inlineStr">
        <is>
          <t>E1</t>
        </is>
      </c>
      <c r="E651" s="77" t="inlineStr">
        <is>
          <t>sec.19 StromNEV-Umlage</t>
        </is>
      </c>
      <c r="F651" s="77" t="inlineStr">
        <is>
          <t>4 System services &amp; balancing</t>
        </is>
      </c>
      <c r="G651" s="77" t="inlineStr">
        <is>
          <t>network levy (Umlage)</t>
        </is>
      </c>
      <c r="H651" s="77" t="inlineStr">
        <is>
          <t>ii (pays for other users net-charge relief)</t>
        </is>
      </c>
      <c r="I651" s="77">
        <f>IF(ISNUMBER(N651),N651*fx_deflator!$J$9*fx_deflator!$M$9,"")</f>
        <v/>
      </c>
      <c r="J651" s="77" t="inlineStr">
        <is>
          <t>netztransparenz per-year Umlagen pages (A-prime/B-prime/C-prime)</t>
        </is>
      </c>
      <c r="K651" s="77" t="inlineStr">
        <is>
          <t>stage4_de r25-27</t>
        </is>
      </c>
      <c r="L651" s="77" t="inlineStr">
        <is>
          <t>2026-07-15</t>
        </is>
      </c>
      <c r="M651" s="77" t="inlineStr">
        <is>
          <t>Y</t>
        </is>
      </c>
      <c r="N651" s="136">
        <f>IF(ISNUMBER(timeseries!H37),timeseries!H37,"")</f>
        <v/>
      </c>
      <c r="O651" s="77" t="inlineStr">
        <is>
          <t>EUR/MWh nominal</t>
        </is>
      </c>
    </row>
    <row r="652" ht="15" customHeight="1" s="78">
      <c r="A652" s="77" t="inlineStr">
        <is>
          <t>DE</t>
        </is>
      </c>
      <c r="B652" s="77" t="n">
        <v>2014</v>
      </c>
      <c r="C652" s="77" t="inlineStr">
        <is>
          <t>large</t>
        </is>
      </c>
      <c r="D652" s="77" t="inlineStr">
        <is>
          <t>E1</t>
        </is>
      </c>
      <c r="E652" s="77" t="inlineStr">
        <is>
          <t>Offshore-Netzumlage</t>
        </is>
      </c>
      <c r="F652" s="77" t="inlineStr">
        <is>
          <t>2 Gen capital recovery</t>
        </is>
      </c>
      <c r="G652" s="77" t="inlineStr">
        <is>
          <t>offshore grid levy (Umlage)</t>
        </is>
      </c>
      <c r="H652" s="77" t="inlineStr">
        <is>
          <t>i</t>
        </is>
      </c>
      <c r="I652" s="77">
        <f>IF(ISNUMBER(N652),N652*fx_deflator!$J$9*fx_deflator!$M$9,"")</f>
        <v/>
      </c>
      <c r="J652" s="77" t="inlineStr">
        <is>
          <t>netztransparenz Offshore-Umlage per-year pages</t>
        </is>
      </c>
      <c r="K652" s="77" t="inlineStr">
        <is>
          <t>stage4_de r28-30</t>
        </is>
      </c>
      <c r="L652" s="77" t="inlineStr">
        <is>
          <t>2026-07-15</t>
        </is>
      </c>
      <c r="M652" s="77" t="inlineStr">
        <is>
          <t>Y</t>
        </is>
      </c>
      <c r="N652" s="136">
        <f>IF(ISNUMBER(timeseries!H38),timeseries!H38,"")</f>
        <v/>
      </c>
      <c r="O652" s="77" t="inlineStr">
        <is>
          <t>EUR/MWh nominal</t>
        </is>
      </c>
    </row>
    <row r="653" ht="15" customHeight="1" s="78">
      <c r="A653" s="77" t="inlineStr">
        <is>
          <t>DE</t>
        </is>
      </c>
      <c r="B653" s="77" t="n">
        <v>2014</v>
      </c>
      <c r="C653" s="77" t="inlineStr">
        <is>
          <t>large</t>
        </is>
      </c>
      <c r="D653" s="77" t="inlineStr">
        <is>
          <t>E1</t>
        </is>
      </c>
      <c r="E653" s="77" t="inlineStr">
        <is>
          <t>AbLaV-Umlage</t>
        </is>
      </c>
      <c r="F653" s="77" t="inlineStr">
        <is>
          <t>4 System services &amp; balancing</t>
        </is>
      </c>
      <c r="G653" s="77" t="inlineStr">
        <is>
          <t>interruptible-load levy (Umlage)</t>
        </is>
      </c>
      <c r="H653" s="77" t="inlineStr">
        <is>
          <t>i</t>
        </is>
      </c>
      <c r="I653" s="77">
        <f>IF(ISNUMBER(N653),N653*fx_deflator!$J$9*fx_deflator!$M$9,"")</f>
        <v/>
      </c>
      <c r="J653" s="77" t="inlineStr">
        <is>
          <t>netztransparenz AbLaV-Umlage per-year pages (ends 2022)</t>
        </is>
      </c>
      <c r="K653" s="77" t="inlineStr">
        <is>
          <t>stage4_de r31</t>
        </is>
      </c>
      <c r="L653" s="77" t="inlineStr">
        <is>
          <t>2026-07-15</t>
        </is>
      </c>
      <c r="M653" s="77" t="inlineStr">
        <is>
          <t>N</t>
        </is>
      </c>
      <c r="N653" s="136">
        <f>IF(ISNUMBER(timeseries!H39),timeseries!H39,"")</f>
        <v/>
      </c>
      <c r="O653" s="77" t="inlineStr">
        <is>
          <t>EUR/MWh nominal</t>
        </is>
      </c>
    </row>
    <row r="654" ht="15" customHeight="1" s="78">
      <c r="A654" s="77" t="inlineStr">
        <is>
          <t>DE</t>
        </is>
      </c>
      <c r="B654" s="77" t="n">
        <v>2014</v>
      </c>
      <c r="C654" s="77" t="inlineStr">
        <is>
          <t>large</t>
        </is>
      </c>
      <c r="D654" s="77" t="inlineStr">
        <is>
          <t>E1</t>
        </is>
      </c>
      <c r="E654" s="77" t="inlineStr">
        <is>
          <t>Stromsteuer (full sec.3 rate)</t>
        </is>
      </c>
      <c r="F654" s="77" t="inlineStr">
        <is>
          <t>5 General taxation &amp; levies</t>
        </is>
      </c>
      <c r="G654" s="77" t="inlineStr">
        <is>
          <t>electricity tax</t>
        </is>
      </c>
      <c r="H654" s="77" t="inlineStr">
        <is>
          <t>i</t>
        </is>
      </c>
      <c r="I654" s="77">
        <f>IF(ISNUMBER(N654),N654*fx_deflator!$J$9*fx_deflator!$M$9,"")</f>
        <v/>
      </c>
      <c r="J654" s="77" t="inlineStr">
        <is>
          <t>StromStG sec.3/sec.9b (BGBl. 2025 I Nr. 340: 0.50 permanent from 2026); gesetze-im-internet.de</t>
        </is>
      </c>
      <c r="K654" s="77" t="inlineStr">
        <is>
          <t>stage4_de r34-35</t>
        </is>
      </c>
      <c r="L654" s="77" t="inlineStr">
        <is>
          <t>2026-07-15</t>
        </is>
      </c>
      <c r="M654" s="77" t="inlineStr">
        <is>
          <t>N</t>
        </is>
      </c>
      <c r="N654" s="77">
        <f>IF(ISNUMBER(stage4_de!H34),stage4_de!H34,"")</f>
        <v/>
      </c>
      <c r="O654" s="77" t="inlineStr">
        <is>
          <t>EUR/MWh nominal</t>
        </is>
      </c>
    </row>
    <row r="655" ht="15" customHeight="1" s="78">
      <c r="A655" s="77" t="inlineStr">
        <is>
          <t>DE</t>
        </is>
      </c>
      <c r="B655" s="77" t="n">
        <v>2014</v>
      </c>
      <c r="C655" s="77" t="inlineStr">
        <is>
          <t>large</t>
        </is>
      </c>
      <c r="D655" s="77" t="inlineStr">
        <is>
          <t>E1</t>
        </is>
      </c>
      <c r="E655" s="77" t="inlineStr">
        <is>
          <t>Konzessionsabgabe (0 via Grenzpreis rule)</t>
        </is>
      </c>
      <c r="F655" s="77" t="inlineStr">
        <is>
          <t>5 General taxation &amp; levies</t>
        </is>
      </c>
      <c r="G655" s="77" t="inlineStr">
        <is>
          <t>concession fee</t>
        </is>
      </c>
      <c r="H655" s="77" t="inlineStr">
        <is>
          <t>i</t>
        </is>
      </c>
      <c r="I655" s="77">
        <f>IF(ISNUMBER(N655),N655*fx_deflator!$J$9*fx_deflator!$M$9,"")</f>
        <v/>
      </c>
      <c r="J655" s="77" t="inlineStr">
        <is>
          <t>KAV sec.2(3)/(4) Grenzpreis rule -&gt; 0 for Sondervertragskunden</t>
        </is>
      </c>
      <c r="K655" s="77" t="inlineStr">
        <is>
          <t>stage4_de r36</t>
        </is>
      </c>
      <c r="L655" s="77" t="inlineStr">
        <is>
          <t>2026-07-15</t>
        </is>
      </c>
      <c r="M655" s="77" t="inlineStr">
        <is>
          <t>N</t>
        </is>
      </c>
      <c r="N655" s="77">
        <f>IF(ISNUMBER(stage4_de!H36),stage4_de!H36*10,"")</f>
        <v/>
      </c>
      <c r="O655" s="77" t="inlineStr">
        <is>
          <t>EUR/MWh nominal</t>
        </is>
      </c>
    </row>
    <row r="656" ht="15" customHeight="1" s="78">
      <c r="A656" s="77" t="inlineStr">
        <is>
          <t>DE</t>
        </is>
      </c>
      <c r="B656" s="77" t="n">
        <v>2015</v>
      </c>
      <c r="C656" s="77" t="inlineStr">
        <is>
          <t>large</t>
        </is>
      </c>
      <c r="D656" s="77" t="inlineStr">
        <is>
          <t>E1</t>
        </is>
      </c>
      <c r="E656" s="77" t="inlineStr">
        <is>
          <t>Wholesale (Phelix base front-year)</t>
        </is>
      </c>
      <c r="F656" s="77" t="inlineStr">
        <is>
          <t>1 Commodity</t>
        </is>
      </c>
      <c r="G656" s="77" t="inlineStr">
        <is>
          <t>wholesale market</t>
        </is>
      </c>
      <c r="H656" s="77" t="inlineStr">
        <is>
          <t>i</t>
        </is>
      </c>
      <c r="I656" s="77">
        <f>IF(ISNUMBER(N656),N656*fx_deflator!$J$10*fx_deflator!$M$10,"")</f>
        <v/>
      </c>
      <c r="J656" s="77" t="inlineStr">
        <is>
          <t>BNetzA Monitoringberichte — Phelix base front-year by trading yr -&gt; delivery yr; 2026 = D29</t>
        </is>
      </c>
      <c r="K656" s="77" t="inlineStr">
        <is>
          <t>stage4_de r7</t>
        </is>
      </c>
      <c r="L656" s="77" t="inlineStr">
        <is>
          <t>2026-07-15</t>
        </is>
      </c>
      <c r="M656" s="77" t="inlineStr">
        <is>
          <t>Y</t>
        </is>
      </c>
      <c r="N656" s="136">
        <f>IF(ISNUMBER(timeseries!I32),timeseries!I32,"")</f>
        <v/>
      </c>
      <c r="O656" s="77" t="inlineStr">
        <is>
          <t>EUR/MWh nominal</t>
        </is>
      </c>
    </row>
    <row r="657" ht="15" customHeight="1" s="78">
      <c r="A657" s="77" t="inlineStr">
        <is>
          <t>DE</t>
        </is>
      </c>
      <c r="B657" s="77" t="n">
        <v>2015</v>
      </c>
      <c r="C657" s="77" t="inlineStr">
        <is>
          <t>large</t>
        </is>
      </c>
      <c r="D657" s="77" t="inlineStr">
        <is>
          <t>E1</t>
        </is>
      </c>
      <c r="E657" s="77" t="inlineStr">
        <is>
          <t>Netzentgelte HoeS (LP+AP)</t>
        </is>
      </c>
      <c r="F657" s="77" t="inlineStr">
        <is>
          <t>3 Network</t>
        </is>
      </c>
      <c r="G657" s="77" t="inlineStr">
        <is>
          <t>transmission network charge</t>
        </is>
      </c>
      <c r="H657" s="77" t="inlineStr">
        <is>
          <t>i</t>
        </is>
      </c>
      <c r="I657" s="77">
        <f>IF(ISNUMBER(N657),N657*fx_deflator!$J$10*fx_deflator!$M$10,"")</f>
        <v/>
      </c>
      <c r="J657" s="77" t="inlineStr">
        <is>
          <t>Amprion Preisblatt archive; netztransparenz joint UeNB-Preisblatt (bundeseinheitlich 2023+)</t>
        </is>
      </c>
      <c r="K657" s="77" t="inlineStr">
        <is>
          <t>stage4_de r11-12</t>
        </is>
      </c>
      <c r="L657" s="77" t="inlineStr">
        <is>
          <t>2026-07-15</t>
        </is>
      </c>
      <c r="M657" s="77" t="inlineStr">
        <is>
          <t>N</t>
        </is>
      </c>
      <c r="N657" s="136">
        <f>IF(ISNUMBER(timeseries!I33),timeseries!I33,"")</f>
        <v/>
      </c>
      <c r="O657" s="77" t="inlineStr">
        <is>
          <t>EUR/MWh nominal</t>
        </is>
      </c>
    </row>
    <row r="658" ht="15" customHeight="1" s="78">
      <c r="A658" s="77" t="inlineStr">
        <is>
          <t>DE</t>
        </is>
      </c>
      <c r="B658" s="77" t="n">
        <v>2015</v>
      </c>
      <c r="C658" s="77" t="inlineStr">
        <is>
          <t>large</t>
        </is>
      </c>
      <c r="D658" s="77" t="inlineStr">
        <is>
          <t>E1</t>
        </is>
      </c>
      <c r="E658" s="77" t="inlineStr">
        <is>
          <t>EEG-Umlage (full, non-privileged)</t>
        </is>
      </c>
      <c r="F658" s="77" t="inlineStr">
        <is>
          <t>2 Gen capital recovery</t>
        </is>
      </c>
      <c r="G658" s="77" t="inlineStr">
        <is>
          <t>renewables levy (Umlage)</t>
        </is>
      </c>
      <c r="H658" s="77" t="inlineStr">
        <is>
          <t>i (0 from 07/2022 — cost moved to taxpayer, see HATCH iii row)</t>
        </is>
      </c>
      <c r="I658" s="77">
        <f>IF(ISNUMBER(N658),N658*fx_deflator!$J$10*fx_deflator!$M$10,"")</f>
        <v/>
      </c>
      <c r="J658" s="77" t="inlineStr">
        <is>
          <t>netztransparenz.de EEG-Umlagen der Vorjahre + per-year pages</t>
        </is>
      </c>
      <c r="K658" s="77" t="inlineStr">
        <is>
          <t>stage4_de r21</t>
        </is>
      </c>
      <c r="L658" s="77" t="inlineStr">
        <is>
          <t>2026-07-15</t>
        </is>
      </c>
      <c r="M658" s="77" t="inlineStr">
        <is>
          <t>N</t>
        </is>
      </c>
      <c r="N658" s="136">
        <f>IF(ISNUMBER(timeseries!I35),timeseries!I35,"")</f>
        <v/>
      </c>
      <c r="O658" s="77" t="inlineStr">
        <is>
          <t>EUR/MWh nominal</t>
        </is>
      </c>
    </row>
    <row r="659" ht="15" customHeight="1" s="78">
      <c r="A659" s="77" t="inlineStr">
        <is>
          <t>DE</t>
        </is>
      </c>
      <c r="B659" s="77" t="n">
        <v>2015</v>
      </c>
      <c r="C659" s="77" t="inlineStr">
        <is>
          <t>large</t>
        </is>
      </c>
      <c r="D659" s="77" t="inlineStr">
        <is>
          <t>E1</t>
        </is>
      </c>
      <c r="E659" s="77" t="inlineStr">
        <is>
          <t>KWKG-Umlage</t>
        </is>
      </c>
      <c r="F659" s="77" t="inlineStr">
        <is>
          <t>2 Gen capital recovery</t>
        </is>
      </c>
      <c r="G659" s="77" t="inlineStr">
        <is>
          <t>CHP levy (Umlage)</t>
        </is>
      </c>
      <c r="H659" s="77" t="inlineStr">
        <is>
          <t>i</t>
        </is>
      </c>
      <c r="I659" s="77">
        <f>IF(ISNUMBER(N659),N659*fx_deflator!$J$10*fx_deflator!$M$10,"")</f>
        <v/>
      </c>
      <c r="J659" s="77" t="inlineStr">
        <is>
          <t>netztransparenz Uebersicht KWKG-Aufschlaege 2002-2016 + per-year pages; tranche blends</t>
        </is>
      </c>
      <c r="K659" s="77" t="inlineStr">
        <is>
          <t>stage4_de r22-24</t>
        </is>
      </c>
      <c r="L659" s="77" t="inlineStr">
        <is>
          <t>2026-07-15</t>
        </is>
      </c>
      <c r="M659" s="77" t="inlineStr">
        <is>
          <t>Y</t>
        </is>
      </c>
      <c r="N659" s="136">
        <f>IF(ISNUMBER(timeseries!I36),timeseries!I36,"")</f>
        <v/>
      </c>
      <c r="O659" s="77" t="inlineStr">
        <is>
          <t>EUR/MWh nominal</t>
        </is>
      </c>
    </row>
    <row r="660" ht="15" customHeight="1" s="78">
      <c r="A660" s="77" t="inlineStr">
        <is>
          <t>DE</t>
        </is>
      </c>
      <c r="B660" s="77" t="n">
        <v>2015</v>
      </c>
      <c r="C660" s="77" t="inlineStr">
        <is>
          <t>large</t>
        </is>
      </c>
      <c r="D660" s="77" t="inlineStr">
        <is>
          <t>E1</t>
        </is>
      </c>
      <c r="E660" s="77" t="inlineStr">
        <is>
          <t>sec.19 StromNEV-Umlage</t>
        </is>
      </c>
      <c r="F660" s="77" t="inlineStr">
        <is>
          <t>4 System services &amp; balancing</t>
        </is>
      </c>
      <c r="G660" s="77" t="inlineStr">
        <is>
          <t>network levy (Umlage)</t>
        </is>
      </c>
      <c r="H660" s="77" t="inlineStr">
        <is>
          <t>ii (pays for other users net-charge relief)</t>
        </is>
      </c>
      <c r="I660" s="77">
        <f>IF(ISNUMBER(N660),N660*fx_deflator!$J$10*fx_deflator!$M$10,"")</f>
        <v/>
      </c>
      <c r="J660" s="77" t="inlineStr">
        <is>
          <t>netztransparenz per-year Umlagen pages (A-prime/B-prime/C-prime)</t>
        </is>
      </c>
      <c r="K660" s="77" t="inlineStr">
        <is>
          <t>stage4_de r25-27</t>
        </is>
      </c>
      <c r="L660" s="77" t="inlineStr">
        <is>
          <t>2026-07-15</t>
        </is>
      </c>
      <c r="M660" s="77" t="inlineStr">
        <is>
          <t>Y</t>
        </is>
      </c>
      <c r="N660" s="136">
        <f>IF(ISNUMBER(timeseries!I37),timeseries!I37,"")</f>
        <v/>
      </c>
      <c r="O660" s="77" t="inlineStr">
        <is>
          <t>EUR/MWh nominal</t>
        </is>
      </c>
    </row>
    <row r="661" ht="15" customHeight="1" s="78">
      <c r="A661" s="77" t="inlineStr">
        <is>
          <t>DE</t>
        </is>
      </c>
      <c r="B661" s="77" t="n">
        <v>2015</v>
      </c>
      <c r="C661" s="77" t="inlineStr">
        <is>
          <t>large</t>
        </is>
      </c>
      <c r="D661" s="77" t="inlineStr">
        <is>
          <t>E1</t>
        </is>
      </c>
      <c r="E661" s="77" t="inlineStr">
        <is>
          <t>Offshore-Netzumlage</t>
        </is>
      </c>
      <c r="F661" s="77" t="inlineStr">
        <is>
          <t>2 Gen capital recovery</t>
        </is>
      </c>
      <c r="G661" s="77" t="inlineStr">
        <is>
          <t>offshore grid levy (Umlage)</t>
        </is>
      </c>
      <c r="H661" s="77" t="inlineStr">
        <is>
          <t>i</t>
        </is>
      </c>
      <c r="I661" s="77">
        <f>IF(ISNUMBER(N661),N661*fx_deflator!$J$10*fx_deflator!$M$10,"")</f>
        <v/>
      </c>
      <c r="J661" s="77" t="inlineStr">
        <is>
          <t>netztransparenz Offshore-Umlage per-year pages</t>
        </is>
      </c>
      <c r="K661" s="77" t="inlineStr">
        <is>
          <t>stage4_de r28-30</t>
        </is>
      </c>
      <c r="L661" s="77" t="inlineStr">
        <is>
          <t>2026-07-15</t>
        </is>
      </c>
      <c r="M661" s="77" t="inlineStr">
        <is>
          <t>Y</t>
        </is>
      </c>
      <c r="N661" s="136">
        <f>IF(ISNUMBER(timeseries!I38),timeseries!I38,"")</f>
        <v/>
      </c>
      <c r="O661" s="77" t="inlineStr">
        <is>
          <t>EUR/MWh nominal</t>
        </is>
      </c>
    </row>
    <row r="662" ht="15" customHeight="1" s="78">
      <c r="A662" s="77" t="inlineStr">
        <is>
          <t>DE</t>
        </is>
      </c>
      <c r="B662" s="77" t="n">
        <v>2015</v>
      </c>
      <c r="C662" s="77" t="inlineStr">
        <is>
          <t>large</t>
        </is>
      </c>
      <c r="D662" s="77" t="inlineStr">
        <is>
          <t>E1</t>
        </is>
      </c>
      <c r="E662" s="77" t="inlineStr">
        <is>
          <t>AbLaV-Umlage</t>
        </is>
      </c>
      <c r="F662" s="77" t="inlineStr">
        <is>
          <t>4 System services &amp; balancing</t>
        </is>
      </c>
      <c r="G662" s="77" t="inlineStr">
        <is>
          <t>interruptible-load levy (Umlage)</t>
        </is>
      </c>
      <c r="H662" s="77" t="inlineStr">
        <is>
          <t>i</t>
        </is>
      </c>
      <c r="I662" s="77">
        <f>IF(ISNUMBER(N662),N662*fx_deflator!$J$10*fx_deflator!$M$10,"")</f>
        <v/>
      </c>
      <c r="J662" s="77" t="inlineStr">
        <is>
          <t>netztransparenz AbLaV-Umlage per-year pages (ends 2022)</t>
        </is>
      </c>
      <c r="K662" s="77" t="inlineStr">
        <is>
          <t>stage4_de r31</t>
        </is>
      </c>
      <c r="L662" s="77" t="inlineStr">
        <is>
          <t>2026-07-15</t>
        </is>
      </c>
      <c r="M662" s="77" t="inlineStr">
        <is>
          <t>N</t>
        </is>
      </c>
      <c r="N662" s="136">
        <f>IF(ISNUMBER(timeseries!I39),timeseries!I39,"")</f>
        <v/>
      </c>
      <c r="O662" s="77" t="inlineStr">
        <is>
          <t>EUR/MWh nominal</t>
        </is>
      </c>
    </row>
    <row r="663" ht="15" customHeight="1" s="78">
      <c r="A663" s="77" t="inlineStr">
        <is>
          <t>DE</t>
        </is>
      </c>
      <c r="B663" s="77" t="n">
        <v>2015</v>
      </c>
      <c r="C663" s="77" t="inlineStr">
        <is>
          <t>large</t>
        </is>
      </c>
      <c r="D663" s="77" t="inlineStr">
        <is>
          <t>E1</t>
        </is>
      </c>
      <c r="E663" s="77" t="inlineStr">
        <is>
          <t>Stromsteuer (full sec.3 rate)</t>
        </is>
      </c>
      <c r="F663" s="77" t="inlineStr">
        <is>
          <t>5 General taxation &amp; levies</t>
        </is>
      </c>
      <c r="G663" s="77" t="inlineStr">
        <is>
          <t>electricity tax</t>
        </is>
      </c>
      <c r="H663" s="77" t="inlineStr">
        <is>
          <t>i</t>
        </is>
      </c>
      <c r="I663" s="77">
        <f>IF(ISNUMBER(N663),N663*fx_deflator!$J$10*fx_deflator!$M$10,"")</f>
        <v/>
      </c>
      <c r="J663" s="77" t="inlineStr">
        <is>
          <t>StromStG sec.3/sec.9b (BGBl. 2025 I Nr. 340: 0.50 permanent from 2026); gesetze-im-internet.de</t>
        </is>
      </c>
      <c r="K663" s="77" t="inlineStr">
        <is>
          <t>stage4_de r34-35</t>
        </is>
      </c>
      <c r="L663" s="77" t="inlineStr">
        <is>
          <t>2026-07-15</t>
        </is>
      </c>
      <c r="M663" s="77" t="inlineStr">
        <is>
          <t>N</t>
        </is>
      </c>
      <c r="N663" s="77">
        <f>IF(ISNUMBER(stage4_de!I34),stage4_de!I34,"")</f>
        <v/>
      </c>
      <c r="O663" s="77" t="inlineStr">
        <is>
          <t>EUR/MWh nominal</t>
        </is>
      </c>
    </row>
    <row r="664" ht="15" customHeight="1" s="78">
      <c r="A664" s="77" t="inlineStr">
        <is>
          <t>DE</t>
        </is>
      </c>
      <c r="B664" s="77" t="n">
        <v>2015</v>
      </c>
      <c r="C664" s="77" t="inlineStr">
        <is>
          <t>large</t>
        </is>
      </c>
      <c r="D664" s="77" t="inlineStr">
        <is>
          <t>E1</t>
        </is>
      </c>
      <c r="E664" s="77" t="inlineStr">
        <is>
          <t>Konzessionsabgabe (0 via Grenzpreis rule)</t>
        </is>
      </c>
      <c r="F664" s="77" t="inlineStr">
        <is>
          <t>5 General taxation &amp; levies</t>
        </is>
      </c>
      <c r="G664" s="77" t="inlineStr">
        <is>
          <t>concession fee</t>
        </is>
      </c>
      <c r="H664" s="77" t="inlineStr">
        <is>
          <t>i</t>
        </is>
      </c>
      <c r="I664" s="77">
        <f>IF(ISNUMBER(N664),N664*fx_deflator!$J$10*fx_deflator!$M$10,"")</f>
        <v/>
      </c>
      <c r="J664" s="77" t="inlineStr">
        <is>
          <t>KAV sec.2(3)/(4) Grenzpreis rule -&gt; 0 for Sondervertragskunden</t>
        </is>
      </c>
      <c r="K664" s="77" t="inlineStr">
        <is>
          <t>stage4_de r36</t>
        </is>
      </c>
      <c r="L664" s="77" t="inlineStr">
        <is>
          <t>2026-07-15</t>
        </is>
      </c>
      <c r="M664" s="77" t="inlineStr">
        <is>
          <t>N</t>
        </is>
      </c>
      <c r="N664" s="77">
        <f>IF(ISNUMBER(stage4_de!I36),stage4_de!I36*10,"")</f>
        <v/>
      </c>
      <c r="O664" s="77" t="inlineStr">
        <is>
          <t>EUR/MWh nominal</t>
        </is>
      </c>
    </row>
    <row r="665" ht="15" customHeight="1" s="78">
      <c r="A665" s="77" t="inlineStr">
        <is>
          <t>DE</t>
        </is>
      </c>
      <c r="B665" s="77" t="n">
        <v>2016</v>
      </c>
      <c r="C665" s="77" t="inlineStr">
        <is>
          <t>large</t>
        </is>
      </c>
      <c r="D665" s="77" t="inlineStr">
        <is>
          <t>E1</t>
        </is>
      </c>
      <c r="E665" s="77" t="inlineStr">
        <is>
          <t>Wholesale (Phelix base front-year)</t>
        </is>
      </c>
      <c r="F665" s="77" t="inlineStr">
        <is>
          <t>1 Commodity</t>
        </is>
      </c>
      <c r="G665" s="77" t="inlineStr">
        <is>
          <t>wholesale market</t>
        </is>
      </c>
      <c r="H665" s="77" t="inlineStr">
        <is>
          <t>i</t>
        </is>
      </c>
      <c r="I665" s="77">
        <f>IF(ISNUMBER(N665),N665*fx_deflator!$J$11*fx_deflator!$M$11,"")</f>
        <v/>
      </c>
      <c r="J665" s="77" t="inlineStr">
        <is>
          <t>BNetzA Monitoringberichte — Phelix base front-year by trading yr -&gt; delivery yr; 2026 = D29</t>
        </is>
      </c>
      <c r="K665" s="77" t="inlineStr">
        <is>
          <t>stage4_de r7</t>
        </is>
      </c>
      <c r="L665" s="77" t="inlineStr">
        <is>
          <t>2026-07-15</t>
        </is>
      </c>
      <c r="M665" s="77" t="inlineStr">
        <is>
          <t>Y</t>
        </is>
      </c>
      <c r="N665" s="136">
        <f>IF(ISNUMBER(timeseries!J32),timeseries!J32,"")</f>
        <v/>
      </c>
      <c r="O665" s="77" t="inlineStr">
        <is>
          <t>EUR/MWh nominal</t>
        </is>
      </c>
    </row>
    <row r="666" ht="15" customHeight="1" s="78">
      <c r="A666" s="77" t="inlineStr">
        <is>
          <t>DE</t>
        </is>
      </c>
      <c r="B666" s="77" t="n">
        <v>2016</v>
      </c>
      <c r="C666" s="77" t="inlineStr">
        <is>
          <t>large</t>
        </is>
      </c>
      <c r="D666" s="77" t="inlineStr">
        <is>
          <t>E1</t>
        </is>
      </c>
      <c r="E666" s="77" t="inlineStr">
        <is>
          <t>Netzentgelte HoeS (LP+AP)</t>
        </is>
      </c>
      <c r="F666" s="77" t="inlineStr">
        <is>
          <t>3 Network</t>
        </is>
      </c>
      <c r="G666" s="77" t="inlineStr">
        <is>
          <t>transmission network charge</t>
        </is>
      </c>
      <c r="H666" s="77" t="inlineStr">
        <is>
          <t>i</t>
        </is>
      </c>
      <c r="I666" s="77">
        <f>IF(ISNUMBER(N666),N666*fx_deflator!$J$11*fx_deflator!$M$11,"")</f>
        <v/>
      </c>
      <c r="J666" s="77" t="inlineStr">
        <is>
          <t>Amprion Preisblatt archive; netztransparenz joint UeNB-Preisblatt (bundeseinheitlich 2023+)</t>
        </is>
      </c>
      <c r="K666" s="77" t="inlineStr">
        <is>
          <t>stage4_de r11-12</t>
        </is>
      </c>
      <c r="L666" s="77" t="inlineStr">
        <is>
          <t>2026-07-15</t>
        </is>
      </c>
      <c r="M666" s="77" t="inlineStr">
        <is>
          <t>N</t>
        </is>
      </c>
      <c r="N666" s="136">
        <f>IF(ISNUMBER(timeseries!J33),timeseries!J33,"")</f>
        <v/>
      </c>
      <c r="O666" s="77" t="inlineStr">
        <is>
          <t>EUR/MWh nominal</t>
        </is>
      </c>
    </row>
    <row r="667" ht="15" customHeight="1" s="78">
      <c r="A667" s="77" t="inlineStr">
        <is>
          <t>DE</t>
        </is>
      </c>
      <c r="B667" s="77" t="n">
        <v>2016</v>
      </c>
      <c r="C667" s="77" t="inlineStr">
        <is>
          <t>large</t>
        </is>
      </c>
      <c r="D667" s="77" t="inlineStr">
        <is>
          <t>E1</t>
        </is>
      </c>
      <c r="E667" s="77" t="inlineStr">
        <is>
          <t>EEG-Umlage (full, non-privileged)</t>
        </is>
      </c>
      <c r="F667" s="77" t="inlineStr">
        <is>
          <t>2 Gen capital recovery</t>
        </is>
      </c>
      <c r="G667" s="77" t="inlineStr">
        <is>
          <t>renewables levy (Umlage)</t>
        </is>
      </c>
      <c r="H667" s="77" t="inlineStr">
        <is>
          <t>i (0 from 07/2022 — cost moved to taxpayer, see HATCH iii row)</t>
        </is>
      </c>
      <c r="I667" s="77">
        <f>IF(ISNUMBER(N667),N667*fx_deflator!$J$11*fx_deflator!$M$11,"")</f>
        <v/>
      </c>
      <c r="J667" s="77" t="inlineStr">
        <is>
          <t>netztransparenz.de EEG-Umlagen der Vorjahre + per-year pages</t>
        </is>
      </c>
      <c r="K667" s="77" t="inlineStr">
        <is>
          <t>stage4_de r21</t>
        </is>
      </c>
      <c r="L667" s="77" t="inlineStr">
        <is>
          <t>2026-07-15</t>
        </is>
      </c>
      <c r="M667" s="77" t="inlineStr">
        <is>
          <t>N</t>
        </is>
      </c>
      <c r="N667" s="136">
        <f>IF(ISNUMBER(timeseries!J35),timeseries!J35,"")</f>
        <v/>
      </c>
      <c r="O667" s="77" t="inlineStr">
        <is>
          <t>EUR/MWh nominal</t>
        </is>
      </c>
    </row>
    <row r="668" ht="15" customHeight="1" s="78">
      <c r="A668" s="77" t="inlineStr">
        <is>
          <t>DE</t>
        </is>
      </c>
      <c r="B668" s="77" t="n">
        <v>2016</v>
      </c>
      <c r="C668" s="77" t="inlineStr">
        <is>
          <t>large</t>
        </is>
      </c>
      <c r="D668" s="77" t="inlineStr">
        <is>
          <t>E1</t>
        </is>
      </c>
      <c r="E668" s="77" t="inlineStr">
        <is>
          <t>KWKG-Umlage</t>
        </is>
      </c>
      <c r="F668" s="77" t="inlineStr">
        <is>
          <t>2 Gen capital recovery</t>
        </is>
      </c>
      <c r="G668" s="77" t="inlineStr">
        <is>
          <t>CHP levy (Umlage)</t>
        </is>
      </c>
      <c r="H668" s="77" t="inlineStr">
        <is>
          <t>i</t>
        </is>
      </c>
      <c r="I668" s="77">
        <f>IF(ISNUMBER(N668),N668*fx_deflator!$J$11*fx_deflator!$M$11,"")</f>
        <v/>
      </c>
      <c r="J668" s="77" t="inlineStr">
        <is>
          <t>netztransparenz Uebersicht KWKG-Aufschlaege 2002-2016 + per-year pages; tranche blends</t>
        </is>
      </c>
      <c r="K668" s="77" t="inlineStr">
        <is>
          <t>stage4_de r22-24</t>
        </is>
      </c>
      <c r="L668" s="77" t="inlineStr">
        <is>
          <t>2026-07-15</t>
        </is>
      </c>
      <c r="M668" s="77" t="inlineStr">
        <is>
          <t>Y</t>
        </is>
      </c>
      <c r="N668" s="136">
        <f>IF(ISNUMBER(timeseries!J36),timeseries!J36,"")</f>
        <v/>
      </c>
      <c r="O668" s="77" t="inlineStr">
        <is>
          <t>EUR/MWh nominal</t>
        </is>
      </c>
    </row>
    <row r="669" ht="15" customHeight="1" s="78">
      <c r="A669" s="77" t="inlineStr">
        <is>
          <t>DE</t>
        </is>
      </c>
      <c r="B669" s="77" t="n">
        <v>2016</v>
      </c>
      <c r="C669" s="77" t="inlineStr">
        <is>
          <t>large</t>
        </is>
      </c>
      <c r="D669" s="77" t="inlineStr">
        <is>
          <t>E1</t>
        </is>
      </c>
      <c r="E669" s="77" t="inlineStr">
        <is>
          <t>sec.19 StromNEV-Umlage</t>
        </is>
      </c>
      <c r="F669" s="77" t="inlineStr">
        <is>
          <t>4 System services &amp; balancing</t>
        </is>
      </c>
      <c r="G669" s="77" t="inlineStr">
        <is>
          <t>network levy (Umlage)</t>
        </is>
      </c>
      <c r="H669" s="77" t="inlineStr">
        <is>
          <t>ii (pays for other users net-charge relief)</t>
        </is>
      </c>
      <c r="I669" s="77">
        <f>IF(ISNUMBER(N669),N669*fx_deflator!$J$11*fx_deflator!$M$11,"")</f>
        <v/>
      </c>
      <c r="J669" s="77" t="inlineStr">
        <is>
          <t>netztransparenz per-year Umlagen pages (A-prime/B-prime/C-prime)</t>
        </is>
      </c>
      <c r="K669" s="77" t="inlineStr">
        <is>
          <t>stage4_de r25-27</t>
        </is>
      </c>
      <c r="L669" s="77" t="inlineStr">
        <is>
          <t>2026-07-15</t>
        </is>
      </c>
      <c r="M669" s="77" t="inlineStr">
        <is>
          <t>Y</t>
        </is>
      </c>
      <c r="N669" s="136">
        <f>IF(ISNUMBER(timeseries!J37),timeseries!J37,"")</f>
        <v/>
      </c>
      <c r="O669" s="77" t="inlineStr">
        <is>
          <t>EUR/MWh nominal</t>
        </is>
      </c>
    </row>
    <row r="670" ht="15" customHeight="1" s="78">
      <c r="A670" s="77" t="inlineStr">
        <is>
          <t>DE</t>
        </is>
      </c>
      <c r="B670" s="77" t="n">
        <v>2016</v>
      </c>
      <c r="C670" s="77" t="inlineStr">
        <is>
          <t>large</t>
        </is>
      </c>
      <c r="D670" s="77" t="inlineStr">
        <is>
          <t>E1</t>
        </is>
      </c>
      <c r="E670" s="77" t="inlineStr">
        <is>
          <t>Offshore-Netzumlage</t>
        </is>
      </c>
      <c r="F670" s="77" t="inlineStr">
        <is>
          <t>2 Gen capital recovery</t>
        </is>
      </c>
      <c r="G670" s="77" t="inlineStr">
        <is>
          <t>offshore grid levy (Umlage)</t>
        </is>
      </c>
      <c r="H670" s="77" t="inlineStr">
        <is>
          <t>i</t>
        </is>
      </c>
      <c r="I670" s="77">
        <f>IF(ISNUMBER(N670),N670*fx_deflator!$J$11*fx_deflator!$M$11,"")</f>
        <v/>
      </c>
      <c r="J670" s="77" t="inlineStr">
        <is>
          <t>netztransparenz Offshore-Umlage per-year pages</t>
        </is>
      </c>
      <c r="K670" s="77" t="inlineStr">
        <is>
          <t>stage4_de r28-30</t>
        </is>
      </c>
      <c r="L670" s="77" t="inlineStr">
        <is>
          <t>2026-07-15</t>
        </is>
      </c>
      <c r="M670" s="77" t="inlineStr">
        <is>
          <t>Y</t>
        </is>
      </c>
      <c r="N670" s="136">
        <f>IF(ISNUMBER(timeseries!J38),timeseries!J38,"")</f>
        <v/>
      </c>
      <c r="O670" s="77" t="inlineStr">
        <is>
          <t>EUR/MWh nominal</t>
        </is>
      </c>
    </row>
    <row r="671" ht="15" customHeight="1" s="78">
      <c r="A671" s="77" t="inlineStr">
        <is>
          <t>DE</t>
        </is>
      </c>
      <c r="B671" s="77" t="n">
        <v>2016</v>
      </c>
      <c r="C671" s="77" t="inlineStr">
        <is>
          <t>large</t>
        </is>
      </c>
      <c r="D671" s="77" t="inlineStr">
        <is>
          <t>E1</t>
        </is>
      </c>
      <c r="E671" s="77" t="inlineStr">
        <is>
          <t>AbLaV-Umlage</t>
        </is>
      </c>
      <c r="F671" s="77" t="inlineStr">
        <is>
          <t>4 System services &amp; balancing</t>
        </is>
      </c>
      <c r="G671" s="77" t="inlineStr">
        <is>
          <t>interruptible-load levy (Umlage)</t>
        </is>
      </c>
      <c r="H671" s="77" t="inlineStr">
        <is>
          <t>i</t>
        </is>
      </c>
      <c r="I671" s="77">
        <f>IF(ISNUMBER(N671),N671*fx_deflator!$J$11*fx_deflator!$M$11,"")</f>
        <v/>
      </c>
      <c r="J671" s="77" t="inlineStr">
        <is>
          <t>netztransparenz AbLaV-Umlage per-year pages (ends 2022)</t>
        </is>
      </c>
      <c r="K671" s="77" t="inlineStr">
        <is>
          <t>stage4_de r31</t>
        </is>
      </c>
      <c r="L671" s="77" t="inlineStr">
        <is>
          <t>2026-07-15</t>
        </is>
      </c>
      <c r="M671" s="77" t="inlineStr">
        <is>
          <t>N</t>
        </is>
      </c>
      <c r="N671" s="136">
        <f>IF(ISNUMBER(timeseries!J39),timeseries!J39,"")</f>
        <v/>
      </c>
      <c r="O671" s="77" t="inlineStr">
        <is>
          <t>EUR/MWh nominal</t>
        </is>
      </c>
    </row>
    <row r="672" ht="15" customHeight="1" s="78">
      <c r="A672" s="77" t="inlineStr">
        <is>
          <t>DE</t>
        </is>
      </c>
      <c r="B672" s="77" t="n">
        <v>2016</v>
      </c>
      <c r="C672" s="77" t="inlineStr">
        <is>
          <t>large</t>
        </is>
      </c>
      <c r="D672" s="77" t="inlineStr">
        <is>
          <t>E1</t>
        </is>
      </c>
      <c r="E672" s="77" t="inlineStr">
        <is>
          <t>Stromsteuer (full sec.3 rate)</t>
        </is>
      </c>
      <c r="F672" s="77" t="inlineStr">
        <is>
          <t>5 General taxation &amp; levies</t>
        </is>
      </c>
      <c r="G672" s="77" t="inlineStr">
        <is>
          <t>electricity tax</t>
        </is>
      </c>
      <c r="H672" s="77" t="inlineStr">
        <is>
          <t>i</t>
        </is>
      </c>
      <c r="I672" s="77">
        <f>IF(ISNUMBER(N672),N672*fx_deflator!$J$11*fx_deflator!$M$11,"")</f>
        <v/>
      </c>
      <c r="J672" s="77" t="inlineStr">
        <is>
          <t>StromStG sec.3/sec.9b (BGBl. 2025 I Nr. 340: 0.50 permanent from 2026); gesetze-im-internet.de</t>
        </is>
      </c>
      <c r="K672" s="77" t="inlineStr">
        <is>
          <t>stage4_de r34-35</t>
        </is>
      </c>
      <c r="L672" s="77" t="inlineStr">
        <is>
          <t>2026-07-15</t>
        </is>
      </c>
      <c r="M672" s="77" t="inlineStr">
        <is>
          <t>N</t>
        </is>
      </c>
      <c r="N672" s="77">
        <f>IF(ISNUMBER(stage4_de!J34),stage4_de!J34,"")</f>
        <v/>
      </c>
      <c r="O672" s="77" t="inlineStr">
        <is>
          <t>EUR/MWh nominal</t>
        </is>
      </c>
    </row>
    <row r="673" ht="15" customHeight="1" s="78">
      <c r="A673" s="77" t="inlineStr">
        <is>
          <t>DE</t>
        </is>
      </c>
      <c r="B673" s="77" t="n">
        <v>2016</v>
      </c>
      <c r="C673" s="77" t="inlineStr">
        <is>
          <t>large</t>
        </is>
      </c>
      <c r="D673" s="77" t="inlineStr">
        <is>
          <t>E1</t>
        </is>
      </c>
      <c r="E673" s="77" t="inlineStr">
        <is>
          <t>Konzessionsabgabe (0 via Grenzpreis rule)</t>
        </is>
      </c>
      <c r="F673" s="77" t="inlineStr">
        <is>
          <t>5 General taxation &amp; levies</t>
        </is>
      </c>
      <c r="G673" s="77" t="inlineStr">
        <is>
          <t>concession fee</t>
        </is>
      </c>
      <c r="H673" s="77" t="inlineStr">
        <is>
          <t>i</t>
        </is>
      </c>
      <c r="I673" s="77">
        <f>IF(ISNUMBER(N673),N673*fx_deflator!$J$11*fx_deflator!$M$11,"")</f>
        <v/>
      </c>
      <c r="J673" s="77" t="inlineStr">
        <is>
          <t>KAV sec.2(3)/(4) Grenzpreis rule -&gt; 0 for Sondervertragskunden</t>
        </is>
      </c>
      <c r="K673" s="77" t="inlineStr">
        <is>
          <t>stage4_de r36</t>
        </is>
      </c>
      <c r="L673" s="77" t="inlineStr">
        <is>
          <t>2026-07-15</t>
        </is>
      </c>
      <c r="M673" s="77" t="inlineStr">
        <is>
          <t>N</t>
        </is>
      </c>
      <c r="N673" s="77">
        <f>IF(ISNUMBER(stage4_de!J36),stage4_de!J36*10,"")</f>
        <v/>
      </c>
      <c r="O673" s="77" t="inlineStr">
        <is>
          <t>EUR/MWh nominal</t>
        </is>
      </c>
    </row>
    <row r="674" ht="15" customHeight="1" s="78">
      <c r="A674" s="77" t="inlineStr">
        <is>
          <t>DE</t>
        </is>
      </c>
      <c r="B674" s="77" t="n">
        <v>2017</v>
      </c>
      <c r="C674" s="77" t="inlineStr">
        <is>
          <t>large</t>
        </is>
      </c>
      <c r="D674" s="77" t="inlineStr">
        <is>
          <t>E1</t>
        </is>
      </c>
      <c r="E674" s="77" t="inlineStr">
        <is>
          <t>Wholesale (Phelix base front-year)</t>
        </is>
      </c>
      <c r="F674" s="77" t="inlineStr">
        <is>
          <t>1 Commodity</t>
        </is>
      </c>
      <c r="G674" s="77" t="inlineStr">
        <is>
          <t>wholesale market</t>
        </is>
      </c>
      <c r="H674" s="77" t="inlineStr">
        <is>
          <t>i</t>
        </is>
      </c>
      <c r="I674" s="77">
        <f>IF(ISNUMBER(N674),N674*fx_deflator!$J$12*fx_deflator!$M$12,"")</f>
        <v/>
      </c>
      <c r="J674" s="77" t="inlineStr">
        <is>
          <t>BNetzA Monitoringberichte — Phelix base front-year by trading yr -&gt; delivery yr; 2026 = D29</t>
        </is>
      </c>
      <c r="K674" s="77" t="inlineStr">
        <is>
          <t>stage4_de r7</t>
        </is>
      </c>
      <c r="L674" s="77" t="inlineStr">
        <is>
          <t>2026-07-15</t>
        </is>
      </c>
      <c r="M674" s="77" t="inlineStr">
        <is>
          <t>Y</t>
        </is>
      </c>
      <c r="N674" s="136">
        <f>IF(ISNUMBER(timeseries!K32),timeseries!K32,"")</f>
        <v/>
      </c>
      <c r="O674" s="77" t="inlineStr">
        <is>
          <t>EUR/MWh nominal</t>
        </is>
      </c>
    </row>
    <row r="675" ht="15" customHeight="1" s="78">
      <c r="A675" s="77" t="inlineStr">
        <is>
          <t>DE</t>
        </is>
      </c>
      <c r="B675" s="77" t="n">
        <v>2017</v>
      </c>
      <c r="C675" s="77" t="inlineStr">
        <is>
          <t>large</t>
        </is>
      </c>
      <c r="D675" s="77" t="inlineStr">
        <is>
          <t>E1</t>
        </is>
      </c>
      <c r="E675" s="77" t="inlineStr">
        <is>
          <t>Netzentgelte HoeS (LP+AP)</t>
        </is>
      </c>
      <c r="F675" s="77" t="inlineStr">
        <is>
          <t>3 Network</t>
        </is>
      </c>
      <c r="G675" s="77" t="inlineStr">
        <is>
          <t>transmission network charge</t>
        </is>
      </c>
      <c r="H675" s="77" t="inlineStr">
        <is>
          <t>i</t>
        </is>
      </c>
      <c r="I675" s="77">
        <f>IF(ISNUMBER(N675),N675*fx_deflator!$J$12*fx_deflator!$M$12,"")</f>
        <v/>
      </c>
      <c r="J675" s="77" t="inlineStr">
        <is>
          <t>Amprion Preisblatt archive; netztransparenz joint UeNB-Preisblatt (bundeseinheitlich 2023+)</t>
        </is>
      </c>
      <c r="K675" s="77" t="inlineStr">
        <is>
          <t>stage4_de r11-12</t>
        </is>
      </c>
      <c r="L675" s="77" t="inlineStr">
        <is>
          <t>2026-07-15</t>
        </is>
      </c>
      <c r="M675" s="77" t="inlineStr">
        <is>
          <t>N</t>
        </is>
      </c>
      <c r="N675" s="136">
        <f>IF(ISNUMBER(timeseries!K33),timeseries!K33,"")</f>
        <v/>
      </c>
      <c r="O675" s="77" t="inlineStr">
        <is>
          <t>EUR/MWh nominal</t>
        </is>
      </c>
    </row>
    <row r="676" ht="15" customHeight="1" s="78">
      <c r="A676" s="77" t="inlineStr">
        <is>
          <t>DE</t>
        </is>
      </c>
      <c r="B676" s="77" t="n">
        <v>2017</v>
      </c>
      <c r="C676" s="77" t="inlineStr">
        <is>
          <t>large</t>
        </is>
      </c>
      <c r="D676" s="77" t="inlineStr">
        <is>
          <t>E1</t>
        </is>
      </c>
      <c r="E676" s="77" t="inlineStr">
        <is>
          <t>EEG-Umlage (full, non-privileged)</t>
        </is>
      </c>
      <c r="F676" s="77" t="inlineStr">
        <is>
          <t>2 Gen capital recovery</t>
        </is>
      </c>
      <c r="G676" s="77" t="inlineStr">
        <is>
          <t>renewables levy (Umlage)</t>
        </is>
      </c>
      <c r="H676" s="77" t="inlineStr">
        <is>
          <t>i (0 from 07/2022 — cost moved to taxpayer, see HATCH iii row)</t>
        </is>
      </c>
      <c r="I676" s="77">
        <f>IF(ISNUMBER(N676),N676*fx_deflator!$J$12*fx_deflator!$M$12,"")</f>
        <v/>
      </c>
      <c r="J676" s="77" t="inlineStr">
        <is>
          <t>netztransparenz.de EEG-Umlagen der Vorjahre + per-year pages</t>
        </is>
      </c>
      <c r="K676" s="77" t="inlineStr">
        <is>
          <t>stage4_de r21</t>
        </is>
      </c>
      <c r="L676" s="77" t="inlineStr">
        <is>
          <t>2026-07-15</t>
        </is>
      </c>
      <c r="M676" s="77" t="inlineStr">
        <is>
          <t>N</t>
        </is>
      </c>
      <c r="N676" s="136">
        <f>IF(ISNUMBER(timeseries!K35),timeseries!K35,"")</f>
        <v/>
      </c>
      <c r="O676" s="77" t="inlineStr">
        <is>
          <t>EUR/MWh nominal</t>
        </is>
      </c>
    </row>
    <row r="677" ht="15" customHeight="1" s="78">
      <c r="A677" s="77" t="inlineStr">
        <is>
          <t>DE</t>
        </is>
      </c>
      <c r="B677" s="77" t="n">
        <v>2017</v>
      </c>
      <c r="C677" s="77" t="inlineStr">
        <is>
          <t>large</t>
        </is>
      </c>
      <c r="D677" s="77" t="inlineStr">
        <is>
          <t>E1</t>
        </is>
      </c>
      <c r="E677" s="77" t="inlineStr">
        <is>
          <t>KWKG-Umlage</t>
        </is>
      </c>
      <c r="F677" s="77" t="inlineStr">
        <is>
          <t>2 Gen capital recovery</t>
        </is>
      </c>
      <c r="G677" s="77" t="inlineStr">
        <is>
          <t>CHP levy (Umlage)</t>
        </is>
      </c>
      <c r="H677" s="77" t="inlineStr">
        <is>
          <t>i</t>
        </is>
      </c>
      <c r="I677" s="77">
        <f>IF(ISNUMBER(N677),N677*fx_deflator!$J$12*fx_deflator!$M$12,"")</f>
        <v/>
      </c>
      <c r="J677" s="77" t="inlineStr">
        <is>
          <t>netztransparenz Uebersicht KWKG-Aufschlaege 2002-2016 + per-year pages; tranche blends</t>
        </is>
      </c>
      <c r="K677" s="77" t="inlineStr">
        <is>
          <t>stage4_de r22-24</t>
        </is>
      </c>
      <c r="L677" s="77" t="inlineStr">
        <is>
          <t>2026-07-15</t>
        </is>
      </c>
      <c r="M677" s="77" t="inlineStr">
        <is>
          <t>Y</t>
        </is>
      </c>
      <c r="N677" s="136">
        <f>IF(ISNUMBER(timeseries!K36),timeseries!K36,"")</f>
        <v/>
      </c>
      <c r="O677" s="77" t="inlineStr">
        <is>
          <t>EUR/MWh nominal</t>
        </is>
      </c>
    </row>
    <row r="678" ht="15" customHeight="1" s="78">
      <c r="A678" s="77" t="inlineStr">
        <is>
          <t>DE</t>
        </is>
      </c>
      <c r="B678" s="77" t="n">
        <v>2017</v>
      </c>
      <c r="C678" s="77" t="inlineStr">
        <is>
          <t>large</t>
        </is>
      </c>
      <c r="D678" s="77" t="inlineStr">
        <is>
          <t>E1</t>
        </is>
      </c>
      <c r="E678" s="77" t="inlineStr">
        <is>
          <t>sec.19 StromNEV-Umlage</t>
        </is>
      </c>
      <c r="F678" s="77" t="inlineStr">
        <is>
          <t>4 System services &amp; balancing</t>
        </is>
      </c>
      <c r="G678" s="77" t="inlineStr">
        <is>
          <t>network levy (Umlage)</t>
        </is>
      </c>
      <c r="H678" s="77" t="inlineStr">
        <is>
          <t>ii (pays for other users net-charge relief)</t>
        </is>
      </c>
      <c r="I678" s="77">
        <f>IF(ISNUMBER(N678),N678*fx_deflator!$J$12*fx_deflator!$M$12,"")</f>
        <v/>
      </c>
      <c r="J678" s="77" t="inlineStr">
        <is>
          <t>netztransparenz per-year Umlagen pages (A-prime/B-prime/C-prime)</t>
        </is>
      </c>
      <c r="K678" s="77" t="inlineStr">
        <is>
          <t>stage4_de r25-27</t>
        </is>
      </c>
      <c r="L678" s="77" t="inlineStr">
        <is>
          <t>2026-07-15</t>
        </is>
      </c>
      <c r="M678" s="77" t="inlineStr">
        <is>
          <t>Y</t>
        </is>
      </c>
      <c r="N678" s="136">
        <f>IF(ISNUMBER(timeseries!K37),timeseries!K37,"")</f>
        <v/>
      </c>
      <c r="O678" s="77" t="inlineStr">
        <is>
          <t>EUR/MWh nominal</t>
        </is>
      </c>
    </row>
    <row r="679" ht="15" customHeight="1" s="78">
      <c r="A679" s="77" t="inlineStr">
        <is>
          <t>DE</t>
        </is>
      </c>
      <c r="B679" s="77" t="n">
        <v>2017</v>
      </c>
      <c r="C679" s="77" t="inlineStr">
        <is>
          <t>large</t>
        </is>
      </c>
      <c r="D679" s="77" t="inlineStr">
        <is>
          <t>E1</t>
        </is>
      </c>
      <c r="E679" s="77" t="inlineStr">
        <is>
          <t>Offshore-Netzumlage</t>
        </is>
      </c>
      <c r="F679" s="77" t="inlineStr">
        <is>
          <t>2 Gen capital recovery</t>
        </is>
      </c>
      <c r="G679" s="77" t="inlineStr">
        <is>
          <t>offshore grid levy (Umlage)</t>
        </is>
      </c>
      <c r="H679" s="77" t="inlineStr">
        <is>
          <t>i</t>
        </is>
      </c>
      <c r="I679" s="77">
        <f>IF(ISNUMBER(N679),N679*fx_deflator!$J$12*fx_deflator!$M$12,"")</f>
        <v/>
      </c>
      <c r="J679" s="77" t="inlineStr">
        <is>
          <t>netztransparenz Offshore-Umlage per-year pages</t>
        </is>
      </c>
      <c r="K679" s="77" t="inlineStr">
        <is>
          <t>stage4_de r28-30</t>
        </is>
      </c>
      <c r="L679" s="77" t="inlineStr">
        <is>
          <t>2026-07-15</t>
        </is>
      </c>
      <c r="M679" s="77" t="inlineStr">
        <is>
          <t>Y</t>
        </is>
      </c>
      <c r="N679" s="136">
        <f>IF(ISNUMBER(timeseries!K38),timeseries!K38,"")</f>
        <v/>
      </c>
      <c r="O679" s="77" t="inlineStr">
        <is>
          <t>EUR/MWh nominal</t>
        </is>
      </c>
    </row>
    <row r="680" ht="15" customHeight="1" s="78">
      <c r="A680" s="77" t="inlineStr">
        <is>
          <t>DE</t>
        </is>
      </c>
      <c r="B680" s="77" t="n">
        <v>2017</v>
      </c>
      <c r="C680" s="77" t="inlineStr">
        <is>
          <t>large</t>
        </is>
      </c>
      <c r="D680" s="77" t="inlineStr">
        <is>
          <t>E1</t>
        </is>
      </c>
      <c r="E680" s="77" t="inlineStr">
        <is>
          <t>AbLaV-Umlage</t>
        </is>
      </c>
      <c r="F680" s="77" t="inlineStr">
        <is>
          <t>4 System services &amp; balancing</t>
        </is>
      </c>
      <c r="G680" s="77" t="inlineStr">
        <is>
          <t>interruptible-load levy (Umlage)</t>
        </is>
      </c>
      <c r="H680" s="77" t="inlineStr">
        <is>
          <t>i</t>
        </is>
      </c>
      <c r="I680" s="77">
        <f>IF(ISNUMBER(N680),N680*fx_deflator!$J$12*fx_deflator!$M$12,"")</f>
        <v/>
      </c>
      <c r="J680" s="77" t="inlineStr">
        <is>
          <t>netztransparenz AbLaV-Umlage per-year pages (ends 2022)</t>
        </is>
      </c>
      <c r="K680" s="77" t="inlineStr">
        <is>
          <t>stage4_de r31</t>
        </is>
      </c>
      <c r="L680" s="77" t="inlineStr">
        <is>
          <t>2026-07-15</t>
        </is>
      </c>
      <c r="M680" s="77" t="inlineStr">
        <is>
          <t>N</t>
        </is>
      </c>
      <c r="N680" s="136">
        <f>IF(ISNUMBER(timeseries!K39),timeseries!K39,"")</f>
        <v/>
      </c>
      <c r="O680" s="77" t="inlineStr">
        <is>
          <t>EUR/MWh nominal</t>
        </is>
      </c>
    </row>
    <row r="681" ht="15" customHeight="1" s="78">
      <c r="A681" s="77" t="inlineStr">
        <is>
          <t>DE</t>
        </is>
      </c>
      <c r="B681" s="77" t="n">
        <v>2017</v>
      </c>
      <c r="C681" s="77" t="inlineStr">
        <is>
          <t>large</t>
        </is>
      </c>
      <c r="D681" s="77" t="inlineStr">
        <is>
          <t>E1</t>
        </is>
      </c>
      <c r="E681" s="77" t="inlineStr">
        <is>
          <t>Stromsteuer (full sec.3 rate)</t>
        </is>
      </c>
      <c r="F681" s="77" t="inlineStr">
        <is>
          <t>5 General taxation &amp; levies</t>
        </is>
      </c>
      <c r="G681" s="77" t="inlineStr">
        <is>
          <t>electricity tax</t>
        </is>
      </c>
      <c r="H681" s="77" t="inlineStr">
        <is>
          <t>i</t>
        </is>
      </c>
      <c r="I681" s="77">
        <f>IF(ISNUMBER(N681),N681*fx_deflator!$J$12*fx_deflator!$M$12,"")</f>
        <v/>
      </c>
      <c r="J681" s="77" t="inlineStr">
        <is>
          <t>StromStG sec.3/sec.9b (BGBl. 2025 I Nr. 340: 0.50 permanent from 2026); gesetze-im-internet.de</t>
        </is>
      </c>
      <c r="K681" s="77" t="inlineStr">
        <is>
          <t>stage4_de r34-35</t>
        </is>
      </c>
      <c r="L681" s="77" t="inlineStr">
        <is>
          <t>2026-07-15</t>
        </is>
      </c>
      <c r="M681" s="77" t="inlineStr">
        <is>
          <t>N</t>
        </is>
      </c>
      <c r="N681" s="77">
        <f>IF(ISNUMBER(stage4_de!K34),stage4_de!K34,"")</f>
        <v/>
      </c>
      <c r="O681" s="77" t="inlineStr">
        <is>
          <t>EUR/MWh nominal</t>
        </is>
      </c>
    </row>
    <row r="682" ht="15" customHeight="1" s="78">
      <c r="A682" s="77" t="inlineStr">
        <is>
          <t>DE</t>
        </is>
      </c>
      <c r="B682" s="77" t="n">
        <v>2017</v>
      </c>
      <c r="C682" s="77" t="inlineStr">
        <is>
          <t>large</t>
        </is>
      </c>
      <c r="D682" s="77" t="inlineStr">
        <is>
          <t>E1</t>
        </is>
      </c>
      <c r="E682" s="77" t="inlineStr">
        <is>
          <t>Konzessionsabgabe (0 via Grenzpreis rule)</t>
        </is>
      </c>
      <c r="F682" s="77" t="inlineStr">
        <is>
          <t>5 General taxation &amp; levies</t>
        </is>
      </c>
      <c r="G682" s="77" t="inlineStr">
        <is>
          <t>concession fee</t>
        </is>
      </c>
      <c r="H682" s="77" t="inlineStr">
        <is>
          <t>i</t>
        </is>
      </c>
      <c r="I682" s="77">
        <f>IF(ISNUMBER(N682),N682*fx_deflator!$J$12*fx_deflator!$M$12,"")</f>
        <v/>
      </c>
      <c r="J682" s="77" t="inlineStr">
        <is>
          <t>KAV sec.2(3)/(4) Grenzpreis rule -&gt; 0 for Sondervertragskunden</t>
        </is>
      </c>
      <c r="K682" s="77" t="inlineStr">
        <is>
          <t>stage4_de r36</t>
        </is>
      </c>
      <c r="L682" s="77" t="inlineStr">
        <is>
          <t>2026-07-15</t>
        </is>
      </c>
      <c r="M682" s="77" t="inlineStr">
        <is>
          <t>N</t>
        </is>
      </c>
      <c r="N682" s="77">
        <f>IF(ISNUMBER(stage4_de!K36),stage4_de!K36*10,"")</f>
        <v/>
      </c>
      <c r="O682" s="77" t="inlineStr">
        <is>
          <t>EUR/MWh nominal</t>
        </is>
      </c>
    </row>
    <row r="683" ht="15" customHeight="1" s="78">
      <c r="A683" s="77" t="inlineStr">
        <is>
          <t>DE</t>
        </is>
      </c>
      <c r="B683" s="77" t="n">
        <v>2018</v>
      </c>
      <c r="C683" s="77" t="inlineStr">
        <is>
          <t>large</t>
        </is>
      </c>
      <c r="D683" s="77" t="inlineStr">
        <is>
          <t>E1</t>
        </is>
      </c>
      <c r="E683" s="77" t="inlineStr">
        <is>
          <t>Wholesale (Phelix base front-year)</t>
        </is>
      </c>
      <c r="F683" s="77" t="inlineStr">
        <is>
          <t>1 Commodity</t>
        </is>
      </c>
      <c r="G683" s="77" t="inlineStr">
        <is>
          <t>wholesale market</t>
        </is>
      </c>
      <c r="H683" s="77" t="inlineStr">
        <is>
          <t>i</t>
        </is>
      </c>
      <c r="I683" s="77">
        <f>IF(ISNUMBER(N683),N683*fx_deflator!$J$13*fx_deflator!$M$13,"")</f>
        <v/>
      </c>
      <c r="J683" s="77" t="inlineStr">
        <is>
          <t>BNetzA Monitoringberichte — Phelix base front-year by trading yr -&gt; delivery yr; 2026 = D29</t>
        </is>
      </c>
      <c r="K683" s="77" t="inlineStr">
        <is>
          <t>stage4_de r7</t>
        </is>
      </c>
      <c r="L683" s="77" t="inlineStr">
        <is>
          <t>2026-07-15</t>
        </is>
      </c>
      <c r="M683" s="77" t="inlineStr">
        <is>
          <t>Y</t>
        </is>
      </c>
      <c r="N683" s="136">
        <f>IF(ISNUMBER(timeseries!L32),timeseries!L32,"")</f>
        <v/>
      </c>
      <c r="O683" s="77" t="inlineStr">
        <is>
          <t>EUR/MWh nominal</t>
        </is>
      </c>
    </row>
    <row r="684" ht="15" customHeight="1" s="78">
      <c r="A684" s="77" t="inlineStr">
        <is>
          <t>DE</t>
        </is>
      </c>
      <c r="B684" s="77" t="n">
        <v>2018</v>
      </c>
      <c r="C684" s="77" t="inlineStr">
        <is>
          <t>large</t>
        </is>
      </c>
      <c r="D684" s="77" t="inlineStr">
        <is>
          <t>E1</t>
        </is>
      </c>
      <c r="E684" s="77" t="inlineStr">
        <is>
          <t>Netzentgelte HoeS (LP+AP)</t>
        </is>
      </c>
      <c r="F684" s="77" t="inlineStr">
        <is>
          <t>3 Network</t>
        </is>
      </c>
      <c r="G684" s="77" t="inlineStr">
        <is>
          <t>transmission network charge</t>
        </is>
      </c>
      <c r="H684" s="77" t="inlineStr">
        <is>
          <t>i</t>
        </is>
      </c>
      <c r="I684" s="77">
        <f>IF(ISNUMBER(N684),N684*fx_deflator!$J$13*fx_deflator!$M$13,"")</f>
        <v/>
      </c>
      <c r="J684" s="77" t="inlineStr">
        <is>
          <t>Amprion Preisblatt archive; netztransparenz joint UeNB-Preisblatt (bundeseinheitlich 2023+)</t>
        </is>
      </c>
      <c r="K684" s="77" t="inlineStr">
        <is>
          <t>stage4_de r11-12</t>
        </is>
      </c>
      <c r="L684" s="77" t="inlineStr">
        <is>
          <t>2026-07-15</t>
        </is>
      </c>
      <c r="M684" s="77" t="inlineStr">
        <is>
          <t>N</t>
        </is>
      </c>
      <c r="N684" s="136">
        <f>IF(ISNUMBER(timeseries!L33),timeseries!L33,"")</f>
        <v/>
      </c>
      <c r="O684" s="77" t="inlineStr">
        <is>
          <t>EUR/MWh nominal</t>
        </is>
      </c>
    </row>
    <row r="685" ht="15" customHeight="1" s="78">
      <c r="A685" s="77" t="inlineStr">
        <is>
          <t>DE</t>
        </is>
      </c>
      <c r="B685" s="77" t="n">
        <v>2018</v>
      </c>
      <c r="C685" s="77" t="inlineStr">
        <is>
          <t>large</t>
        </is>
      </c>
      <c r="D685" s="77" t="inlineStr">
        <is>
          <t>E1</t>
        </is>
      </c>
      <c r="E685" s="77" t="inlineStr">
        <is>
          <t>EEG-Umlage (full, non-privileged)</t>
        </is>
      </c>
      <c r="F685" s="77" t="inlineStr">
        <is>
          <t>2 Gen capital recovery</t>
        </is>
      </c>
      <c r="G685" s="77" t="inlineStr">
        <is>
          <t>renewables levy (Umlage)</t>
        </is>
      </c>
      <c r="H685" s="77" t="inlineStr">
        <is>
          <t>i (0 from 07/2022 — cost moved to taxpayer, see HATCH iii row)</t>
        </is>
      </c>
      <c r="I685" s="77">
        <f>IF(ISNUMBER(N685),N685*fx_deflator!$J$13*fx_deflator!$M$13,"")</f>
        <v/>
      </c>
      <c r="J685" s="77" t="inlineStr">
        <is>
          <t>netztransparenz.de EEG-Umlagen der Vorjahre + per-year pages</t>
        </is>
      </c>
      <c r="K685" s="77" t="inlineStr">
        <is>
          <t>stage4_de r21</t>
        </is>
      </c>
      <c r="L685" s="77" t="inlineStr">
        <is>
          <t>2026-07-15</t>
        </is>
      </c>
      <c r="M685" s="77" t="inlineStr">
        <is>
          <t>N</t>
        </is>
      </c>
      <c r="N685" s="136">
        <f>IF(ISNUMBER(timeseries!L35),timeseries!L35,"")</f>
        <v/>
      </c>
      <c r="O685" s="77" t="inlineStr">
        <is>
          <t>EUR/MWh nominal</t>
        </is>
      </c>
    </row>
    <row r="686" ht="15" customHeight="1" s="78">
      <c r="A686" s="77" t="inlineStr">
        <is>
          <t>DE</t>
        </is>
      </c>
      <c r="B686" s="77" t="n">
        <v>2018</v>
      </c>
      <c r="C686" s="77" t="inlineStr">
        <is>
          <t>large</t>
        </is>
      </c>
      <c r="D686" s="77" t="inlineStr">
        <is>
          <t>E1</t>
        </is>
      </c>
      <c r="E686" s="77" t="inlineStr">
        <is>
          <t>KWKG-Umlage</t>
        </is>
      </c>
      <c r="F686" s="77" t="inlineStr">
        <is>
          <t>2 Gen capital recovery</t>
        </is>
      </c>
      <c r="G686" s="77" t="inlineStr">
        <is>
          <t>CHP levy (Umlage)</t>
        </is>
      </c>
      <c r="H686" s="77" t="inlineStr">
        <is>
          <t>i</t>
        </is>
      </c>
      <c r="I686" s="77">
        <f>IF(ISNUMBER(N686),N686*fx_deflator!$J$13*fx_deflator!$M$13,"")</f>
        <v/>
      </c>
      <c r="J686" s="77" t="inlineStr">
        <is>
          <t>netztransparenz Uebersicht KWKG-Aufschlaege 2002-2016 + per-year pages; tranche blends</t>
        </is>
      </c>
      <c r="K686" s="77" t="inlineStr">
        <is>
          <t>stage4_de r22-24</t>
        </is>
      </c>
      <c r="L686" s="77" t="inlineStr">
        <is>
          <t>2026-07-15</t>
        </is>
      </c>
      <c r="M686" s="77" t="inlineStr">
        <is>
          <t>Y</t>
        </is>
      </c>
      <c r="N686" s="136">
        <f>IF(ISNUMBER(timeseries!L36),timeseries!L36,"")</f>
        <v/>
      </c>
      <c r="O686" s="77" t="inlineStr">
        <is>
          <t>EUR/MWh nominal</t>
        </is>
      </c>
    </row>
    <row r="687" ht="15" customHeight="1" s="78">
      <c r="A687" s="77" t="inlineStr">
        <is>
          <t>DE</t>
        </is>
      </c>
      <c r="B687" s="77" t="n">
        <v>2018</v>
      </c>
      <c r="C687" s="77" t="inlineStr">
        <is>
          <t>large</t>
        </is>
      </c>
      <c r="D687" s="77" t="inlineStr">
        <is>
          <t>E1</t>
        </is>
      </c>
      <c r="E687" s="77" t="inlineStr">
        <is>
          <t>sec.19 StromNEV-Umlage</t>
        </is>
      </c>
      <c r="F687" s="77" t="inlineStr">
        <is>
          <t>4 System services &amp; balancing</t>
        </is>
      </c>
      <c r="G687" s="77" t="inlineStr">
        <is>
          <t>network levy (Umlage)</t>
        </is>
      </c>
      <c r="H687" s="77" t="inlineStr">
        <is>
          <t>ii (pays for other users net-charge relief)</t>
        </is>
      </c>
      <c r="I687" s="77">
        <f>IF(ISNUMBER(N687),N687*fx_deflator!$J$13*fx_deflator!$M$13,"")</f>
        <v/>
      </c>
      <c r="J687" s="77" t="inlineStr">
        <is>
          <t>netztransparenz per-year Umlagen pages (A-prime/B-prime/C-prime)</t>
        </is>
      </c>
      <c r="K687" s="77" t="inlineStr">
        <is>
          <t>stage4_de r25-27</t>
        </is>
      </c>
      <c r="L687" s="77" t="inlineStr">
        <is>
          <t>2026-07-15</t>
        </is>
      </c>
      <c r="M687" s="77" t="inlineStr">
        <is>
          <t>Y</t>
        </is>
      </c>
      <c r="N687" s="136">
        <f>IF(ISNUMBER(timeseries!L37),timeseries!L37,"")</f>
        <v/>
      </c>
      <c r="O687" s="77" t="inlineStr">
        <is>
          <t>EUR/MWh nominal</t>
        </is>
      </c>
    </row>
    <row r="688" ht="15" customHeight="1" s="78">
      <c r="A688" s="77" t="inlineStr">
        <is>
          <t>DE</t>
        </is>
      </c>
      <c r="B688" s="77" t="n">
        <v>2018</v>
      </c>
      <c r="C688" s="77" t="inlineStr">
        <is>
          <t>large</t>
        </is>
      </c>
      <c r="D688" s="77" t="inlineStr">
        <is>
          <t>E1</t>
        </is>
      </c>
      <c r="E688" s="77" t="inlineStr">
        <is>
          <t>Offshore-Netzumlage</t>
        </is>
      </c>
      <c r="F688" s="77" t="inlineStr">
        <is>
          <t>2 Gen capital recovery</t>
        </is>
      </c>
      <c r="G688" s="77" t="inlineStr">
        <is>
          <t>offshore grid levy (Umlage)</t>
        </is>
      </c>
      <c r="H688" s="77" t="inlineStr">
        <is>
          <t>i</t>
        </is>
      </c>
      <c r="I688" s="77">
        <f>IF(ISNUMBER(N688),N688*fx_deflator!$J$13*fx_deflator!$M$13,"")</f>
        <v/>
      </c>
      <c r="J688" s="77" t="inlineStr">
        <is>
          <t>netztransparenz Offshore-Umlage per-year pages</t>
        </is>
      </c>
      <c r="K688" s="77" t="inlineStr">
        <is>
          <t>stage4_de r28-30</t>
        </is>
      </c>
      <c r="L688" s="77" t="inlineStr">
        <is>
          <t>2026-07-15</t>
        </is>
      </c>
      <c r="M688" s="77" t="inlineStr">
        <is>
          <t>Y</t>
        </is>
      </c>
      <c r="N688" s="136">
        <f>IF(ISNUMBER(timeseries!L38),timeseries!L38,"")</f>
        <v/>
      </c>
      <c r="O688" s="77" t="inlineStr">
        <is>
          <t>EUR/MWh nominal</t>
        </is>
      </c>
    </row>
    <row r="689" ht="15" customHeight="1" s="78">
      <c r="A689" s="77" t="inlineStr">
        <is>
          <t>DE</t>
        </is>
      </c>
      <c r="B689" s="77" t="n">
        <v>2018</v>
      </c>
      <c r="C689" s="77" t="inlineStr">
        <is>
          <t>large</t>
        </is>
      </c>
      <c r="D689" s="77" t="inlineStr">
        <is>
          <t>E1</t>
        </is>
      </c>
      <c r="E689" s="77" t="inlineStr">
        <is>
          <t>AbLaV-Umlage</t>
        </is>
      </c>
      <c r="F689" s="77" t="inlineStr">
        <is>
          <t>4 System services &amp; balancing</t>
        </is>
      </c>
      <c r="G689" s="77" t="inlineStr">
        <is>
          <t>interruptible-load levy (Umlage)</t>
        </is>
      </c>
      <c r="H689" s="77" t="inlineStr">
        <is>
          <t>i</t>
        </is>
      </c>
      <c r="I689" s="77">
        <f>IF(ISNUMBER(N689),N689*fx_deflator!$J$13*fx_deflator!$M$13,"")</f>
        <v/>
      </c>
      <c r="J689" s="77" t="inlineStr">
        <is>
          <t>netztransparenz AbLaV-Umlage per-year pages (ends 2022)</t>
        </is>
      </c>
      <c r="K689" s="77" t="inlineStr">
        <is>
          <t>stage4_de r31</t>
        </is>
      </c>
      <c r="L689" s="77" t="inlineStr">
        <is>
          <t>2026-07-15</t>
        </is>
      </c>
      <c r="M689" s="77" t="inlineStr">
        <is>
          <t>N</t>
        </is>
      </c>
      <c r="N689" s="136">
        <f>IF(ISNUMBER(timeseries!L39),timeseries!L39,"")</f>
        <v/>
      </c>
      <c r="O689" s="77" t="inlineStr">
        <is>
          <t>EUR/MWh nominal</t>
        </is>
      </c>
    </row>
    <row r="690" ht="15" customHeight="1" s="78">
      <c r="A690" s="77" t="inlineStr">
        <is>
          <t>DE</t>
        </is>
      </c>
      <c r="B690" s="77" t="n">
        <v>2018</v>
      </c>
      <c r="C690" s="77" t="inlineStr">
        <is>
          <t>large</t>
        </is>
      </c>
      <c r="D690" s="77" t="inlineStr">
        <is>
          <t>E1</t>
        </is>
      </c>
      <c r="E690" s="77" t="inlineStr">
        <is>
          <t>Stromsteuer (full sec.3 rate)</t>
        </is>
      </c>
      <c r="F690" s="77" t="inlineStr">
        <is>
          <t>5 General taxation &amp; levies</t>
        </is>
      </c>
      <c r="G690" s="77" t="inlineStr">
        <is>
          <t>electricity tax</t>
        </is>
      </c>
      <c r="H690" s="77" t="inlineStr">
        <is>
          <t>i</t>
        </is>
      </c>
      <c r="I690" s="77">
        <f>IF(ISNUMBER(N690),N690*fx_deflator!$J$13*fx_deflator!$M$13,"")</f>
        <v/>
      </c>
      <c r="J690" s="77" t="inlineStr">
        <is>
          <t>StromStG sec.3/sec.9b (BGBl. 2025 I Nr. 340: 0.50 permanent from 2026); gesetze-im-internet.de</t>
        </is>
      </c>
      <c r="K690" s="77" t="inlineStr">
        <is>
          <t>stage4_de r34-35</t>
        </is>
      </c>
      <c r="L690" s="77" t="inlineStr">
        <is>
          <t>2026-07-15</t>
        </is>
      </c>
      <c r="M690" s="77" t="inlineStr">
        <is>
          <t>N</t>
        </is>
      </c>
      <c r="N690" s="77">
        <f>IF(ISNUMBER(stage4_de!L34),stage4_de!L34,"")</f>
        <v/>
      </c>
      <c r="O690" s="77" t="inlineStr">
        <is>
          <t>EUR/MWh nominal</t>
        </is>
      </c>
    </row>
    <row r="691" ht="15" customHeight="1" s="78">
      <c r="A691" s="77" t="inlineStr">
        <is>
          <t>DE</t>
        </is>
      </c>
      <c r="B691" s="77" t="n">
        <v>2018</v>
      </c>
      <c r="C691" s="77" t="inlineStr">
        <is>
          <t>large</t>
        </is>
      </c>
      <c r="D691" s="77" t="inlineStr">
        <is>
          <t>E1</t>
        </is>
      </c>
      <c r="E691" s="77" t="inlineStr">
        <is>
          <t>Konzessionsabgabe (0 via Grenzpreis rule)</t>
        </is>
      </c>
      <c r="F691" s="77" t="inlineStr">
        <is>
          <t>5 General taxation &amp; levies</t>
        </is>
      </c>
      <c r="G691" s="77" t="inlineStr">
        <is>
          <t>concession fee</t>
        </is>
      </c>
      <c r="H691" s="77" t="inlineStr">
        <is>
          <t>i</t>
        </is>
      </c>
      <c r="I691" s="77">
        <f>IF(ISNUMBER(N691),N691*fx_deflator!$J$13*fx_deflator!$M$13,"")</f>
        <v/>
      </c>
      <c r="J691" s="77" t="inlineStr">
        <is>
          <t>KAV sec.2(3)/(4) Grenzpreis rule -&gt; 0 for Sondervertragskunden</t>
        </is>
      </c>
      <c r="K691" s="77" t="inlineStr">
        <is>
          <t>stage4_de r36</t>
        </is>
      </c>
      <c r="L691" s="77" t="inlineStr">
        <is>
          <t>2026-07-15</t>
        </is>
      </c>
      <c r="M691" s="77" t="inlineStr">
        <is>
          <t>N</t>
        </is>
      </c>
      <c r="N691" s="77">
        <f>IF(ISNUMBER(stage4_de!L36),stage4_de!L36*10,"")</f>
        <v/>
      </c>
      <c r="O691" s="77" t="inlineStr">
        <is>
          <t>EUR/MWh nominal</t>
        </is>
      </c>
    </row>
    <row r="692" ht="15" customHeight="1" s="78">
      <c r="A692" s="77" t="inlineStr">
        <is>
          <t>DE</t>
        </is>
      </c>
      <c r="B692" s="77" t="n">
        <v>2019</v>
      </c>
      <c r="C692" s="77" t="inlineStr">
        <is>
          <t>large</t>
        </is>
      </c>
      <c r="D692" s="77" t="inlineStr">
        <is>
          <t>E1</t>
        </is>
      </c>
      <c r="E692" s="77" t="inlineStr">
        <is>
          <t>Wholesale (Phelix base front-year)</t>
        </is>
      </c>
      <c r="F692" s="77" t="inlineStr">
        <is>
          <t>1 Commodity</t>
        </is>
      </c>
      <c r="G692" s="77" t="inlineStr">
        <is>
          <t>wholesale market</t>
        </is>
      </c>
      <c r="H692" s="77" t="inlineStr">
        <is>
          <t>i</t>
        </is>
      </c>
      <c r="I692" s="77">
        <f>IF(ISNUMBER(N692),N692*fx_deflator!$J$14*fx_deflator!$M$14,"")</f>
        <v/>
      </c>
      <c r="J692" s="77" t="inlineStr">
        <is>
          <t>BNetzA Monitoringberichte — Phelix base front-year by trading yr -&gt; delivery yr; 2026 = D29</t>
        </is>
      </c>
      <c r="K692" s="77" t="inlineStr">
        <is>
          <t>stage4_de r7</t>
        </is>
      </c>
      <c r="L692" s="77" t="inlineStr">
        <is>
          <t>2026-07-15</t>
        </is>
      </c>
      <c r="M692" s="77" t="inlineStr">
        <is>
          <t>Y</t>
        </is>
      </c>
      <c r="N692" s="136">
        <f>IF(ISNUMBER(timeseries!M32),timeseries!M32,"")</f>
        <v/>
      </c>
      <c r="O692" s="77" t="inlineStr">
        <is>
          <t>EUR/MWh nominal</t>
        </is>
      </c>
    </row>
    <row r="693" ht="15" customHeight="1" s="78">
      <c r="A693" s="77" t="inlineStr">
        <is>
          <t>DE</t>
        </is>
      </c>
      <c r="B693" s="77" t="n">
        <v>2019</v>
      </c>
      <c r="C693" s="77" t="inlineStr">
        <is>
          <t>large</t>
        </is>
      </c>
      <c r="D693" s="77" t="inlineStr">
        <is>
          <t>E1</t>
        </is>
      </c>
      <c r="E693" s="77" t="inlineStr">
        <is>
          <t>Netzentgelte HoeS (LP+AP)</t>
        </is>
      </c>
      <c r="F693" s="77" t="inlineStr">
        <is>
          <t>3 Network</t>
        </is>
      </c>
      <c r="G693" s="77" t="inlineStr">
        <is>
          <t>transmission network charge</t>
        </is>
      </c>
      <c r="H693" s="77" t="inlineStr">
        <is>
          <t>i</t>
        </is>
      </c>
      <c r="I693" s="77">
        <f>IF(ISNUMBER(N693),N693*fx_deflator!$J$14*fx_deflator!$M$14,"")</f>
        <v/>
      </c>
      <c r="J693" s="77" t="inlineStr">
        <is>
          <t>Amprion Preisblatt archive; netztransparenz joint UeNB-Preisblatt (bundeseinheitlich 2023+)</t>
        </is>
      </c>
      <c r="K693" s="77" t="inlineStr">
        <is>
          <t>stage4_de r11-12</t>
        </is>
      </c>
      <c r="L693" s="77" t="inlineStr">
        <is>
          <t>2026-07-15</t>
        </is>
      </c>
      <c r="M693" s="77" t="inlineStr">
        <is>
          <t>N</t>
        </is>
      </c>
      <c r="N693" s="136">
        <f>IF(ISNUMBER(timeseries!M33),timeseries!M33,"")</f>
        <v/>
      </c>
      <c r="O693" s="77" t="inlineStr">
        <is>
          <t>EUR/MWh nominal</t>
        </is>
      </c>
    </row>
    <row r="694" ht="15" customHeight="1" s="78">
      <c r="A694" s="77" t="inlineStr">
        <is>
          <t>DE</t>
        </is>
      </c>
      <c r="B694" s="77" t="n">
        <v>2019</v>
      </c>
      <c r="C694" s="77" t="inlineStr">
        <is>
          <t>large</t>
        </is>
      </c>
      <c r="D694" s="77" t="inlineStr">
        <is>
          <t>E1</t>
        </is>
      </c>
      <c r="E694" s="77" t="inlineStr">
        <is>
          <t>EEG-Umlage (full, non-privileged)</t>
        </is>
      </c>
      <c r="F694" s="77" t="inlineStr">
        <is>
          <t>2 Gen capital recovery</t>
        </is>
      </c>
      <c r="G694" s="77" t="inlineStr">
        <is>
          <t>renewables levy (Umlage)</t>
        </is>
      </c>
      <c r="H694" s="77" t="inlineStr">
        <is>
          <t>i (0 from 07/2022 — cost moved to taxpayer, see HATCH iii row)</t>
        </is>
      </c>
      <c r="I694" s="77">
        <f>IF(ISNUMBER(N694),N694*fx_deflator!$J$14*fx_deflator!$M$14,"")</f>
        <v/>
      </c>
      <c r="J694" s="77" t="inlineStr">
        <is>
          <t>netztransparenz.de EEG-Umlagen der Vorjahre + per-year pages</t>
        </is>
      </c>
      <c r="K694" s="77" t="inlineStr">
        <is>
          <t>stage4_de r21</t>
        </is>
      </c>
      <c r="L694" s="77" t="inlineStr">
        <is>
          <t>2026-07-15</t>
        </is>
      </c>
      <c r="M694" s="77" t="inlineStr">
        <is>
          <t>N</t>
        </is>
      </c>
      <c r="N694" s="136">
        <f>IF(ISNUMBER(timeseries!M35),timeseries!M35,"")</f>
        <v/>
      </c>
      <c r="O694" s="77" t="inlineStr">
        <is>
          <t>EUR/MWh nominal</t>
        </is>
      </c>
    </row>
    <row r="695" ht="15" customHeight="1" s="78">
      <c r="A695" s="77" t="inlineStr">
        <is>
          <t>DE</t>
        </is>
      </c>
      <c r="B695" s="77" t="n">
        <v>2019</v>
      </c>
      <c r="C695" s="77" t="inlineStr">
        <is>
          <t>large</t>
        </is>
      </c>
      <c r="D695" s="77" t="inlineStr">
        <is>
          <t>E1</t>
        </is>
      </c>
      <c r="E695" s="77" t="inlineStr">
        <is>
          <t>KWKG-Umlage</t>
        </is>
      </c>
      <c r="F695" s="77" t="inlineStr">
        <is>
          <t>2 Gen capital recovery</t>
        </is>
      </c>
      <c r="G695" s="77" t="inlineStr">
        <is>
          <t>CHP levy (Umlage)</t>
        </is>
      </c>
      <c r="H695" s="77" t="inlineStr">
        <is>
          <t>i</t>
        </is>
      </c>
      <c r="I695" s="77">
        <f>IF(ISNUMBER(N695),N695*fx_deflator!$J$14*fx_deflator!$M$14,"")</f>
        <v/>
      </c>
      <c r="J695" s="77" t="inlineStr">
        <is>
          <t>netztransparenz Uebersicht KWKG-Aufschlaege 2002-2016 + per-year pages; tranche blends</t>
        </is>
      </c>
      <c r="K695" s="77" t="inlineStr">
        <is>
          <t>stage4_de r22-24</t>
        </is>
      </c>
      <c r="L695" s="77" t="inlineStr">
        <is>
          <t>2026-07-15</t>
        </is>
      </c>
      <c r="M695" s="77" t="inlineStr">
        <is>
          <t>Y</t>
        </is>
      </c>
      <c r="N695" s="136">
        <f>IF(ISNUMBER(timeseries!M36),timeseries!M36,"")</f>
        <v/>
      </c>
      <c r="O695" s="77" t="inlineStr">
        <is>
          <t>EUR/MWh nominal</t>
        </is>
      </c>
    </row>
    <row r="696" ht="15" customHeight="1" s="78">
      <c r="A696" s="77" t="inlineStr">
        <is>
          <t>DE</t>
        </is>
      </c>
      <c r="B696" s="77" t="n">
        <v>2019</v>
      </c>
      <c r="C696" s="77" t="inlineStr">
        <is>
          <t>large</t>
        </is>
      </c>
      <c r="D696" s="77" t="inlineStr">
        <is>
          <t>E1</t>
        </is>
      </c>
      <c r="E696" s="77" t="inlineStr">
        <is>
          <t>sec.19 StromNEV-Umlage</t>
        </is>
      </c>
      <c r="F696" s="77" t="inlineStr">
        <is>
          <t>4 System services &amp; balancing</t>
        </is>
      </c>
      <c r="G696" s="77" t="inlineStr">
        <is>
          <t>network levy (Umlage)</t>
        </is>
      </c>
      <c r="H696" s="77" t="inlineStr">
        <is>
          <t>ii (pays for other users net-charge relief)</t>
        </is>
      </c>
      <c r="I696" s="77">
        <f>IF(ISNUMBER(N696),N696*fx_deflator!$J$14*fx_deflator!$M$14,"")</f>
        <v/>
      </c>
      <c r="J696" s="77" t="inlineStr">
        <is>
          <t>netztransparenz per-year Umlagen pages (A-prime/B-prime/C-prime)</t>
        </is>
      </c>
      <c r="K696" s="77" t="inlineStr">
        <is>
          <t>stage4_de r25-27</t>
        </is>
      </c>
      <c r="L696" s="77" t="inlineStr">
        <is>
          <t>2026-07-15</t>
        </is>
      </c>
      <c r="M696" s="77" t="inlineStr">
        <is>
          <t>Y</t>
        </is>
      </c>
      <c r="N696" s="136">
        <f>IF(ISNUMBER(timeseries!M37),timeseries!M37,"")</f>
        <v/>
      </c>
      <c r="O696" s="77" t="inlineStr">
        <is>
          <t>EUR/MWh nominal</t>
        </is>
      </c>
    </row>
    <row r="697" ht="15" customHeight="1" s="78">
      <c r="A697" s="77" t="inlineStr">
        <is>
          <t>DE</t>
        </is>
      </c>
      <c r="B697" s="77" t="n">
        <v>2019</v>
      </c>
      <c r="C697" s="77" t="inlineStr">
        <is>
          <t>large</t>
        </is>
      </c>
      <c r="D697" s="77" t="inlineStr">
        <is>
          <t>E1</t>
        </is>
      </c>
      <c r="E697" s="77" t="inlineStr">
        <is>
          <t>Offshore-Netzumlage</t>
        </is>
      </c>
      <c r="F697" s="77" t="inlineStr">
        <is>
          <t>2 Gen capital recovery</t>
        </is>
      </c>
      <c r="G697" s="77" t="inlineStr">
        <is>
          <t>offshore grid levy (Umlage)</t>
        </is>
      </c>
      <c r="H697" s="77" t="inlineStr">
        <is>
          <t>i</t>
        </is>
      </c>
      <c r="I697" s="77">
        <f>IF(ISNUMBER(N697),N697*fx_deflator!$J$14*fx_deflator!$M$14,"")</f>
        <v/>
      </c>
      <c r="J697" s="77" t="inlineStr">
        <is>
          <t>netztransparenz Offshore-Umlage per-year pages</t>
        </is>
      </c>
      <c r="K697" s="77" t="inlineStr">
        <is>
          <t>stage4_de r28-30</t>
        </is>
      </c>
      <c r="L697" s="77" t="inlineStr">
        <is>
          <t>2026-07-15</t>
        </is>
      </c>
      <c r="M697" s="77" t="inlineStr">
        <is>
          <t>Y</t>
        </is>
      </c>
      <c r="N697" s="136">
        <f>IF(ISNUMBER(timeseries!M38),timeseries!M38,"")</f>
        <v/>
      </c>
      <c r="O697" s="77" t="inlineStr">
        <is>
          <t>EUR/MWh nominal</t>
        </is>
      </c>
    </row>
    <row r="698" ht="15" customHeight="1" s="78">
      <c r="A698" s="77" t="inlineStr">
        <is>
          <t>DE</t>
        </is>
      </c>
      <c r="B698" s="77" t="n">
        <v>2019</v>
      </c>
      <c r="C698" s="77" t="inlineStr">
        <is>
          <t>large</t>
        </is>
      </c>
      <c r="D698" s="77" t="inlineStr">
        <is>
          <t>E1</t>
        </is>
      </c>
      <c r="E698" s="77" t="inlineStr">
        <is>
          <t>AbLaV-Umlage</t>
        </is>
      </c>
      <c r="F698" s="77" t="inlineStr">
        <is>
          <t>4 System services &amp; balancing</t>
        </is>
      </c>
      <c r="G698" s="77" t="inlineStr">
        <is>
          <t>interruptible-load levy (Umlage)</t>
        </is>
      </c>
      <c r="H698" s="77" t="inlineStr">
        <is>
          <t>i</t>
        </is>
      </c>
      <c r="I698" s="77">
        <f>IF(ISNUMBER(N698),N698*fx_deflator!$J$14*fx_deflator!$M$14,"")</f>
        <v/>
      </c>
      <c r="J698" s="77" t="inlineStr">
        <is>
          <t>netztransparenz AbLaV-Umlage per-year pages (ends 2022)</t>
        </is>
      </c>
      <c r="K698" s="77" t="inlineStr">
        <is>
          <t>stage4_de r31</t>
        </is>
      </c>
      <c r="L698" s="77" t="inlineStr">
        <is>
          <t>2026-07-15</t>
        </is>
      </c>
      <c r="M698" s="77" t="inlineStr">
        <is>
          <t>N</t>
        </is>
      </c>
      <c r="N698" s="136">
        <f>IF(ISNUMBER(timeseries!M39),timeseries!M39,"")</f>
        <v/>
      </c>
      <c r="O698" s="77" t="inlineStr">
        <is>
          <t>EUR/MWh nominal</t>
        </is>
      </c>
    </row>
    <row r="699" ht="15" customHeight="1" s="78">
      <c r="A699" s="77" t="inlineStr">
        <is>
          <t>DE</t>
        </is>
      </c>
      <c r="B699" s="77" t="n">
        <v>2019</v>
      </c>
      <c r="C699" s="77" t="inlineStr">
        <is>
          <t>large</t>
        </is>
      </c>
      <c r="D699" s="77" t="inlineStr">
        <is>
          <t>E1</t>
        </is>
      </c>
      <c r="E699" s="77" t="inlineStr">
        <is>
          <t>Stromsteuer (full sec.3 rate)</t>
        </is>
      </c>
      <c r="F699" s="77" t="inlineStr">
        <is>
          <t>5 General taxation &amp; levies</t>
        </is>
      </c>
      <c r="G699" s="77" t="inlineStr">
        <is>
          <t>electricity tax</t>
        </is>
      </c>
      <c r="H699" s="77" t="inlineStr">
        <is>
          <t>i</t>
        </is>
      </c>
      <c r="I699" s="77">
        <f>IF(ISNUMBER(N699),N699*fx_deflator!$J$14*fx_deflator!$M$14,"")</f>
        <v/>
      </c>
      <c r="J699" s="77" t="inlineStr">
        <is>
          <t>StromStG sec.3/sec.9b (BGBl. 2025 I Nr. 340: 0.50 permanent from 2026); gesetze-im-internet.de</t>
        </is>
      </c>
      <c r="K699" s="77" t="inlineStr">
        <is>
          <t>stage4_de r34-35</t>
        </is>
      </c>
      <c r="L699" s="77" t="inlineStr">
        <is>
          <t>2026-07-15</t>
        </is>
      </c>
      <c r="M699" s="77" t="inlineStr">
        <is>
          <t>N</t>
        </is>
      </c>
      <c r="N699" s="77">
        <f>IF(ISNUMBER(stage4_de!M34),stage4_de!M34,"")</f>
        <v/>
      </c>
      <c r="O699" s="77" t="inlineStr">
        <is>
          <t>EUR/MWh nominal</t>
        </is>
      </c>
    </row>
    <row r="700" ht="15" customHeight="1" s="78">
      <c r="A700" s="77" t="inlineStr">
        <is>
          <t>DE</t>
        </is>
      </c>
      <c r="B700" s="77" t="n">
        <v>2019</v>
      </c>
      <c r="C700" s="77" t="inlineStr">
        <is>
          <t>large</t>
        </is>
      </c>
      <c r="D700" s="77" t="inlineStr">
        <is>
          <t>E1</t>
        </is>
      </c>
      <c r="E700" s="77" t="inlineStr">
        <is>
          <t>Konzessionsabgabe (0 via Grenzpreis rule)</t>
        </is>
      </c>
      <c r="F700" s="77" t="inlineStr">
        <is>
          <t>5 General taxation &amp; levies</t>
        </is>
      </c>
      <c r="G700" s="77" t="inlineStr">
        <is>
          <t>concession fee</t>
        </is>
      </c>
      <c r="H700" s="77" t="inlineStr">
        <is>
          <t>i</t>
        </is>
      </c>
      <c r="I700" s="77">
        <f>IF(ISNUMBER(N700),N700*fx_deflator!$J$14*fx_deflator!$M$14,"")</f>
        <v/>
      </c>
      <c r="J700" s="77" t="inlineStr">
        <is>
          <t>KAV sec.2(3)/(4) Grenzpreis rule -&gt; 0 for Sondervertragskunden</t>
        </is>
      </c>
      <c r="K700" s="77" t="inlineStr">
        <is>
          <t>stage4_de r36</t>
        </is>
      </c>
      <c r="L700" s="77" t="inlineStr">
        <is>
          <t>2026-07-15</t>
        </is>
      </c>
      <c r="M700" s="77" t="inlineStr">
        <is>
          <t>N</t>
        </is>
      </c>
      <c r="N700" s="77">
        <f>IF(ISNUMBER(stage4_de!M36),stage4_de!M36*10,"")</f>
        <v/>
      </c>
      <c r="O700" s="77" t="inlineStr">
        <is>
          <t>EUR/MWh nominal</t>
        </is>
      </c>
    </row>
    <row r="701" ht="15" customHeight="1" s="78">
      <c r="A701" s="77" t="inlineStr">
        <is>
          <t>DE</t>
        </is>
      </c>
      <c r="B701" s="77" t="n">
        <v>2020</v>
      </c>
      <c r="C701" s="77" t="inlineStr">
        <is>
          <t>large</t>
        </is>
      </c>
      <c r="D701" s="77" t="inlineStr">
        <is>
          <t>E1</t>
        </is>
      </c>
      <c r="E701" s="77" t="inlineStr">
        <is>
          <t>Wholesale (Phelix base front-year)</t>
        </is>
      </c>
      <c r="F701" s="77" t="inlineStr">
        <is>
          <t>1 Commodity</t>
        </is>
      </c>
      <c r="G701" s="77" t="inlineStr">
        <is>
          <t>wholesale market</t>
        </is>
      </c>
      <c r="H701" s="77" t="inlineStr">
        <is>
          <t>i</t>
        </is>
      </c>
      <c r="I701" s="77">
        <f>IF(ISNUMBER(N701),N701*fx_deflator!$J$15*fx_deflator!$M$15,"")</f>
        <v/>
      </c>
      <c r="J701" s="77" t="inlineStr">
        <is>
          <t>BNetzA Monitoringberichte — Phelix base front-year by trading yr -&gt; delivery yr; 2026 = D29</t>
        </is>
      </c>
      <c r="K701" s="77" t="inlineStr">
        <is>
          <t>stage4_de r7</t>
        </is>
      </c>
      <c r="L701" s="77" t="inlineStr">
        <is>
          <t>2026-07-15</t>
        </is>
      </c>
      <c r="M701" s="77" t="inlineStr">
        <is>
          <t>Y</t>
        </is>
      </c>
      <c r="N701" s="136">
        <f>IF(ISNUMBER(timeseries!N32),timeseries!N32,"")</f>
        <v/>
      </c>
      <c r="O701" s="77" t="inlineStr">
        <is>
          <t>EUR/MWh nominal</t>
        </is>
      </c>
    </row>
    <row r="702" ht="15" customHeight="1" s="78">
      <c r="A702" s="77" t="inlineStr">
        <is>
          <t>DE</t>
        </is>
      </c>
      <c r="B702" s="77" t="n">
        <v>2020</v>
      </c>
      <c r="C702" s="77" t="inlineStr">
        <is>
          <t>large</t>
        </is>
      </c>
      <c r="D702" s="77" t="inlineStr">
        <is>
          <t>E1</t>
        </is>
      </c>
      <c r="E702" s="77" t="inlineStr">
        <is>
          <t>Netzentgelte HoeS (LP+AP)</t>
        </is>
      </c>
      <c r="F702" s="77" t="inlineStr">
        <is>
          <t>3 Network</t>
        </is>
      </c>
      <c r="G702" s="77" t="inlineStr">
        <is>
          <t>transmission network charge</t>
        </is>
      </c>
      <c r="H702" s="77" t="inlineStr">
        <is>
          <t>i</t>
        </is>
      </c>
      <c r="I702" s="77">
        <f>IF(ISNUMBER(N702),N702*fx_deflator!$J$15*fx_deflator!$M$15,"")</f>
        <v/>
      </c>
      <c r="J702" s="77" t="inlineStr">
        <is>
          <t>Amprion Preisblatt archive; netztransparenz joint UeNB-Preisblatt (bundeseinheitlich 2023+)</t>
        </is>
      </c>
      <c r="K702" s="77" t="inlineStr">
        <is>
          <t>stage4_de r11-12</t>
        </is>
      </c>
      <c r="L702" s="77" t="inlineStr">
        <is>
          <t>2026-07-15</t>
        </is>
      </c>
      <c r="M702" s="77" t="inlineStr">
        <is>
          <t>N</t>
        </is>
      </c>
      <c r="N702" s="136">
        <f>IF(ISNUMBER(timeseries!N33),timeseries!N33,"")</f>
        <v/>
      </c>
      <c r="O702" s="77" t="inlineStr">
        <is>
          <t>EUR/MWh nominal</t>
        </is>
      </c>
    </row>
    <row r="703" ht="15" customHeight="1" s="78">
      <c r="A703" s="77" t="inlineStr">
        <is>
          <t>DE</t>
        </is>
      </c>
      <c r="B703" s="77" t="n">
        <v>2020</v>
      </c>
      <c r="C703" s="77" t="inlineStr">
        <is>
          <t>large</t>
        </is>
      </c>
      <c r="D703" s="77" t="inlineStr">
        <is>
          <t>E1</t>
        </is>
      </c>
      <c r="E703" s="77" t="inlineStr">
        <is>
          <t>EEG-Umlage (full, non-privileged)</t>
        </is>
      </c>
      <c r="F703" s="77" t="inlineStr">
        <is>
          <t>2 Gen capital recovery</t>
        </is>
      </c>
      <c r="G703" s="77" t="inlineStr">
        <is>
          <t>renewables levy (Umlage)</t>
        </is>
      </c>
      <c r="H703" s="77" t="inlineStr">
        <is>
          <t>i (0 from 07/2022 — cost moved to taxpayer, see HATCH iii row)</t>
        </is>
      </c>
      <c r="I703" s="77">
        <f>IF(ISNUMBER(N703),N703*fx_deflator!$J$15*fx_deflator!$M$15,"")</f>
        <v/>
      </c>
      <c r="J703" s="77" t="inlineStr">
        <is>
          <t>netztransparenz.de EEG-Umlagen der Vorjahre + per-year pages</t>
        </is>
      </c>
      <c r="K703" s="77" t="inlineStr">
        <is>
          <t>stage4_de r21</t>
        </is>
      </c>
      <c r="L703" s="77" t="inlineStr">
        <is>
          <t>2026-07-15</t>
        </is>
      </c>
      <c r="M703" s="77" t="inlineStr">
        <is>
          <t>N</t>
        </is>
      </c>
      <c r="N703" s="136">
        <f>IF(ISNUMBER(timeseries!N35),timeseries!N35,"")</f>
        <v/>
      </c>
      <c r="O703" s="77" t="inlineStr">
        <is>
          <t>EUR/MWh nominal</t>
        </is>
      </c>
    </row>
    <row r="704" ht="15" customHeight="1" s="78">
      <c r="A704" s="77" t="inlineStr">
        <is>
          <t>DE</t>
        </is>
      </c>
      <c r="B704" s="77" t="n">
        <v>2020</v>
      </c>
      <c r="C704" s="77" t="inlineStr">
        <is>
          <t>large</t>
        </is>
      </c>
      <c r="D704" s="77" t="inlineStr">
        <is>
          <t>E1</t>
        </is>
      </c>
      <c r="E704" s="77" t="inlineStr">
        <is>
          <t>KWKG-Umlage</t>
        </is>
      </c>
      <c r="F704" s="77" t="inlineStr">
        <is>
          <t>2 Gen capital recovery</t>
        </is>
      </c>
      <c r="G704" s="77" t="inlineStr">
        <is>
          <t>CHP levy (Umlage)</t>
        </is>
      </c>
      <c r="H704" s="77" t="inlineStr">
        <is>
          <t>i</t>
        </is>
      </c>
      <c r="I704" s="77">
        <f>IF(ISNUMBER(N704),N704*fx_deflator!$J$15*fx_deflator!$M$15,"")</f>
        <v/>
      </c>
      <c r="J704" s="77" t="inlineStr">
        <is>
          <t>netztransparenz Uebersicht KWKG-Aufschlaege 2002-2016 + per-year pages; tranche blends</t>
        </is>
      </c>
      <c r="K704" s="77" t="inlineStr">
        <is>
          <t>stage4_de r22-24</t>
        </is>
      </c>
      <c r="L704" s="77" t="inlineStr">
        <is>
          <t>2026-07-15</t>
        </is>
      </c>
      <c r="M704" s="77" t="inlineStr">
        <is>
          <t>Y</t>
        </is>
      </c>
      <c r="N704" s="136">
        <f>IF(ISNUMBER(timeseries!N36),timeseries!N36,"")</f>
        <v/>
      </c>
      <c r="O704" s="77" t="inlineStr">
        <is>
          <t>EUR/MWh nominal</t>
        </is>
      </c>
    </row>
    <row r="705" ht="15" customHeight="1" s="78">
      <c r="A705" s="77" t="inlineStr">
        <is>
          <t>DE</t>
        </is>
      </c>
      <c r="B705" s="77" t="n">
        <v>2020</v>
      </c>
      <c r="C705" s="77" t="inlineStr">
        <is>
          <t>large</t>
        </is>
      </c>
      <c r="D705" s="77" t="inlineStr">
        <is>
          <t>E1</t>
        </is>
      </c>
      <c r="E705" s="77" t="inlineStr">
        <is>
          <t>sec.19 StromNEV-Umlage</t>
        </is>
      </c>
      <c r="F705" s="77" t="inlineStr">
        <is>
          <t>4 System services &amp; balancing</t>
        </is>
      </c>
      <c r="G705" s="77" t="inlineStr">
        <is>
          <t>network levy (Umlage)</t>
        </is>
      </c>
      <c r="H705" s="77" t="inlineStr">
        <is>
          <t>ii (pays for other users net-charge relief)</t>
        </is>
      </c>
      <c r="I705" s="77">
        <f>IF(ISNUMBER(N705),N705*fx_deflator!$J$15*fx_deflator!$M$15,"")</f>
        <v/>
      </c>
      <c r="J705" s="77" t="inlineStr">
        <is>
          <t>netztransparenz per-year Umlagen pages (A-prime/B-prime/C-prime)</t>
        </is>
      </c>
      <c r="K705" s="77" t="inlineStr">
        <is>
          <t>stage4_de r25-27</t>
        </is>
      </c>
      <c r="L705" s="77" t="inlineStr">
        <is>
          <t>2026-07-15</t>
        </is>
      </c>
      <c r="M705" s="77" t="inlineStr">
        <is>
          <t>Y</t>
        </is>
      </c>
      <c r="N705" s="136">
        <f>IF(ISNUMBER(timeseries!N37),timeseries!N37,"")</f>
        <v/>
      </c>
      <c r="O705" s="77" t="inlineStr">
        <is>
          <t>EUR/MWh nominal</t>
        </is>
      </c>
    </row>
    <row r="706" ht="15" customHeight="1" s="78">
      <c r="A706" s="77" t="inlineStr">
        <is>
          <t>DE</t>
        </is>
      </c>
      <c r="B706" s="77" t="n">
        <v>2020</v>
      </c>
      <c r="C706" s="77" t="inlineStr">
        <is>
          <t>large</t>
        </is>
      </c>
      <c r="D706" s="77" t="inlineStr">
        <is>
          <t>E1</t>
        </is>
      </c>
      <c r="E706" s="77" t="inlineStr">
        <is>
          <t>Offshore-Netzumlage</t>
        </is>
      </c>
      <c r="F706" s="77" t="inlineStr">
        <is>
          <t>2 Gen capital recovery</t>
        </is>
      </c>
      <c r="G706" s="77" t="inlineStr">
        <is>
          <t>offshore grid levy (Umlage)</t>
        </is>
      </c>
      <c r="H706" s="77" t="inlineStr">
        <is>
          <t>i</t>
        </is>
      </c>
      <c r="I706" s="77">
        <f>IF(ISNUMBER(N706),N706*fx_deflator!$J$15*fx_deflator!$M$15,"")</f>
        <v/>
      </c>
      <c r="J706" s="77" t="inlineStr">
        <is>
          <t>netztransparenz Offshore-Umlage per-year pages</t>
        </is>
      </c>
      <c r="K706" s="77" t="inlineStr">
        <is>
          <t>stage4_de r28-30</t>
        </is>
      </c>
      <c r="L706" s="77" t="inlineStr">
        <is>
          <t>2026-07-15</t>
        </is>
      </c>
      <c r="M706" s="77" t="inlineStr">
        <is>
          <t>Y</t>
        </is>
      </c>
      <c r="N706" s="136">
        <f>IF(ISNUMBER(timeseries!N38),timeseries!N38,"")</f>
        <v/>
      </c>
      <c r="O706" s="77" t="inlineStr">
        <is>
          <t>EUR/MWh nominal</t>
        </is>
      </c>
    </row>
    <row r="707" ht="15" customHeight="1" s="78">
      <c r="A707" s="77" t="inlineStr">
        <is>
          <t>DE</t>
        </is>
      </c>
      <c r="B707" s="77" t="n">
        <v>2020</v>
      </c>
      <c r="C707" s="77" t="inlineStr">
        <is>
          <t>large</t>
        </is>
      </c>
      <c r="D707" s="77" t="inlineStr">
        <is>
          <t>E1</t>
        </is>
      </c>
      <c r="E707" s="77" t="inlineStr">
        <is>
          <t>AbLaV-Umlage</t>
        </is>
      </c>
      <c r="F707" s="77" t="inlineStr">
        <is>
          <t>4 System services &amp; balancing</t>
        </is>
      </c>
      <c r="G707" s="77" t="inlineStr">
        <is>
          <t>interruptible-load levy (Umlage)</t>
        </is>
      </c>
      <c r="H707" s="77" t="inlineStr">
        <is>
          <t>i</t>
        </is>
      </c>
      <c r="I707" s="77">
        <f>IF(ISNUMBER(N707),N707*fx_deflator!$J$15*fx_deflator!$M$15,"")</f>
        <v/>
      </c>
      <c r="J707" s="77" t="inlineStr">
        <is>
          <t>netztransparenz AbLaV-Umlage per-year pages (ends 2022)</t>
        </is>
      </c>
      <c r="K707" s="77" t="inlineStr">
        <is>
          <t>stage4_de r31</t>
        </is>
      </c>
      <c r="L707" s="77" t="inlineStr">
        <is>
          <t>2026-07-15</t>
        </is>
      </c>
      <c r="M707" s="77" t="inlineStr">
        <is>
          <t>N</t>
        </is>
      </c>
      <c r="N707" s="136">
        <f>IF(ISNUMBER(timeseries!N39),timeseries!N39,"")</f>
        <v/>
      </c>
      <c r="O707" s="77" t="inlineStr">
        <is>
          <t>EUR/MWh nominal</t>
        </is>
      </c>
    </row>
    <row r="708" ht="15" customHeight="1" s="78">
      <c r="A708" s="77" t="inlineStr">
        <is>
          <t>DE</t>
        </is>
      </c>
      <c r="B708" s="77" t="n">
        <v>2020</v>
      </c>
      <c r="C708" s="77" t="inlineStr">
        <is>
          <t>large</t>
        </is>
      </c>
      <c r="D708" s="77" t="inlineStr">
        <is>
          <t>E1</t>
        </is>
      </c>
      <c r="E708" s="77" t="inlineStr">
        <is>
          <t>Stromsteuer (full sec.3 rate)</t>
        </is>
      </c>
      <c r="F708" s="77" t="inlineStr">
        <is>
          <t>5 General taxation &amp; levies</t>
        </is>
      </c>
      <c r="G708" s="77" t="inlineStr">
        <is>
          <t>electricity tax</t>
        </is>
      </c>
      <c r="H708" s="77" t="inlineStr">
        <is>
          <t>i</t>
        </is>
      </c>
      <c r="I708" s="77">
        <f>IF(ISNUMBER(N708),N708*fx_deflator!$J$15*fx_deflator!$M$15,"")</f>
        <v/>
      </c>
      <c r="J708" s="77" t="inlineStr">
        <is>
          <t>StromStG sec.3/sec.9b (BGBl. 2025 I Nr. 340: 0.50 permanent from 2026); gesetze-im-internet.de</t>
        </is>
      </c>
      <c r="K708" s="77" t="inlineStr">
        <is>
          <t>stage4_de r34-35</t>
        </is>
      </c>
      <c r="L708" s="77" t="inlineStr">
        <is>
          <t>2026-07-15</t>
        </is>
      </c>
      <c r="M708" s="77" t="inlineStr">
        <is>
          <t>N</t>
        </is>
      </c>
      <c r="N708" s="77">
        <f>IF(ISNUMBER(stage4_de!N34),stage4_de!N34,"")</f>
        <v/>
      </c>
      <c r="O708" s="77" t="inlineStr">
        <is>
          <t>EUR/MWh nominal</t>
        </is>
      </c>
    </row>
    <row r="709" ht="15" customHeight="1" s="78">
      <c r="A709" s="77" t="inlineStr">
        <is>
          <t>DE</t>
        </is>
      </c>
      <c r="B709" s="77" t="n">
        <v>2020</v>
      </c>
      <c r="C709" s="77" t="inlineStr">
        <is>
          <t>large</t>
        </is>
      </c>
      <c r="D709" s="77" t="inlineStr">
        <is>
          <t>E1</t>
        </is>
      </c>
      <c r="E709" s="77" t="inlineStr">
        <is>
          <t>Konzessionsabgabe (0 via Grenzpreis rule)</t>
        </is>
      </c>
      <c r="F709" s="77" t="inlineStr">
        <is>
          <t>5 General taxation &amp; levies</t>
        </is>
      </c>
      <c r="G709" s="77" t="inlineStr">
        <is>
          <t>concession fee</t>
        </is>
      </c>
      <c r="H709" s="77" t="inlineStr">
        <is>
          <t>i</t>
        </is>
      </c>
      <c r="I709" s="77">
        <f>IF(ISNUMBER(N709),N709*fx_deflator!$J$15*fx_deflator!$M$15,"")</f>
        <v/>
      </c>
      <c r="J709" s="77" t="inlineStr">
        <is>
          <t>KAV sec.2(3)/(4) Grenzpreis rule -&gt; 0 for Sondervertragskunden</t>
        </is>
      </c>
      <c r="K709" s="77" t="inlineStr">
        <is>
          <t>stage4_de r36</t>
        </is>
      </c>
      <c r="L709" s="77" t="inlineStr">
        <is>
          <t>2026-07-15</t>
        </is>
      </c>
      <c r="M709" s="77" t="inlineStr">
        <is>
          <t>N</t>
        </is>
      </c>
      <c r="N709" s="77">
        <f>IF(ISNUMBER(stage4_de!N36),stage4_de!N36*10,"")</f>
        <v/>
      </c>
      <c r="O709" s="77" t="inlineStr">
        <is>
          <t>EUR/MWh nominal</t>
        </is>
      </c>
    </row>
    <row r="710" ht="15" customHeight="1" s="78">
      <c r="A710" s="77" t="inlineStr">
        <is>
          <t>DE</t>
        </is>
      </c>
      <c r="B710" s="77" t="n">
        <v>2021</v>
      </c>
      <c r="C710" s="77" t="inlineStr">
        <is>
          <t>large</t>
        </is>
      </c>
      <c r="D710" s="77" t="inlineStr">
        <is>
          <t>E1</t>
        </is>
      </c>
      <c r="E710" s="77" t="inlineStr">
        <is>
          <t>Wholesale (Phelix base front-year)</t>
        </is>
      </c>
      <c r="F710" s="77" t="inlineStr">
        <is>
          <t>1 Commodity</t>
        </is>
      </c>
      <c r="G710" s="77" t="inlineStr">
        <is>
          <t>wholesale market</t>
        </is>
      </c>
      <c r="H710" s="77" t="inlineStr">
        <is>
          <t>i</t>
        </is>
      </c>
      <c r="I710" s="77">
        <f>IF(ISNUMBER(N710),N710*fx_deflator!$J$16*fx_deflator!$M$16,"")</f>
        <v/>
      </c>
      <c r="J710" s="77" t="inlineStr">
        <is>
          <t>BNetzA Monitoringberichte — Phelix base front-year by trading yr -&gt; delivery yr; 2026 = D29</t>
        </is>
      </c>
      <c r="K710" s="77" t="inlineStr">
        <is>
          <t>stage4_de r7</t>
        </is>
      </c>
      <c r="L710" s="77" t="inlineStr">
        <is>
          <t>2026-07-15</t>
        </is>
      </c>
      <c r="M710" s="77" t="inlineStr">
        <is>
          <t>Y</t>
        </is>
      </c>
      <c r="N710" s="136">
        <f>IF(ISNUMBER(timeseries!O32),timeseries!O32,"")</f>
        <v/>
      </c>
      <c r="O710" s="77" t="inlineStr">
        <is>
          <t>EUR/MWh nominal</t>
        </is>
      </c>
    </row>
    <row r="711" ht="15" customHeight="1" s="78">
      <c r="A711" s="77" t="inlineStr">
        <is>
          <t>DE</t>
        </is>
      </c>
      <c r="B711" s="77" t="n">
        <v>2021</v>
      </c>
      <c r="C711" s="77" t="inlineStr">
        <is>
          <t>large</t>
        </is>
      </c>
      <c r="D711" s="77" t="inlineStr">
        <is>
          <t>E1</t>
        </is>
      </c>
      <c r="E711" s="77" t="inlineStr">
        <is>
          <t>Netzentgelte HoeS (LP+AP)</t>
        </is>
      </c>
      <c r="F711" s="77" t="inlineStr">
        <is>
          <t>3 Network</t>
        </is>
      </c>
      <c r="G711" s="77" t="inlineStr">
        <is>
          <t>transmission network charge</t>
        </is>
      </c>
      <c r="H711" s="77" t="inlineStr">
        <is>
          <t>i</t>
        </is>
      </c>
      <c r="I711" s="77">
        <f>IF(ISNUMBER(N711),N711*fx_deflator!$J$16*fx_deflator!$M$16,"")</f>
        <v/>
      </c>
      <c r="J711" s="77" t="inlineStr">
        <is>
          <t>Amprion Preisblatt archive; netztransparenz joint UeNB-Preisblatt (bundeseinheitlich 2023+)</t>
        </is>
      </c>
      <c r="K711" s="77" t="inlineStr">
        <is>
          <t>stage4_de r11-12</t>
        </is>
      </c>
      <c r="L711" s="77" t="inlineStr">
        <is>
          <t>2026-07-15</t>
        </is>
      </c>
      <c r="M711" s="77" t="inlineStr">
        <is>
          <t>N</t>
        </is>
      </c>
      <c r="N711" s="136">
        <f>IF(ISNUMBER(timeseries!O33),timeseries!O33,"")</f>
        <v/>
      </c>
      <c r="O711" s="77" t="inlineStr">
        <is>
          <t>EUR/MWh nominal</t>
        </is>
      </c>
    </row>
    <row r="712" ht="15" customHeight="1" s="78">
      <c r="A712" s="77" t="inlineStr">
        <is>
          <t>DE</t>
        </is>
      </c>
      <c r="B712" s="77" t="n">
        <v>2021</v>
      </c>
      <c r="C712" s="77" t="inlineStr">
        <is>
          <t>large</t>
        </is>
      </c>
      <c r="D712" s="77" t="inlineStr">
        <is>
          <t>E1</t>
        </is>
      </c>
      <c r="E712" s="77" t="inlineStr">
        <is>
          <t>EEG-Umlage (full, non-privileged)</t>
        </is>
      </c>
      <c r="F712" s="77" t="inlineStr">
        <is>
          <t>2 Gen capital recovery</t>
        </is>
      </c>
      <c r="G712" s="77" t="inlineStr">
        <is>
          <t>renewables levy (Umlage)</t>
        </is>
      </c>
      <c r="H712" s="77" t="inlineStr">
        <is>
          <t>i (0 from 07/2022 — cost moved to taxpayer, see HATCH iii row)</t>
        </is>
      </c>
      <c r="I712" s="77">
        <f>IF(ISNUMBER(N712),N712*fx_deflator!$J$16*fx_deflator!$M$16,"")</f>
        <v/>
      </c>
      <c r="J712" s="77" t="inlineStr">
        <is>
          <t>netztransparenz.de EEG-Umlagen der Vorjahre + per-year pages</t>
        </is>
      </c>
      <c r="K712" s="77" t="inlineStr">
        <is>
          <t>stage4_de r21</t>
        </is>
      </c>
      <c r="L712" s="77" t="inlineStr">
        <is>
          <t>2026-07-15</t>
        </is>
      </c>
      <c r="M712" s="77" t="inlineStr">
        <is>
          <t>N</t>
        </is>
      </c>
      <c r="N712" s="136">
        <f>IF(ISNUMBER(timeseries!O35),timeseries!O35,"")</f>
        <v/>
      </c>
      <c r="O712" s="77" t="inlineStr">
        <is>
          <t>EUR/MWh nominal</t>
        </is>
      </c>
    </row>
    <row r="713" ht="15" customHeight="1" s="78">
      <c r="A713" s="77" t="inlineStr">
        <is>
          <t>DE</t>
        </is>
      </c>
      <c r="B713" s="77" t="n">
        <v>2021</v>
      </c>
      <c r="C713" s="77" t="inlineStr">
        <is>
          <t>large</t>
        </is>
      </c>
      <c r="D713" s="77" t="inlineStr">
        <is>
          <t>E1</t>
        </is>
      </c>
      <c r="E713" s="77" t="inlineStr">
        <is>
          <t>KWKG-Umlage</t>
        </is>
      </c>
      <c r="F713" s="77" t="inlineStr">
        <is>
          <t>2 Gen capital recovery</t>
        </is>
      </c>
      <c r="G713" s="77" t="inlineStr">
        <is>
          <t>CHP levy (Umlage)</t>
        </is>
      </c>
      <c r="H713" s="77" t="inlineStr">
        <is>
          <t>i</t>
        </is>
      </c>
      <c r="I713" s="77">
        <f>IF(ISNUMBER(N713),N713*fx_deflator!$J$16*fx_deflator!$M$16,"")</f>
        <v/>
      </c>
      <c r="J713" s="77" t="inlineStr">
        <is>
          <t>netztransparenz Uebersicht KWKG-Aufschlaege 2002-2016 + per-year pages; tranche blends</t>
        </is>
      </c>
      <c r="K713" s="77" t="inlineStr">
        <is>
          <t>stage4_de r22-24</t>
        </is>
      </c>
      <c r="L713" s="77" t="inlineStr">
        <is>
          <t>2026-07-15</t>
        </is>
      </c>
      <c r="M713" s="77" t="inlineStr">
        <is>
          <t>Y</t>
        </is>
      </c>
      <c r="N713" s="136">
        <f>IF(ISNUMBER(timeseries!O36),timeseries!O36,"")</f>
        <v/>
      </c>
      <c r="O713" s="77" t="inlineStr">
        <is>
          <t>EUR/MWh nominal</t>
        </is>
      </c>
    </row>
    <row r="714" ht="15" customHeight="1" s="78">
      <c r="A714" s="77" t="inlineStr">
        <is>
          <t>DE</t>
        </is>
      </c>
      <c r="B714" s="77" t="n">
        <v>2021</v>
      </c>
      <c r="C714" s="77" t="inlineStr">
        <is>
          <t>large</t>
        </is>
      </c>
      <c r="D714" s="77" t="inlineStr">
        <is>
          <t>E1</t>
        </is>
      </c>
      <c r="E714" s="77" t="inlineStr">
        <is>
          <t>sec.19 StromNEV-Umlage</t>
        </is>
      </c>
      <c r="F714" s="77" t="inlineStr">
        <is>
          <t>4 System services &amp; balancing</t>
        </is>
      </c>
      <c r="G714" s="77" t="inlineStr">
        <is>
          <t>network levy (Umlage)</t>
        </is>
      </c>
      <c r="H714" s="77" t="inlineStr">
        <is>
          <t>ii (pays for other users net-charge relief)</t>
        </is>
      </c>
      <c r="I714" s="77">
        <f>IF(ISNUMBER(N714),N714*fx_deflator!$J$16*fx_deflator!$M$16,"")</f>
        <v/>
      </c>
      <c r="J714" s="77" t="inlineStr">
        <is>
          <t>netztransparenz per-year Umlagen pages (A-prime/B-prime/C-prime)</t>
        </is>
      </c>
      <c r="K714" s="77" t="inlineStr">
        <is>
          <t>stage4_de r25-27</t>
        </is>
      </c>
      <c r="L714" s="77" t="inlineStr">
        <is>
          <t>2026-07-15</t>
        </is>
      </c>
      <c r="M714" s="77" t="inlineStr">
        <is>
          <t>Y</t>
        </is>
      </c>
      <c r="N714" s="136">
        <f>IF(ISNUMBER(timeseries!O37),timeseries!O37,"")</f>
        <v/>
      </c>
      <c r="O714" s="77" t="inlineStr">
        <is>
          <t>EUR/MWh nominal</t>
        </is>
      </c>
    </row>
    <row r="715" ht="15" customHeight="1" s="78">
      <c r="A715" s="77" t="inlineStr">
        <is>
          <t>DE</t>
        </is>
      </c>
      <c r="B715" s="77" t="n">
        <v>2021</v>
      </c>
      <c r="C715" s="77" t="inlineStr">
        <is>
          <t>large</t>
        </is>
      </c>
      <c r="D715" s="77" t="inlineStr">
        <is>
          <t>E1</t>
        </is>
      </c>
      <c r="E715" s="77" t="inlineStr">
        <is>
          <t>Offshore-Netzumlage</t>
        </is>
      </c>
      <c r="F715" s="77" t="inlineStr">
        <is>
          <t>2 Gen capital recovery</t>
        </is>
      </c>
      <c r="G715" s="77" t="inlineStr">
        <is>
          <t>offshore grid levy (Umlage)</t>
        </is>
      </c>
      <c r="H715" s="77" t="inlineStr">
        <is>
          <t>i</t>
        </is>
      </c>
      <c r="I715" s="77">
        <f>IF(ISNUMBER(N715),N715*fx_deflator!$J$16*fx_deflator!$M$16,"")</f>
        <v/>
      </c>
      <c r="J715" s="77" t="inlineStr">
        <is>
          <t>netztransparenz Offshore-Umlage per-year pages</t>
        </is>
      </c>
      <c r="K715" s="77" t="inlineStr">
        <is>
          <t>stage4_de r28-30</t>
        </is>
      </c>
      <c r="L715" s="77" t="inlineStr">
        <is>
          <t>2026-07-15</t>
        </is>
      </c>
      <c r="M715" s="77" t="inlineStr">
        <is>
          <t>Y</t>
        </is>
      </c>
      <c r="N715" s="136">
        <f>IF(ISNUMBER(timeseries!O38),timeseries!O38,"")</f>
        <v/>
      </c>
      <c r="O715" s="77" t="inlineStr">
        <is>
          <t>EUR/MWh nominal</t>
        </is>
      </c>
    </row>
    <row r="716" ht="15" customHeight="1" s="78">
      <c r="A716" s="77" t="inlineStr">
        <is>
          <t>DE</t>
        </is>
      </c>
      <c r="B716" s="77" t="n">
        <v>2021</v>
      </c>
      <c r="C716" s="77" t="inlineStr">
        <is>
          <t>large</t>
        </is>
      </c>
      <c r="D716" s="77" t="inlineStr">
        <is>
          <t>E1</t>
        </is>
      </c>
      <c r="E716" s="77" t="inlineStr">
        <is>
          <t>AbLaV-Umlage</t>
        </is>
      </c>
      <c r="F716" s="77" t="inlineStr">
        <is>
          <t>4 System services &amp; balancing</t>
        </is>
      </c>
      <c r="G716" s="77" t="inlineStr">
        <is>
          <t>interruptible-load levy (Umlage)</t>
        </is>
      </c>
      <c r="H716" s="77" t="inlineStr">
        <is>
          <t>i</t>
        </is>
      </c>
      <c r="I716" s="77">
        <f>IF(ISNUMBER(N716),N716*fx_deflator!$J$16*fx_deflator!$M$16,"")</f>
        <v/>
      </c>
      <c r="J716" s="77" t="inlineStr">
        <is>
          <t>netztransparenz AbLaV-Umlage per-year pages (ends 2022)</t>
        </is>
      </c>
      <c r="K716" s="77" t="inlineStr">
        <is>
          <t>stage4_de r31</t>
        </is>
      </c>
      <c r="L716" s="77" t="inlineStr">
        <is>
          <t>2026-07-15</t>
        </is>
      </c>
      <c r="M716" s="77" t="inlineStr">
        <is>
          <t>N</t>
        </is>
      </c>
      <c r="N716" s="136">
        <f>IF(ISNUMBER(timeseries!O39),timeseries!O39,"")</f>
        <v/>
      </c>
      <c r="O716" s="77" t="inlineStr">
        <is>
          <t>EUR/MWh nominal</t>
        </is>
      </c>
    </row>
    <row r="717" ht="15" customHeight="1" s="78">
      <c r="A717" s="77" t="inlineStr">
        <is>
          <t>DE</t>
        </is>
      </c>
      <c r="B717" s="77" t="n">
        <v>2021</v>
      </c>
      <c r="C717" s="77" t="inlineStr">
        <is>
          <t>large</t>
        </is>
      </c>
      <c r="D717" s="77" t="inlineStr">
        <is>
          <t>E1</t>
        </is>
      </c>
      <c r="E717" s="77" t="inlineStr">
        <is>
          <t>Stromsteuer (full sec.3 rate)</t>
        </is>
      </c>
      <c r="F717" s="77" t="inlineStr">
        <is>
          <t>5 General taxation &amp; levies</t>
        </is>
      </c>
      <c r="G717" s="77" t="inlineStr">
        <is>
          <t>electricity tax</t>
        </is>
      </c>
      <c r="H717" s="77" t="inlineStr">
        <is>
          <t>i</t>
        </is>
      </c>
      <c r="I717" s="77">
        <f>IF(ISNUMBER(N717),N717*fx_deflator!$J$16*fx_deflator!$M$16,"")</f>
        <v/>
      </c>
      <c r="J717" s="77" t="inlineStr">
        <is>
          <t>StromStG sec.3/sec.9b (BGBl. 2025 I Nr. 340: 0.50 permanent from 2026); gesetze-im-internet.de</t>
        </is>
      </c>
      <c r="K717" s="77" t="inlineStr">
        <is>
          <t>stage4_de r34-35</t>
        </is>
      </c>
      <c r="L717" s="77" t="inlineStr">
        <is>
          <t>2026-07-15</t>
        </is>
      </c>
      <c r="M717" s="77" t="inlineStr">
        <is>
          <t>N</t>
        </is>
      </c>
      <c r="N717" s="77">
        <f>IF(ISNUMBER(stage4_de!O34),stage4_de!O34,"")</f>
        <v/>
      </c>
      <c r="O717" s="77" t="inlineStr">
        <is>
          <t>EUR/MWh nominal</t>
        </is>
      </c>
    </row>
    <row r="718" ht="15" customHeight="1" s="78">
      <c r="A718" s="77" t="inlineStr">
        <is>
          <t>DE</t>
        </is>
      </c>
      <c r="B718" s="77" t="n">
        <v>2021</v>
      </c>
      <c r="C718" s="77" t="inlineStr">
        <is>
          <t>large</t>
        </is>
      </c>
      <c r="D718" s="77" t="inlineStr">
        <is>
          <t>E1</t>
        </is>
      </c>
      <c r="E718" s="77" t="inlineStr">
        <is>
          <t>Konzessionsabgabe (0 via Grenzpreis rule)</t>
        </is>
      </c>
      <c r="F718" s="77" t="inlineStr">
        <is>
          <t>5 General taxation &amp; levies</t>
        </is>
      </c>
      <c r="G718" s="77" t="inlineStr">
        <is>
          <t>concession fee</t>
        </is>
      </c>
      <c r="H718" s="77" t="inlineStr">
        <is>
          <t>i</t>
        </is>
      </c>
      <c r="I718" s="77">
        <f>IF(ISNUMBER(N718),N718*fx_deflator!$J$16*fx_deflator!$M$16,"")</f>
        <v/>
      </c>
      <c r="J718" s="77" t="inlineStr">
        <is>
          <t>KAV sec.2(3)/(4) Grenzpreis rule -&gt; 0 for Sondervertragskunden</t>
        </is>
      </c>
      <c r="K718" s="77" t="inlineStr">
        <is>
          <t>stage4_de r36</t>
        </is>
      </c>
      <c r="L718" s="77" t="inlineStr">
        <is>
          <t>2026-07-15</t>
        </is>
      </c>
      <c r="M718" s="77" t="inlineStr">
        <is>
          <t>N</t>
        </is>
      </c>
      <c r="N718" s="77">
        <f>IF(ISNUMBER(stage4_de!O36),stage4_de!O36*10,"")</f>
        <v/>
      </c>
      <c r="O718" s="77" t="inlineStr">
        <is>
          <t>EUR/MWh nominal</t>
        </is>
      </c>
    </row>
    <row r="719" ht="15" customHeight="1" s="78">
      <c r="A719" s="77" t="inlineStr">
        <is>
          <t>DE</t>
        </is>
      </c>
      <c r="B719" s="77" t="n">
        <v>2022</v>
      </c>
      <c r="C719" s="77" t="inlineStr">
        <is>
          <t>large</t>
        </is>
      </c>
      <c r="D719" s="77" t="inlineStr">
        <is>
          <t>E1</t>
        </is>
      </c>
      <c r="E719" s="77" t="inlineStr">
        <is>
          <t>Wholesale (Phelix base front-year)</t>
        </is>
      </c>
      <c r="F719" s="77" t="inlineStr">
        <is>
          <t>1 Commodity</t>
        </is>
      </c>
      <c r="G719" s="77" t="inlineStr">
        <is>
          <t>wholesale market</t>
        </is>
      </c>
      <c r="H719" s="77" t="inlineStr">
        <is>
          <t>i</t>
        </is>
      </c>
      <c r="I719" s="77">
        <f>IF(ISNUMBER(N719),N719*fx_deflator!$J$17*fx_deflator!$M$17,"")</f>
        <v/>
      </c>
      <c r="J719" s="77" t="inlineStr">
        <is>
          <t>BNetzA Monitoringberichte — Phelix base front-year by trading yr -&gt; delivery yr; 2026 = D29</t>
        </is>
      </c>
      <c r="K719" s="77" t="inlineStr">
        <is>
          <t>stage4_de r7</t>
        </is>
      </c>
      <c r="L719" s="77" t="inlineStr">
        <is>
          <t>2026-07-15</t>
        </is>
      </c>
      <c r="M719" s="77" t="inlineStr">
        <is>
          <t>Y</t>
        </is>
      </c>
      <c r="N719" s="136">
        <f>IF(ISNUMBER(timeseries!P32),timeseries!P32,"")</f>
        <v/>
      </c>
      <c r="O719" s="77" t="inlineStr">
        <is>
          <t>EUR/MWh nominal</t>
        </is>
      </c>
    </row>
    <row r="720" ht="15" customHeight="1" s="78">
      <c r="A720" s="77" t="inlineStr">
        <is>
          <t>DE</t>
        </is>
      </c>
      <c r="B720" s="77" t="n">
        <v>2022</v>
      </c>
      <c r="C720" s="77" t="inlineStr">
        <is>
          <t>large</t>
        </is>
      </c>
      <c r="D720" s="77" t="inlineStr">
        <is>
          <t>E1</t>
        </is>
      </c>
      <c r="E720" s="77" t="inlineStr">
        <is>
          <t>Netzentgelte HoeS (LP+AP)</t>
        </is>
      </c>
      <c r="F720" s="77" t="inlineStr">
        <is>
          <t>3 Network</t>
        </is>
      </c>
      <c r="G720" s="77" t="inlineStr">
        <is>
          <t>transmission network charge</t>
        </is>
      </c>
      <c r="H720" s="77" t="inlineStr">
        <is>
          <t>i</t>
        </is>
      </c>
      <c r="I720" s="77">
        <f>IF(ISNUMBER(N720),N720*fx_deflator!$J$17*fx_deflator!$M$17,"")</f>
        <v/>
      </c>
      <c r="J720" s="77" t="inlineStr">
        <is>
          <t>Amprion Preisblatt archive; netztransparenz joint UeNB-Preisblatt (bundeseinheitlich 2023+)</t>
        </is>
      </c>
      <c r="K720" s="77" t="inlineStr">
        <is>
          <t>stage4_de r11-12</t>
        </is>
      </c>
      <c r="L720" s="77" t="inlineStr">
        <is>
          <t>2026-07-15</t>
        </is>
      </c>
      <c r="M720" s="77" t="inlineStr">
        <is>
          <t>N</t>
        </is>
      </c>
      <c r="N720" s="136">
        <f>IF(ISNUMBER(timeseries!P33),timeseries!P33,"")</f>
        <v/>
      </c>
      <c r="O720" s="77" t="inlineStr">
        <is>
          <t>EUR/MWh nominal</t>
        </is>
      </c>
    </row>
    <row r="721" ht="15" customHeight="1" s="78">
      <c r="A721" s="77" t="inlineStr">
        <is>
          <t>DE</t>
        </is>
      </c>
      <c r="B721" s="77" t="n">
        <v>2022</v>
      </c>
      <c r="C721" s="77" t="inlineStr">
        <is>
          <t>large</t>
        </is>
      </c>
      <c r="D721" s="77" t="inlineStr">
        <is>
          <t>E1</t>
        </is>
      </c>
      <c r="E721" s="77" t="inlineStr">
        <is>
          <t>EEG-Umlage (full, non-privileged)</t>
        </is>
      </c>
      <c r="F721" s="77" t="inlineStr">
        <is>
          <t>2 Gen capital recovery</t>
        </is>
      </c>
      <c r="G721" s="77" t="inlineStr">
        <is>
          <t>renewables levy (Umlage)</t>
        </is>
      </c>
      <c r="H721" s="77" t="inlineStr">
        <is>
          <t>i (0 from 07/2022 — cost moved to taxpayer, see HATCH iii row)</t>
        </is>
      </c>
      <c r="I721" s="77">
        <f>IF(ISNUMBER(N721),N721*fx_deflator!$J$17*fx_deflator!$M$17,"")</f>
        <v/>
      </c>
      <c r="J721" s="77" t="inlineStr">
        <is>
          <t>netztransparenz.de EEG-Umlagen der Vorjahre + per-year pages</t>
        </is>
      </c>
      <c r="K721" s="77" t="inlineStr">
        <is>
          <t>stage4_de r21</t>
        </is>
      </c>
      <c r="L721" s="77" t="inlineStr">
        <is>
          <t>2026-07-15</t>
        </is>
      </c>
      <c r="M721" s="77" t="inlineStr">
        <is>
          <t>N</t>
        </is>
      </c>
      <c r="N721" s="136">
        <f>IF(ISNUMBER(timeseries!P35),timeseries!P35,"")</f>
        <v/>
      </c>
      <c r="O721" s="77" t="inlineStr">
        <is>
          <t>EUR/MWh nominal</t>
        </is>
      </c>
    </row>
    <row r="722" ht="15" customHeight="1" s="78">
      <c r="A722" s="77" t="inlineStr">
        <is>
          <t>DE</t>
        </is>
      </c>
      <c r="B722" s="77" t="n">
        <v>2022</v>
      </c>
      <c r="C722" s="77" t="inlineStr">
        <is>
          <t>large</t>
        </is>
      </c>
      <c r="D722" s="77" t="inlineStr">
        <is>
          <t>E1</t>
        </is>
      </c>
      <c r="E722" s="77" t="inlineStr">
        <is>
          <t>KWKG-Umlage</t>
        </is>
      </c>
      <c r="F722" s="77" t="inlineStr">
        <is>
          <t>2 Gen capital recovery</t>
        </is>
      </c>
      <c r="G722" s="77" t="inlineStr">
        <is>
          <t>CHP levy (Umlage)</t>
        </is>
      </c>
      <c r="H722" s="77" t="inlineStr">
        <is>
          <t>i</t>
        </is>
      </c>
      <c r="I722" s="77">
        <f>IF(ISNUMBER(N722),N722*fx_deflator!$J$17*fx_deflator!$M$17,"")</f>
        <v/>
      </c>
      <c r="J722" s="77" t="inlineStr">
        <is>
          <t>netztransparenz Uebersicht KWKG-Aufschlaege 2002-2016 + per-year pages; tranche blends</t>
        </is>
      </c>
      <c r="K722" s="77" t="inlineStr">
        <is>
          <t>stage4_de r22-24</t>
        </is>
      </c>
      <c r="L722" s="77" t="inlineStr">
        <is>
          <t>2026-07-15</t>
        </is>
      </c>
      <c r="M722" s="77" t="inlineStr">
        <is>
          <t>Y</t>
        </is>
      </c>
      <c r="N722" s="136">
        <f>IF(ISNUMBER(timeseries!P36),timeseries!P36,"")</f>
        <v/>
      </c>
      <c r="O722" s="77" t="inlineStr">
        <is>
          <t>EUR/MWh nominal</t>
        </is>
      </c>
    </row>
    <row r="723" ht="15" customHeight="1" s="78">
      <c r="A723" s="77" t="inlineStr">
        <is>
          <t>DE</t>
        </is>
      </c>
      <c r="B723" s="77" t="n">
        <v>2022</v>
      </c>
      <c r="C723" s="77" t="inlineStr">
        <is>
          <t>large</t>
        </is>
      </c>
      <c r="D723" s="77" t="inlineStr">
        <is>
          <t>E1</t>
        </is>
      </c>
      <c r="E723" s="77" t="inlineStr">
        <is>
          <t>sec.19 StromNEV-Umlage</t>
        </is>
      </c>
      <c r="F723" s="77" t="inlineStr">
        <is>
          <t>4 System services &amp; balancing</t>
        </is>
      </c>
      <c r="G723" s="77" t="inlineStr">
        <is>
          <t>network levy (Umlage)</t>
        </is>
      </c>
      <c r="H723" s="77" t="inlineStr">
        <is>
          <t>ii (pays for other users net-charge relief)</t>
        </is>
      </c>
      <c r="I723" s="77">
        <f>IF(ISNUMBER(N723),N723*fx_deflator!$J$17*fx_deflator!$M$17,"")</f>
        <v/>
      </c>
      <c r="J723" s="77" t="inlineStr">
        <is>
          <t>netztransparenz per-year Umlagen pages (A-prime/B-prime/C-prime)</t>
        </is>
      </c>
      <c r="K723" s="77" t="inlineStr">
        <is>
          <t>stage4_de r25-27</t>
        </is>
      </c>
      <c r="L723" s="77" t="inlineStr">
        <is>
          <t>2026-07-15</t>
        </is>
      </c>
      <c r="M723" s="77" t="inlineStr">
        <is>
          <t>Y</t>
        </is>
      </c>
      <c r="N723" s="136">
        <f>IF(ISNUMBER(timeseries!P37),timeseries!P37,"")</f>
        <v/>
      </c>
      <c r="O723" s="77" t="inlineStr">
        <is>
          <t>EUR/MWh nominal</t>
        </is>
      </c>
    </row>
    <row r="724" ht="15" customHeight="1" s="78">
      <c r="A724" s="77" t="inlineStr">
        <is>
          <t>DE</t>
        </is>
      </c>
      <c r="B724" s="77" t="n">
        <v>2022</v>
      </c>
      <c r="C724" s="77" t="inlineStr">
        <is>
          <t>large</t>
        </is>
      </c>
      <c r="D724" s="77" t="inlineStr">
        <is>
          <t>E1</t>
        </is>
      </c>
      <c r="E724" s="77" t="inlineStr">
        <is>
          <t>Offshore-Netzumlage</t>
        </is>
      </c>
      <c r="F724" s="77" t="inlineStr">
        <is>
          <t>2 Gen capital recovery</t>
        </is>
      </c>
      <c r="G724" s="77" t="inlineStr">
        <is>
          <t>offshore grid levy (Umlage)</t>
        </is>
      </c>
      <c r="H724" s="77" t="inlineStr">
        <is>
          <t>i</t>
        </is>
      </c>
      <c r="I724" s="77">
        <f>IF(ISNUMBER(N724),N724*fx_deflator!$J$17*fx_deflator!$M$17,"")</f>
        <v/>
      </c>
      <c r="J724" s="77" t="inlineStr">
        <is>
          <t>netztransparenz Offshore-Umlage per-year pages</t>
        </is>
      </c>
      <c r="K724" s="77" t="inlineStr">
        <is>
          <t>stage4_de r28-30</t>
        </is>
      </c>
      <c r="L724" s="77" t="inlineStr">
        <is>
          <t>2026-07-15</t>
        </is>
      </c>
      <c r="M724" s="77" t="inlineStr">
        <is>
          <t>Y</t>
        </is>
      </c>
      <c r="N724" s="136">
        <f>IF(ISNUMBER(timeseries!P38),timeseries!P38,"")</f>
        <v/>
      </c>
      <c r="O724" s="77" t="inlineStr">
        <is>
          <t>EUR/MWh nominal</t>
        </is>
      </c>
    </row>
    <row r="725" ht="15" customHeight="1" s="78">
      <c r="A725" s="77" t="inlineStr">
        <is>
          <t>DE</t>
        </is>
      </c>
      <c r="B725" s="77" t="n">
        <v>2022</v>
      </c>
      <c r="C725" s="77" t="inlineStr">
        <is>
          <t>large</t>
        </is>
      </c>
      <c r="D725" s="77" t="inlineStr">
        <is>
          <t>E1</t>
        </is>
      </c>
      <c r="E725" s="77" t="inlineStr">
        <is>
          <t>AbLaV-Umlage</t>
        </is>
      </c>
      <c r="F725" s="77" t="inlineStr">
        <is>
          <t>4 System services &amp; balancing</t>
        </is>
      </c>
      <c r="G725" s="77" t="inlineStr">
        <is>
          <t>interruptible-load levy (Umlage)</t>
        </is>
      </c>
      <c r="H725" s="77" t="inlineStr">
        <is>
          <t>i</t>
        </is>
      </c>
      <c r="I725" s="77">
        <f>IF(ISNUMBER(N725),N725*fx_deflator!$J$17*fx_deflator!$M$17,"")</f>
        <v/>
      </c>
      <c r="J725" s="77" t="inlineStr">
        <is>
          <t>netztransparenz AbLaV-Umlage per-year pages (ends 2022)</t>
        </is>
      </c>
      <c r="K725" s="77" t="inlineStr">
        <is>
          <t>stage4_de r31</t>
        </is>
      </c>
      <c r="L725" s="77" t="inlineStr">
        <is>
          <t>2026-07-15</t>
        </is>
      </c>
      <c r="M725" s="77" t="inlineStr">
        <is>
          <t>N</t>
        </is>
      </c>
      <c r="N725" s="136">
        <f>IF(ISNUMBER(timeseries!P39),timeseries!P39,"")</f>
        <v/>
      </c>
      <c r="O725" s="77" t="inlineStr">
        <is>
          <t>EUR/MWh nominal</t>
        </is>
      </c>
    </row>
    <row r="726" ht="15" customHeight="1" s="78">
      <c r="A726" s="77" t="inlineStr">
        <is>
          <t>DE</t>
        </is>
      </c>
      <c r="B726" s="77" t="n">
        <v>2022</v>
      </c>
      <c r="C726" s="77" t="inlineStr">
        <is>
          <t>large</t>
        </is>
      </c>
      <c r="D726" s="77" t="inlineStr">
        <is>
          <t>E1</t>
        </is>
      </c>
      <c r="E726" s="77" t="inlineStr">
        <is>
          <t>Stromsteuer (full sec.3 rate)</t>
        </is>
      </c>
      <c r="F726" s="77" t="inlineStr">
        <is>
          <t>5 General taxation &amp; levies</t>
        </is>
      </c>
      <c r="G726" s="77" t="inlineStr">
        <is>
          <t>electricity tax</t>
        </is>
      </c>
      <c r="H726" s="77" t="inlineStr">
        <is>
          <t>i</t>
        </is>
      </c>
      <c r="I726" s="77">
        <f>IF(ISNUMBER(N726),N726*fx_deflator!$J$17*fx_deflator!$M$17,"")</f>
        <v/>
      </c>
      <c r="J726" s="77" t="inlineStr">
        <is>
          <t>StromStG sec.3/sec.9b (BGBl. 2025 I Nr. 340: 0.50 permanent from 2026); gesetze-im-internet.de</t>
        </is>
      </c>
      <c r="K726" s="77" t="inlineStr">
        <is>
          <t>stage4_de r34-35</t>
        </is>
      </c>
      <c r="L726" s="77" t="inlineStr">
        <is>
          <t>2026-07-15</t>
        </is>
      </c>
      <c r="M726" s="77" t="inlineStr">
        <is>
          <t>N</t>
        </is>
      </c>
      <c r="N726" s="77">
        <f>IF(ISNUMBER(stage4_de!P34),stage4_de!P34,"")</f>
        <v/>
      </c>
      <c r="O726" s="77" t="inlineStr">
        <is>
          <t>EUR/MWh nominal</t>
        </is>
      </c>
    </row>
    <row r="727" ht="15" customHeight="1" s="78">
      <c r="A727" s="77" t="inlineStr">
        <is>
          <t>DE</t>
        </is>
      </c>
      <c r="B727" s="77" t="n">
        <v>2022</v>
      </c>
      <c r="C727" s="77" t="inlineStr">
        <is>
          <t>large</t>
        </is>
      </c>
      <c r="D727" s="77" t="inlineStr">
        <is>
          <t>E1</t>
        </is>
      </c>
      <c r="E727" s="77" t="inlineStr">
        <is>
          <t>Konzessionsabgabe (0 via Grenzpreis rule)</t>
        </is>
      </c>
      <c r="F727" s="77" t="inlineStr">
        <is>
          <t>5 General taxation &amp; levies</t>
        </is>
      </c>
      <c r="G727" s="77" t="inlineStr">
        <is>
          <t>concession fee</t>
        </is>
      </c>
      <c r="H727" s="77" t="inlineStr">
        <is>
          <t>i</t>
        </is>
      </c>
      <c r="I727" s="77">
        <f>IF(ISNUMBER(N727),N727*fx_deflator!$J$17*fx_deflator!$M$17,"")</f>
        <v/>
      </c>
      <c r="J727" s="77" t="inlineStr">
        <is>
          <t>KAV sec.2(3)/(4) Grenzpreis rule -&gt; 0 for Sondervertragskunden</t>
        </is>
      </c>
      <c r="K727" s="77" t="inlineStr">
        <is>
          <t>stage4_de r36</t>
        </is>
      </c>
      <c r="L727" s="77" t="inlineStr">
        <is>
          <t>2026-07-15</t>
        </is>
      </c>
      <c r="M727" s="77" t="inlineStr">
        <is>
          <t>N</t>
        </is>
      </c>
      <c r="N727" s="77">
        <f>IF(ISNUMBER(stage4_de!P36),stage4_de!P36*10,"")</f>
        <v/>
      </c>
      <c r="O727" s="77" t="inlineStr">
        <is>
          <t>EUR/MWh nominal</t>
        </is>
      </c>
    </row>
    <row r="728" ht="15" customHeight="1" s="78">
      <c r="A728" s="77" t="inlineStr">
        <is>
          <t>DE</t>
        </is>
      </c>
      <c r="B728" s="77" t="n">
        <v>2023</v>
      </c>
      <c r="C728" s="77" t="inlineStr">
        <is>
          <t>large</t>
        </is>
      </c>
      <c r="D728" s="77" t="inlineStr">
        <is>
          <t>E1</t>
        </is>
      </c>
      <c r="E728" s="77" t="inlineStr">
        <is>
          <t>Wholesale (Phelix base front-year)</t>
        </is>
      </c>
      <c r="F728" s="77" t="inlineStr">
        <is>
          <t>1 Commodity</t>
        </is>
      </c>
      <c r="G728" s="77" t="inlineStr">
        <is>
          <t>wholesale market</t>
        </is>
      </c>
      <c r="H728" s="77" t="inlineStr">
        <is>
          <t>i</t>
        </is>
      </c>
      <c r="I728" s="77">
        <f>IF(ISNUMBER(N728),N728*fx_deflator!$J$18*fx_deflator!$M$18,"")</f>
        <v/>
      </c>
      <c r="J728" s="77" t="inlineStr">
        <is>
          <t>BNetzA Monitoringberichte — Phelix base front-year by trading yr -&gt; delivery yr; 2026 = D29</t>
        </is>
      </c>
      <c r="K728" s="77" t="inlineStr">
        <is>
          <t>stage4_de r7</t>
        </is>
      </c>
      <c r="L728" s="77" t="inlineStr">
        <is>
          <t>2026-07-15</t>
        </is>
      </c>
      <c r="M728" s="77" t="inlineStr">
        <is>
          <t>Y</t>
        </is>
      </c>
      <c r="N728" s="136">
        <f>IF(ISNUMBER(timeseries!Q32),timeseries!Q32,"")</f>
        <v/>
      </c>
      <c r="O728" s="77" t="inlineStr">
        <is>
          <t>EUR/MWh nominal</t>
        </is>
      </c>
    </row>
    <row r="729" ht="15" customHeight="1" s="78">
      <c r="A729" s="77" t="inlineStr">
        <is>
          <t>DE</t>
        </is>
      </c>
      <c r="B729" s="77" t="n">
        <v>2023</v>
      </c>
      <c r="C729" s="77" t="inlineStr">
        <is>
          <t>large</t>
        </is>
      </c>
      <c r="D729" s="77" t="inlineStr">
        <is>
          <t>E1</t>
        </is>
      </c>
      <c r="E729" s="77" t="inlineStr">
        <is>
          <t>Netzentgelte HoeS (LP+AP)</t>
        </is>
      </c>
      <c r="F729" s="77" t="inlineStr">
        <is>
          <t>3 Network</t>
        </is>
      </c>
      <c r="G729" s="77" t="inlineStr">
        <is>
          <t>transmission network charge</t>
        </is>
      </c>
      <c r="H729" s="77" t="inlineStr">
        <is>
          <t>i</t>
        </is>
      </c>
      <c r="I729" s="77">
        <f>IF(ISNUMBER(N729),N729*fx_deflator!$J$18*fx_deflator!$M$18,"")</f>
        <v/>
      </c>
      <c r="J729" s="77" t="inlineStr">
        <is>
          <t>Amprion Preisblatt archive; netztransparenz joint UeNB-Preisblatt (bundeseinheitlich 2023+)</t>
        </is>
      </c>
      <c r="K729" s="77" t="inlineStr">
        <is>
          <t>stage4_de r11-12</t>
        </is>
      </c>
      <c r="L729" s="77" t="inlineStr">
        <is>
          <t>2026-07-15</t>
        </is>
      </c>
      <c r="M729" s="77" t="inlineStr">
        <is>
          <t>N</t>
        </is>
      </c>
      <c r="N729" s="136">
        <f>IF(ISNUMBER(timeseries!Q33),timeseries!Q33,"")</f>
        <v/>
      </c>
      <c r="O729" s="77" t="inlineStr">
        <is>
          <t>EUR/MWh nominal</t>
        </is>
      </c>
    </row>
    <row r="730" ht="15" customHeight="1" s="78">
      <c r="A730" s="77" t="inlineStr">
        <is>
          <t>DE</t>
        </is>
      </c>
      <c r="B730" s="77" t="n">
        <v>2023</v>
      </c>
      <c r="C730" s="77" t="inlineStr">
        <is>
          <t>large</t>
        </is>
      </c>
      <c r="D730" s="77" t="inlineStr">
        <is>
          <t>E1</t>
        </is>
      </c>
      <c r="E730" s="77" t="inlineStr">
        <is>
          <t>EEG-Umlage (full, non-privileged)</t>
        </is>
      </c>
      <c r="F730" s="77" t="inlineStr">
        <is>
          <t>2 Gen capital recovery</t>
        </is>
      </c>
      <c r="G730" s="77" t="inlineStr">
        <is>
          <t>renewables levy (Umlage)</t>
        </is>
      </c>
      <c r="H730" s="77" t="inlineStr">
        <is>
          <t>i (0 from 07/2022 — cost moved to taxpayer, see HATCH iii row)</t>
        </is>
      </c>
      <c r="I730" s="77">
        <f>IF(ISNUMBER(N730),N730*fx_deflator!$J$18*fx_deflator!$M$18,"")</f>
        <v/>
      </c>
      <c r="J730" s="77" t="inlineStr">
        <is>
          <t>netztransparenz.de EEG-Umlagen der Vorjahre + per-year pages</t>
        </is>
      </c>
      <c r="K730" s="77" t="inlineStr">
        <is>
          <t>stage4_de r21</t>
        </is>
      </c>
      <c r="L730" s="77" t="inlineStr">
        <is>
          <t>2026-07-15</t>
        </is>
      </c>
      <c r="M730" s="77" t="inlineStr">
        <is>
          <t>N</t>
        </is>
      </c>
      <c r="N730" s="136">
        <f>IF(ISNUMBER(timeseries!Q35),timeseries!Q35,"")</f>
        <v/>
      </c>
      <c r="O730" s="77" t="inlineStr">
        <is>
          <t>EUR/MWh nominal</t>
        </is>
      </c>
    </row>
    <row r="731" ht="15" customHeight="1" s="78">
      <c r="A731" s="77" t="inlineStr">
        <is>
          <t>DE</t>
        </is>
      </c>
      <c r="B731" s="77" t="n">
        <v>2023</v>
      </c>
      <c r="C731" s="77" t="inlineStr">
        <is>
          <t>large</t>
        </is>
      </c>
      <c r="D731" s="77" t="inlineStr">
        <is>
          <t>E1</t>
        </is>
      </c>
      <c r="E731" s="77" t="inlineStr">
        <is>
          <t>KWKG-Umlage</t>
        </is>
      </c>
      <c r="F731" s="77" t="inlineStr">
        <is>
          <t>2 Gen capital recovery</t>
        </is>
      </c>
      <c r="G731" s="77" t="inlineStr">
        <is>
          <t>CHP levy (Umlage)</t>
        </is>
      </c>
      <c r="H731" s="77" t="inlineStr">
        <is>
          <t>i</t>
        </is>
      </c>
      <c r="I731" s="77">
        <f>IF(ISNUMBER(N731),N731*fx_deflator!$J$18*fx_deflator!$M$18,"")</f>
        <v/>
      </c>
      <c r="J731" s="77" t="inlineStr">
        <is>
          <t>netztransparenz Uebersicht KWKG-Aufschlaege 2002-2016 + per-year pages; tranche blends</t>
        </is>
      </c>
      <c r="K731" s="77" t="inlineStr">
        <is>
          <t>stage4_de r22-24</t>
        </is>
      </c>
      <c r="L731" s="77" t="inlineStr">
        <is>
          <t>2026-07-15</t>
        </is>
      </c>
      <c r="M731" s="77" t="inlineStr">
        <is>
          <t>Y</t>
        </is>
      </c>
      <c r="N731" s="136">
        <f>IF(ISNUMBER(timeseries!Q36),timeseries!Q36,"")</f>
        <v/>
      </c>
      <c r="O731" s="77" t="inlineStr">
        <is>
          <t>EUR/MWh nominal</t>
        </is>
      </c>
    </row>
    <row r="732" ht="15" customHeight="1" s="78">
      <c r="A732" s="77" t="inlineStr">
        <is>
          <t>DE</t>
        </is>
      </c>
      <c r="B732" s="77" t="n">
        <v>2023</v>
      </c>
      <c r="C732" s="77" t="inlineStr">
        <is>
          <t>large</t>
        </is>
      </c>
      <c r="D732" s="77" t="inlineStr">
        <is>
          <t>E1</t>
        </is>
      </c>
      <c r="E732" s="77" t="inlineStr">
        <is>
          <t>sec.19 StromNEV-Umlage</t>
        </is>
      </c>
      <c r="F732" s="77" t="inlineStr">
        <is>
          <t>4 System services &amp; balancing</t>
        </is>
      </c>
      <c r="G732" s="77" t="inlineStr">
        <is>
          <t>network levy (Umlage)</t>
        </is>
      </c>
      <c r="H732" s="77" t="inlineStr">
        <is>
          <t>ii (pays for other users net-charge relief)</t>
        </is>
      </c>
      <c r="I732" s="77">
        <f>IF(ISNUMBER(N732),N732*fx_deflator!$J$18*fx_deflator!$M$18,"")</f>
        <v/>
      </c>
      <c r="J732" s="77" t="inlineStr">
        <is>
          <t>netztransparenz per-year Umlagen pages (A-prime/B-prime/C-prime)</t>
        </is>
      </c>
      <c r="K732" s="77" t="inlineStr">
        <is>
          <t>stage4_de r25-27</t>
        </is>
      </c>
      <c r="L732" s="77" t="inlineStr">
        <is>
          <t>2026-07-15</t>
        </is>
      </c>
      <c r="M732" s="77" t="inlineStr">
        <is>
          <t>Y</t>
        </is>
      </c>
      <c r="N732" s="136">
        <f>IF(ISNUMBER(timeseries!Q37),timeseries!Q37,"")</f>
        <v/>
      </c>
      <c r="O732" s="77" t="inlineStr">
        <is>
          <t>EUR/MWh nominal</t>
        </is>
      </c>
    </row>
    <row r="733" ht="15" customHeight="1" s="78">
      <c r="A733" s="77" t="inlineStr">
        <is>
          <t>DE</t>
        </is>
      </c>
      <c r="B733" s="77" t="n">
        <v>2023</v>
      </c>
      <c r="C733" s="77" t="inlineStr">
        <is>
          <t>large</t>
        </is>
      </c>
      <c r="D733" s="77" t="inlineStr">
        <is>
          <t>E1</t>
        </is>
      </c>
      <c r="E733" s="77" t="inlineStr">
        <is>
          <t>Offshore-Netzumlage</t>
        </is>
      </c>
      <c r="F733" s="77" t="inlineStr">
        <is>
          <t>2 Gen capital recovery</t>
        </is>
      </c>
      <c r="G733" s="77" t="inlineStr">
        <is>
          <t>offshore grid levy (Umlage)</t>
        </is>
      </c>
      <c r="H733" s="77" t="inlineStr">
        <is>
          <t>i</t>
        </is>
      </c>
      <c r="I733" s="77">
        <f>IF(ISNUMBER(N733),N733*fx_deflator!$J$18*fx_deflator!$M$18,"")</f>
        <v/>
      </c>
      <c r="J733" s="77" t="inlineStr">
        <is>
          <t>netztransparenz Offshore-Umlage per-year pages</t>
        </is>
      </c>
      <c r="K733" s="77" t="inlineStr">
        <is>
          <t>stage4_de r28-30</t>
        </is>
      </c>
      <c r="L733" s="77" t="inlineStr">
        <is>
          <t>2026-07-15</t>
        </is>
      </c>
      <c r="M733" s="77" t="inlineStr">
        <is>
          <t>Y</t>
        </is>
      </c>
      <c r="N733" s="136">
        <f>IF(ISNUMBER(timeseries!Q38),timeseries!Q38,"")</f>
        <v/>
      </c>
      <c r="O733" s="77" t="inlineStr">
        <is>
          <t>EUR/MWh nominal</t>
        </is>
      </c>
    </row>
    <row r="734" ht="15" customHeight="1" s="78">
      <c r="A734" s="77" t="inlineStr">
        <is>
          <t>DE</t>
        </is>
      </c>
      <c r="B734" s="77" t="n">
        <v>2023</v>
      </c>
      <c r="C734" s="77" t="inlineStr">
        <is>
          <t>large</t>
        </is>
      </c>
      <c r="D734" s="77" t="inlineStr">
        <is>
          <t>E1</t>
        </is>
      </c>
      <c r="E734" s="77" t="inlineStr">
        <is>
          <t>AbLaV-Umlage</t>
        </is>
      </c>
      <c r="F734" s="77" t="inlineStr">
        <is>
          <t>4 System services &amp; balancing</t>
        </is>
      </c>
      <c r="G734" s="77" t="inlineStr">
        <is>
          <t>interruptible-load levy (Umlage)</t>
        </is>
      </c>
      <c r="H734" s="77" t="inlineStr">
        <is>
          <t>i</t>
        </is>
      </c>
      <c r="I734" s="77">
        <f>IF(ISNUMBER(N734),N734*fx_deflator!$J$18*fx_deflator!$M$18,"")</f>
        <v/>
      </c>
      <c r="J734" s="77" t="inlineStr">
        <is>
          <t>netztransparenz AbLaV-Umlage per-year pages (ends 2022)</t>
        </is>
      </c>
      <c r="K734" s="77" t="inlineStr">
        <is>
          <t>stage4_de r31</t>
        </is>
      </c>
      <c r="L734" s="77" t="inlineStr">
        <is>
          <t>2026-07-15</t>
        </is>
      </c>
      <c r="M734" s="77" t="inlineStr">
        <is>
          <t>N</t>
        </is>
      </c>
      <c r="N734" s="136">
        <f>IF(ISNUMBER(timeseries!Q39),timeseries!Q39,"")</f>
        <v/>
      </c>
      <c r="O734" s="77" t="inlineStr">
        <is>
          <t>EUR/MWh nominal</t>
        </is>
      </c>
    </row>
    <row r="735" ht="15" customHeight="1" s="78">
      <c r="A735" s="77" t="inlineStr">
        <is>
          <t>DE</t>
        </is>
      </c>
      <c r="B735" s="77" t="n">
        <v>2023</v>
      </c>
      <c r="C735" s="77" t="inlineStr">
        <is>
          <t>large</t>
        </is>
      </c>
      <c r="D735" s="77" t="inlineStr">
        <is>
          <t>E1</t>
        </is>
      </c>
      <c r="E735" s="77" t="inlineStr">
        <is>
          <t>Stromsteuer (full sec.3 rate)</t>
        </is>
      </c>
      <c r="F735" s="77" t="inlineStr">
        <is>
          <t>5 General taxation &amp; levies</t>
        </is>
      </c>
      <c r="G735" s="77" t="inlineStr">
        <is>
          <t>electricity tax</t>
        </is>
      </c>
      <c r="H735" s="77" t="inlineStr">
        <is>
          <t>i</t>
        </is>
      </c>
      <c r="I735" s="77">
        <f>IF(ISNUMBER(N735),N735*fx_deflator!$J$18*fx_deflator!$M$18,"")</f>
        <v/>
      </c>
      <c r="J735" s="77" t="inlineStr">
        <is>
          <t>StromStG sec.3/sec.9b (BGBl. 2025 I Nr. 340: 0.50 permanent from 2026); gesetze-im-internet.de</t>
        </is>
      </c>
      <c r="K735" s="77" t="inlineStr">
        <is>
          <t>stage4_de r34-35</t>
        </is>
      </c>
      <c r="L735" s="77" t="inlineStr">
        <is>
          <t>2026-07-15</t>
        </is>
      </c>
      <c r="M735" s="77" t="inlineStr">
        <is>
          <t>N</t>
        </is>
      </c>
      <c r="N735" s="77">
        <f>IF(ISNUMBER(stage4_de!Q34),stage4_de!Q34,"")</f>
        <v/>
      </c>
      <c r="O735" s="77" t="inlineStr">
        <is>
          <t>EUR/MWh nominal</t>
        </is>
      </c>
    </row>
    <row r="736" ht="15" customHeight="1" s="78">
      <c r="A736" s="77" t="inlineStr">
        <is>
          <t>DE</t>
        </is>
      </c>
      <c r="B736" s="77" t="n">
        <v>2023</v>
      </c>
      <c r="C736" s="77" t="inlineStr">
        <is>
          <t>large</t>
        </is>
      </c>
      <c r="D736" s="77" t="inlineStr">
        <is>
          <t>E1</t>
        </is>
      </c>
      <c r="E736" s="77" t="inlineStr">
        <is>
          <t>Konzessionsabgabe (0 via Grenzpreis rule)</t>
        </is>
      </c>
      <c r="F736" s="77" t="inlineStr">
        <is>
          <t>5 General taxation &amp; levies</t>
        </is>
      </c>
      <c r="G736" s="77" t="inlineStr">
        <is>
          <t>concession fee</t>
        </is>
      </c>
      <c r="H736" s="77" t="inlineStr">
        <is>
          <t>i</t>
        </is>
      </c>
      <c r="I736" s="77">
        <f>IF(ISNUMBER(N736),N736*fx_deflator!$J$18*fx_deflator!$M$18,"")</f>
        <v/>
      </c>
      <c r="J736" s="77" t="inlineStr">
        <is>
          <t>KAV sec.2(3)/(4) Grenzpreis rule -&gt; 0 for Sondervertragskunden</t>
        </is>
      </c>
      <c r="K736" s="77" t="inlineStr">
        <is>
          <t>stage4_de r36</t>
        </is>
      </c>
      <c r="L736" s="77" t="inlineStr">
        <is>
          <t>2026-07-15</t>
        </is>
      </c>
      <c r="M736" s="77" t="inlineStr">
        <is>
          <t>N</t>
        </is>
      </c>
      <c r="N736" s="77">
        <f>IF(ISNUMBER(stage4_de!Q36),stage4_de!Q36*10,"")</f>
        <v/>
      </c>
      <c r="O736" s="77" t="inlineStr">
        <is>
          <t>EUR/MWh nominal</t>
        </is>
      </c>
    </row>
    <row r="737" ht="15" customHeight="1" s="78">
      <c r="A737" s="77" t="inlineStr">
        <is>
          <t>DE</t>
        </is>
      </c>
      <c r="B737" s="77" t="n">
        <v>2024</v>
      </c>
      <c r="C737" s="77" t="inlineStr">
        <is>
          <t>large</t>
        </is>
      </c>
      <c r="D737" s="77" t="inlineStr">
        <is>
          <t>E1</t>
        </is>
      </c>
      <c r="E737" s="77" t="inlineStr">
        <is>
          <t>Wholesale (Phelix base front-year)</t>
        </is>
      </c>
      <c r="F737" s="77" t="inlineStr">
        <is>
          <t>1 Commodity</t>
        </is>
      </c>
      <c r="G737" s="77" t="inlineStr">
        <is>
          <t>wholesale market</t>
        </is>
      </c>
      <c r="H737" s="77" t="inlineStr">
        <is>
          <t>i</t>
        </is>
      </c>
      <c r="I737" s="77">
        <f>IF(ISNUMBER(N737),N737*fx_deflator!$J$19*fx_deflator!$M$19,"")</f>
        <v/>
      </c>
      <c r="J737" s="77" t="inlineStr">
        <is>
          <t>BNetzA Monitoringberichte — Phelix base front-year by trading yr -&gt; delivery yr; 2026 = D29</t>
        </is>
      </c>
      <c r="K737" s="77" t="inlineStr">
        <is>
          <t>stage4_de r7</t>
        </is>
      </c>
      <c r="L737" s="77" t="inlineStr">
        <is>
          <t>2026-07-15</t>
        </is>
      </c>
      <c r="M737" s="77" t="inlineStr">
        <is>
          <t>Y</t>
        </is>
      </c>
      <c r="N737" s="136">
        <f>IF(ISNUMBER(timeseries!R32),timeseries!R32,"")</f>
        <v/>
      </c>
      <c r="O737" s="77" t="inlineStr">
        <is>
          <t>EUR/MWh nominal</t>
        </is>
      </c>
    </row>
    <row r="738" ht="15" customHeight="1" s="78">
      <c r="A738" s="77" t="inlineStr">
        <is>
          <t>DE</t>
        </is>
      </c>
      <c r="B738" s="77" t="n">
        <v>2024</v>
      </c>
      <c r="C738" s="77" t="inlineStr">
        <is>
          <t>large</t>
        </is>
      </c>
      <c r="D738" s="77" t="inlineStr">
        <is>
          <t>E1</t>
        </is>
      </c>
      <c r="E738" s="77" t="inlineStr">
        <is>
          <t>Netzentgelte HoeS (LP+AP)</t>
        </is>
      </c>
      <c r="F738" s="77" t="inlineStr">
        <is>
          <t>3 Network</t>
        </is>
      </c>
      <c r="G738" s="77" t="inlineStr">
        <is>
          <t>transmission network charge</t>
        </is>
      </c>
      <c r="H738" s="77" t="inlineStr">
        <is>
          <t>i</t>
        </is>
      </c>
      <c r="I738" s="77">
        <f>IF(ISNUMBER(N738),N738*fx_deflator!$J$19*fx_deflator!$M$19,"")</f>
        <v/>
      </c>
      <c r="J738" s="77" t="inlineStr">
        <is>
          <t>Amprion Preisblatt archive; netztransparenz joint UeNB-Preisblatt (bundeseinheitlich 2023+)</t>
        </is>
      </c>
      <c r="K738" s="77" t="inlineStr">
        <is>
          <t>stage4_de r11-12</t>
        </is>
      </c>
      <c r="L738" s="77" t="inlineStr">
        <is>
          <t>2026-07-15</t>
        </is>
      </c>
      <c r="M738" s="77" t="inlineStr">
        <is>
          <t>N</t>
        </is>
      </c>
      <c r="N738" s="136">
        <f>IF(ISNUMBER(timeseries!R33),timeseries!R33,"")</f>
        <v/>
      </c>
      <c r="O738" s="77" t="inlineStr">
        <is>
          <t>EUR/MWh nominal</t>
        </is>
      </c>
    </row>
    <row r="739" ht="15" customHeight="1" s="78">
      <c r="A739" s="77" t="inlineStr">
        <is>
          <t>DE</t>
        </is>
      </c>
      <c r="B739" s="77" t="n">
        <v>2024</v>
      </c>
      <c r="C739" s="77" t="inlineStr">
        <is>
          <t>large</t>
        </is>
      </c>
      <c r="D739" s="77" t="inlineStr">
        <is>
          <t>E1</t>
        </is>
      </c>
      <c r="E739" s="77" t="inlineStr">
        <is>
          <t>EEG-Umlage (full, non-privileged)</t>
        </is>
      </c>
      <c r="F739" s="77" t="inlineStr">
        <is>
          <t>2 Gen capital recovery</t>
        </is>
      </c>
      <c r="G739" s="77" t="inlineStr">
        <is>
          <t>renewables levy (Umlage)</t>
        </is>
      </c>
      <c r="H739" s="77" t="inlineStr">
        <is>
          <t>i (0 from 07/2022 — cost moved to taxpayer, see HATCH iii row)</t>
        </is>
      </c>
      <c r="I739" s="77">
        <f>IF(ISNUMBER(N739),N739*fx_deflator!$J$19*fx_deflator!$M$19,"")</f>
        <v/>
      </c>
      <c r="J739" s="77" t="inlineStr">
        <is>
          <t>netztransparenz.de EEG-Umlagen der Vorjahre + per-year pages</t>
        </is>
      </c>
      <c r="K739" s="77" t="inlineStr">
        <is>
          <t>stage4_de r21</t>
        </is>
      </c>
      <c r="L739" s="77" t="inlineStr">
        <is>
          <t>2026-07-15</t>
        </is>
      </c>
      <c r="M739" s="77" t="inlineStr">
        <is>
          <t>N</t>
        </is>
      </c>
      <c r="N739" s="136">
        <f>IF(ISNUMBER(timeseries!R35),timeseries!R35,"")</f>
        <v/>
      </c>
      <c r="O739" s="77" t="inlineStr">
        <is>
          <t>EUR/MWh nominal</t>
        </is>
      </c>
    </row>
    <row r="740" ht="15" customHeight="1" s="78">
      <c r="A740" s="77" t="inlineStr">
        <is>
          <t>DE</t>
        </is>
      </c>
      <c r="B740" s="77" t="n">
        <v>2024</v>
      </c>
      <c r="C740" s="77" t="inlineStr">
        <is>
          <t>large</t>
        </is>
      </c>
      <c r="D740" s="77" t="inlineStr">
        <is>
          <t>E1</t>
        </is>
      </c>
      <c r="E740" s="77" t="inlineStr">
        <is>
          <t>KWKG-Umlage</t>
        </is>
      </c>
      <c r="F740" s="77" t="inlineStr">
        <is>
          <t>2 Gen capital recovery</t>
        </is>
      </c>
      <c r="G740" s="77" t="inlineStr">
        <is>
          <t>CHP levy (Umlage)</t>
        </is>
      </c>
      <c r="H740" s="77" t="inlineStr">
        <is>
          <t>i</t>
        </is>
      </c>
      <c r="I740" s="77">
        <f>IF(ISNUMBER(N740),N740*fx_deflator!$J$19*fx_deflator!$M$19,"")</f>
        <v/>
      </c>
      <c r="J740" s="77" t="inlineStr">
        <is>
          <t>netztransparenz Uebersicht KWKG-Aufschlaege 2002-2016 + per-year pages; tranche blends</t>
        </is>
      </c>
      <c r="K740" s="77" t="inlineStr">
        <is>
          <t>stage4_de r22-24</t>
        </is>
      </c>
      <c r="L740" s="77" t="inlineStr">
        <is>
          <t>2026-07-15</t>
        </is>
      </c>
      <c r="M740" s="77" t="inlineStr">
        <is>
          <t>Y</t>
        </is>
      </c>
      <c r="N740" s="136">
        <f>IF(ISNUMBER(timeseries!R36),timeseries!R36,"")</f>
        <v/>
      </c>
      <c r="O740" s="77" t="inlineStr">
        <is>
          <t>EUR/MWh nominal</t>
        </is>
      </c>
    </row>
    <row r="741" ht="15" customHeight="1" s="78">
      <c r="A741" s="77" t="inlineStr">
        <is>
          <t>DE</t>
        </is>
      </c>
      <c r="B741" s="77" t="n">
        <v>2024</v>
      </c>
      <c r="C741" s="77" t="inlineStr">
        <is>
          <t>large</t>
        </is>
      </c>
      <c r="D741" s="77" t="inlineStr">
        <is>
          <t>E1</t>
        </is>
      </c>
      <c r="E741" s="77" t="inlineStr">
        <is>
          <t>sec.19 StromNEV-Umlage</t>
        </is>
      </c>
      <c r="F741" s="77" t="inlineStr">
        <is>
          <t>4 System services &amp; balancing</t>
        </is>
      </c>
      <c r="G741" s="77" t="inlineStr">
        <is>
          <t>network levy (Umlage)</t>
        </is>
      </c>
      <c r="H741" s="77" t="inlineStr">
        <is>
          <t>ii (pays for other users net-charge relief)</t>
        </is>
      </c>
      <c r="I741" s="77">
        <f>IF(ISNUMBER(N741),N741*fx_deflator!$J$19*fx_deflator!$M$19,"")</f>
        <v/>
      </c>
      <c r="J741" s="77" t="inlineStr">
        <is>
          <t>netztransparenz per-year Umlagen pages (A-prime/B-prime/C-prime)</t>
        </is>
      </c>
      <c r="K741" s="77" t="inlineStr">
        <is>
          <t>stage4_de r25-27</t>
        </is>
      </c>
      <c r="L741" s="77" t="inlineStr">
        <is>
          <t>2026-07-15</t>
        </is>
      </c>
      <c r="M741" s="77" t="inlineStr">
        <is>
          <t>Y</t>
        </is>
      </c>
      <c r="N741" s="136">
        <f>IF(ISNUMBER(timeseries!R37),timeseries!R37,"")</f>
        <v/>
      </c>
      <c r="O741" s="77" t="inlineStr">
        <is>
          <t>EUR/MWh nominal</t>
        </is>
      </c>
    </row>
    <row r="742" ht="15" customHeight="1" s="78">
      <c r="A742" s="77" t="inlineStr">
        <is>
          <t>DE</t>
        </is>
      </c>
      <c r="B742" s="77" t="n">
        <v>2024</v>
      </c>
      <c r="C742" s="77" t="inlineStr">
        <is>
          <t>large</t>
        </is>
      </c>
      <c r="D742" s="77" t="inlineStr">
        <is>
          <t>E1</t>
        </is>
      </c>
      <c r="E742" s="77" t="inlineStr">
        <is>
          <t>Offshore-Netzumlage</t>
        </is>
      </c>
      <c r="F742" s="77" t="inlineStr">
        <is>
          <t>2 Gen capital recovery</t>
        </is>
      </c>
      <c r="G742" s="77" t="inlineStr">
        <is>
          <t>offshore grid levy (Umlage)</t>
        </is>
      </c>
      <c r="H742" s="77" t="inlineStr">
        <is>
          <t>i</t>
        </is>
      </c>
      <c r="I742" s="77">
        <f>IF(ISNUMBER(N742),N742*fx_deflator!$J$19*fx_deflator!$M$19,"")</f>
        <v/>
      </c>
      <c r="J742" s="77" t="inlineStr">
        <is>
          <t>netztransparenz Offshore-Umlage per-year pages</t>
        </is>
      </c>
      <c r="K742" s="77" t="inlineStr">
        <is>
          <t>stage4_de r28-30</t>
        </is>
      </c>
      <c r="L742" s="77" t="inlineStr">
        <is>
          <t>2026-07-15</t>
        </is>
      </c>
      <c r="M742" s="77" t="inlineStr">
        <is>
          <t>Y</t>
        </is>
      </c>
      <c r="N742" s="136">
        <f>IF(ISNUMBER(timeseries!R38),timeseries!R38,"")</f>
        <v/>
      </c>
      <c r="O742" s="77" t="inlineStr">
        <is>
          <t>EUR/MWh nominal</t>
        </is>
      </c>
    </row>
    <row r="743" ht="15" customHeight="1" s="78">
      <c r="A743" s="77" t="inlineStr">
        <is>
          <t>DE</t>
        </is>
      </c>
      <c r="B743" s="77" t="n">
        <v>2024</v>
      </c>
      <c r="C743" s="77" t="inlineStr">
        <is>
          <t>large</t>
        </is>
      </c>
      <c r="D743" s="77" t="inlineStr">
        <is>
          <t>E1</t>
        </is>
      </c>
      <c r="E743" s="77" t="inlineStr">
        <is>
          <t>AbLaV-Umlage</t>
        </is>
      </c>
      <c r="F743" s="77" t="inlineStr">
        <is>
          <t>4 System services &amp; balancing</t>
        </is>
      </c>
      <c r="G743" s="77" t="inlineStr">
        <is>
          <t>interruptible-load levy (Umlage)</t>
        </is>
      </c>
      <c r="H743" s="77" t="inlineStr">
        <is>
          <t>i</t>
        </is>
      </c>
      <c r="I743" s="77">
        <f>IF(ISNUMBER(N743),N743*fx_deflator!$J$19*fx_deflator!$M$19,"")</f>
        <v/>
      </c>
      <c r="J743" s="77" t="inlineStr">
        <is>
          <t>netztransparenz AbLaV-Umlage per-year pages (ends 2022)</t>
        </is>
      </c>
      <c r="K743" s="77" t="inlineStr">
        <is>
          <t>stage4_de r31</t>
        </is>
      </c>
      <c r="L743" s="77" t="inlineStr">
        <is>
          <t>2026-07-15</t>
        </is>
      </c>
      <c r="M743" s="77" t="inlineStr">
        <is>
          <t>N</t>
        </is>
      </c>
      <c r="N743" s="136">
        <f>IF(ISNUMBER(timeseries!R39),timeseries!R39,"")</f>
        <v/>
      </c>
      <c r="O743" s="77" t="inlineStr">
        <is>
          <t>EUR/MWh nominal</t>
        </is>
      </c>
    </row>
    <row r="744" ht="15" customHeight="1" s="78">
      <c r="A744" s="77" t="inlineStr">
        <is>
          <t>DE</t>
        </is>
      </c>
      <c r="B744" s="77" t="n">
        <v>2024</v>
      </c>
      <c r="C744" s="77" t="inlineStr">
        <is>
          <t>large</t>
        </is>
      </c>
      <c r="D744" s="77" t="inlineStr">
        <is>
          <t>E1</t>
        </is>
      </c>
      <c r="E744" s="77" t="inlineStr">
        <is>
          <t>Stromsteuer (full sec.3 rate)</t>
        </is>
      </c>
      <c r="F744" s="77" t="inlineStr">
        <is>
          <t>5 General taxation &amp; levies</t>
        </is>
      </c>
      <c r="G744" s="77" t="inlineStr">
        <is>
          <t>electricity tax</t>
        </is>
      </c>
      <c r="H744" s="77" t="inlineStr">
        <is>
          <t>i</t>
        </is>
      </c>
      <c r="I744" s="77">
        <f>IF(ISNUMBER(N744),N744*fx_deflator!$J$19*fx_deflator!$M$19,"")</f>
        <v/>
      </c>
      <c r="J744" s="77" t="inlineStr">
        <is>
          <t>StromStG sec.3/sec.9b (BGBl. 2025 I Nr. 340: 0.50 permanent from 2026); gesetze-im-internet.de</t>
        </is>
      </c>
      <c r="K744" s="77" t="inlineStr">
        <is>
          <t>stage4_de r34-35</t>
        </is>
      </c>
      <c r="L744" s="77" t="inlineStr">
        <is>
          <t>2026-07-15</t>
        </is>
      </c>
      <c r="M744" s="77" t="inlineStr">
        <is>
          <t>N</t>
        </is>
      </c>
      <c r="N744" s="77">
        <f>IF(ISNUMBER(stage4_de!R34),stage4_de!R34,"")</f>
        <v/>
      </c>
      <c r="O744" s="77" t="inlineStr">
        <is>
          <t>EUR/MWh nominal</t>
        </is>
      </c>
    </row>
    <row r="745" ht="15" customHeight="1" s="78">
      <c r="A745" s="77" t="inlineStr">
        <is>
          <t>DE</t>
        </is>
      </c>
      <c r="B745" s="77" t="n">
        <v>2024</v>
      </c>
      <c r="C745" s="77" t="inlineStr">
        <is>
          <t>large</t>
        </is>
      </c>
      <c r="D745" s="77" t="inlineStr">
        <is>
          <t>E1</t>
        </is>
      </c>
      <c r="E745" s="77" t="inlineStr">
        <is>
          <t>Konzessionsabgabe (0 via Grenzpreis rule)</t>
        </is>
      </c>
      <c r="F745" s="77" t="inlineStr">
        <is>
          <t>5 General taxation &amp; levies</t>
        </is>
      </c>
      <c r="G745" s="77" t="inlineStr">
        <is>
          <t>concession fee</t>
        </is>
      </c>
      <c r="H745" s="77" t="inlineStr">
        <is>
          <t>i</t>
        </is>
      </c>
      <c r="I745" s="77">
        <f>IF(ISNUMBER(N745),N745*fx_deflator!$J$19*fx_deflator!$M$19,"")</f>
        <v/>
      </c>
      <c r="J745" s="77" t="inlineStr">
        <is>
          <t>KAV sec.2(3)/(4) Grenzpreis rule -&gt; 0 for Sondervertragskunden</t>
        </is>
      </c>
      <c r="K745" s="77" t="inlineStr">
        <is>
          <t>stage4_de r36</t>
        </is>
      </c>
      <c r="L745" s="77" t="inlineStr">
        <is>
          <t>2026-07-15</t>
        </is>
      </c>
      <c r="M745" s="77" t="inlineStr">
        <is>
          <t>N</t>
        </is>
      </c>
      <c r="N745" s="77">
        <f>IF(ISNUMBER(stage4_de!R36),stage4_de!R36*10,"")</f>
        <v/>
      </c>
      <c r="O745" s="77" t="inlineStr">
        <is>
          <t>EUR/MWh nominal</t>
        </is>
      </c>
    </row>
    <row r="746" ht="15" customHeight="1" s="78">
      <c r="A746" s="77" t="inlineStr">
        <is>
          <t>DE</t>
        </is>
      </c>
      <c r="B746" s="77" t="n">
        <v>2025</v>
      </c>
      <c r="C746" s="77" t="inlineStr">
        <is>
          <t>large</t>
        </is>
      </c>
      <c r="D746" s="77" t="inlineStr">
        <is>
          <t>E1</t>
        </is>
      </c>
      <c r="E746" s="77" t="inlineStr">
        <is>
          <t>Wholesale (Phelix base front-year)</t>
        </is>
      </c>
      <c r="F746" s="77" t="inlineStr">
        <is>
          <t>1 Commodity</t>
        </is>
      </c>
      <c r="G746" s="77" t="inlineStr">
        <is>
          <t>wholesale market</t>
        </is>
      </c>
      <c r="H746" s="77" t="inlineStr">
        <is>
          <t>i</t>
        </is>
      </c>
      <c r="I746" s="77">
        <f>IF(ISNUMBER(N746),N746*fx_deflator!$J$20*fx_deflator!$M$20,"")</f>
        <v/>
      </c>
      <c r="J746" s="77" t="inlineStr">
        <is>
          <t>BNetzA Monitoringberichte — Phelix base front-year by trading yr -&gt; delivery yr; 2026 = D29</t>
        </is>
      </c>
      <c r="K746" s="77" t="inlineStr">
        <is>
          <t>stage4_de r7</t>
        </is>
      </c>
      <c r="L746" s="77" t="inlineStr">
        <is>
          <t>2026-07-15</t>
        </is>
      </c>
      <c r="M746" s="77" t="inlineStr">
        <is>
          <t>Y</t>
        </is>
      </c>
      <c r="N746" s="136">
        <f>IF(ISNUMBER(timeseries!S32),timeseries!S32,"")</f>
        <v/>
      </c>
      <c r="O746" s="77" t="inlineStr">
        <is>
          <t>EUR/MWh nominal</t>
        </is>
      </c>
    </row>
    <row r="747" ht="15" customHeight="1" s="78">
      <c r="A747" s="77" t="inlineStr">
        <is>
          <t>DE</t>
        </is>
      </c>
      <c r="B747" s="77" t="n">
        <v>2025</v>
      </c>
      <c r="C747" s="77" t="inlineStr">
        <is>
          <t>large</t>
        </is>
      </c>
      <c r="D747" s="77" t="inlineStr">
        <is>
          <t>E1</t>
        </is>
      </c>
      <c r="E747" s="77" t="inlineStr">
        <is>
          <t>Netzentgelte HoeS (LP+AP)</t>
        </is>
      </c>
      <c r="F747" s="77" t="inlineStr">
        <is>
          <t>3 Network</t>
        </is>
      </c>
      <c r="G747" s="77" t="inlineStr">
        <is>
          <t>transmission network charge</t>
        </is>
      </c>
      <c r="H747" s="77" t="inlineStr">
        <is>
          <t>i</t>
        </is>
      </c>
      <c r="I747" s="77">
        <f>IF(ISNUMBER(N747),N747*fx_deflator!$J$20*fx_deflator!$M$20,"")</f>
        <v/>
      </c>
      <c r="J747" s="77" t="inlineStr">
        <is>
          <t>Amprion Preisblatt archive; netztransparenz joint UeNB-Preisblatt (bundeseinheitlich 2023+)</t>
        </is>
      </c>
      <c r="K747" s="77" t="inlineStr">
        <is>
          <t>stage4_de r11-12</t>
        </is>
      </c>
      <c r="L747" s="77" t="inlineStr">
        <is>
          <t>2026-07-15</t>
        </is>
      </c>
      <c r="M747" s="77" t="inlineStr">
        <is>
          <t>N</t>
        </is>
      </c>
      <c r="N747" s="136">
        <f>IF(ISNUMBER(timeseries!S33),timeseries!S33,"")</f>
        <v/>
      </c>
      <c r="O747" s="77" t="inlineStr">
        <is>
          <t>EUR/MWh nominal</t>
        </is>
      </c>
    </row>
    <row r="748" ht="15" customHeight="1" s="78">
      <c r="A748" s="77" t="inlineStr">
        <is>
          <t>DE</t>
        </is>
      </c>
      <c r="B748" s="77" t="n">
        <v>2025</v>
      </c>
      <c r="C748" s="77" t="inlineStr">
        <is>
          <t>large</t>
        </is>
      </c>
      <c r="D748" s="77" t="inlineStr">
        <is>
          <t>E1</t>
        </is>
      </c>
      <c r="E748" s="77" t="inlineStr">
        <is>
          <t>EEG-Umlage (full, non-privileged)</t>
        </is>
      </c>
      <c r="F748" s="77" t="inlineStr">
        <is>
          <t>2 Gen capital recovery</t>
        </is>
      </c>
      <c r="G748" s="77" t="inlineStr">
        <is>
          <t>renewables levy (Umlage)</t>
        </is>
      </c>
      <c r="H748" s="77" t="inlineStr">
        <is>
          <t>i (0 from 07/2022 — cost moved to taxpayer, see HATCH iii row)</t>
        </is>
      </c>
      <c r="I748" s="77">
        <f>IF(ISNUMBER(N748),N748*fx_deflator!$J$20*fx_deflator!$M$20,"")</f>
        <v/>
      </c>
      <c r="J748" s="77" t="inlineStr">
        <is>
          <t>netztransparenz.de EEG-Umlagen der Vorjahre + per-year pages</t>
        </is>
      </c>
      <c r="K748" s="77" t="inlineStr">
        <is>
          <t>stage4_de r21</t>
        </is>
      </c>
      <c r="L748" s="77" t="inlineStr">
        <is>
          <t>2026-07-15</t>
        </is>
      </c>
      <c r="M748" s="77" t="inlineStr">
        <is>
          <t>N</t>
        </is>
      </c>
      <c r="N748" s="136">
        <f>IF(ISNUMBER(timeseries!S35),timeseries!S35,"")</f>
        <v/>
      </c>
      <c r="O748" s="77" t="inlineStr">
        <is>
          <t>EUR/MWh nominal</t>
        </is>
      </c>
    </row>
    <row r="749" ht="15" customHeight="1" s="78">
      <c r="A749" s="77" t="inlineStr">
        <is>
          <t>DE</t>
        </is>
      </c>
      <c r="B749" s="77" t="n">
        <v>2025</v>
      </c>
      <c r="C749" s="77" t="inlineStr">
        <is>
          <t>large</t>
        </is>
      </c>
      <c r="D749" s="77" t="inlineStr">
        <is>
          <t>E1</t>
        </is>
      </c>
      <c r="E749" s="77" t="inlineStr">
        <is>
          <t>KWKG-Umlage</t>
        </is>
      </c>
      <c r="F749" s="77" t="inlineStr">
        <is>
          <t>2 Gen capital recovery</t>
        </is>
      </c>
      <c r="G749" s="77" t="inlineStr">
        <is>
          <t>CHP levy (Umlage)</t>
        </is>
      </c>
      <c r="H749" s="77" t="inlineStr">
        <is>
          <t>i</t>
        </is>
      </c>
      <c r="I749" s="77">
        <f>IF(ISNUMBER(N749),N749*fx_deflator!$J$20*fx_deflator!$M$20,"")</f>
        <v/>
      </c>
      <c r="J749" s="77" t="inlineStr">
        <is>
          <t>netztransparenz Uebersicht KWKG-Aufschlaege 2002-2016 + per-year pages; tranche blends</t>
        </is>
      </c>
      <c r="K749" s="77" t="inlineStr">
        <is>
          <t>stage4_de r22-24</t>
        </is>
      </c>
      <c r="L749" s="77" t="inlineStr">
        <is>
          <t>2026-07-15</t>
        </is>
      </c>
      <c r="M749" s="77" t="inlineStr">
        <is>
          <t>Y</t>
        </is>
      </c>
      <c r="N749" s="136">
        <f>IF(ISNUMBER(timeseries!S36),timeseries!S36,"")</f>
        <v/>
      </c>
      <c r="O749" s="77" t="inlineStr">
        <is>
          <t>EUR/MWh nominal</t>
        </is>
      </c>
    </row>
    <row r="750" ht="15" customHeight="1" s="78">
      <c r="A750" s="77" t="inlineStr">
        <is>
          <t>DE</t>
        </is>
      </c>
      <c r="B750" s="77" t="n">
        <v>2025</v>
      </c>
      <c r="C750" s="77" t="inlineStr">
        <is>
          <t>large</t>
        </is>
      </c>
      <c r="D750" s="77" t="inlineStr">
        <is>
          <t>E1</t>
        </is>
      </c>
      <c r="E750" s="77" t="inlineStr">
        <is>
          <t>sec.19 StromNEV-Umlage</t>
        </is>
      </c>
      <c r="F750" s="77" t="inlineStr">
        <is>
          <t>4 System services &amp; balancing</t>
        </is>
      </c>
      <c r="G750" s="77" t="inlineStr">
        <is>
          <t>network levy (Umlage)</t>
        </is>
      </c>
      <c r="H750" s="77" t="inlineStr">
        <is>
          <t>ii (pays for other users net-charge relief)</t>
        </is>
      </c>
      <c r="I750" s="77">
        <f>IF(ISNUMBER(N750),N750*fx_deflator!$J$20*fx_deflator!$M$20,"")</f>
        <v/>
      </c>
      <c r="J750" s="77" t="inlineStr">
        <is>
          <t>netztransparenz per-year Umlagen pages (A-prime/B-prime/C-prime)</t>
        </is>
      </c>
      <c r="K750" s="77" t="inlineStr">
        <is>
          <t>stage4_de r25-27</t>
        </is>
      </c>
      <c r="L750" s="77" t="inlineStr">
        <is>
          <t>2026-07-15</t>
        </is>
      </c>
      <c r="M750" s="77" t="inlineStr">
        <is>
          <t>Y</t>
        </is>
      </c>
      <c r="N750" s="136">
        <f>IF(ISNUMBER(timeseries!S37),timeseries!S37,"")</f>
        <v/>
      </c>
      <c r="O750" s="77" t="inlineStr">
        <is>
          <t>EUR/MWh nominal</t>
        </is>
      </c>
    </row>
    <row r="751" ht="15" customHeight="1" s="78">
      <c r="A751" s="77" t="inlineStr">
        <is>
          <t>DE</t>
        </is>
      </c>
      <c r="B751" s="77" t="n">
        <v>2025</v>
      </c>
      <c r="C751" s="77" t="inlineStr">
        <is>
          <t>large</t>
        </is>
      </c>
      <c r="D751" s="77" t="inlineStr">
        <is>
          <t>E1</t>
        </is>
      </c>
      <c r="E751" s="77" t="inlineStr">
        <is>
          <t>Offshore-Netzumlage</t>
        </is>
      </c>
      <c r="F751" s="77" t="inlineStr">
        <is>
          <t>2 Gen capital recovery</t>
        </is>
      </c>
      <c r="G751" s="77" t="inlineStr">
        <is>
          <t>offshore grid levy (Umlage)</t>
        </is>
      </c>
      <c r="H751" s="77" t="inlineStr">
        <is>
          <t>i</t>
        </is>
      </c>
      <c r="I751" s="77">
        <f>IF(ISNUMBER(N751),N751*fx_deflator!$J$20*fx_deflator!$M$20,"")</f>
        <v/>
      </c>
      <c r="J751" s="77" t="inlineStr">
        <is>
          <t>netztransparenz Offshore-Umlage per-year pages</t>
        </is>
      </c>
      <c r="K751" s="77" t="inlineStr">
        <is>
          <t>stage4_de r28-30</t>
        </is>
      </c>
      <c r="L751" s="77" t="inlineStr">
        <is>
          <t>2026-07-15</t>
        </is>
      </c>
      <c r="M751" s="77" t="inlineStr">
        <is>
          <t>Y</t>
        </is>
      </c>
      <c r="N751" s="136">
        <f>IF(ISNUMBER(timeseries!S38),timeseries!S38,"")</f>
        <v/>
      </c>
      <c r="O751" s="77" t="inlineStr">
        <is>
          <t>EUR/MWh nominal</t>
        </is>
      </c>
    </row>
    <row r="752" ht="15" customHeight="1" s="78">
      <c r="A752" s="77" t="inlineStr">
        <is>
          <t>DE</t>
        </is>
      </c>
      <c r="B752" s="77" t="n">
        <v>2025</v>
      </c>
      <c r="C752" s="77" t="inlineStr">
        <is>
          <t>large</t>
        </is>
      </c>
      <c r="D752" s="77" t="inlineStr">
        <is>
          <t>E1</t>
        </is>
      </c>
      <c r="E752" s="77" t="inlineStr">
        <is>
          <t>AbLaV-Umlage</t>
        </is>
      </c>
      <c r="F752" s="77" t="inlineStr">
        <is>
          <t>4 System services &amp; balancing</t>
        </is>
      </c>
      <c r="G752" s="77" t="inlineStr">
        <is>
          <t>interruptible-load levy (Umlage)</t>
        </is>
      </c>
      <c r="H752" s="77" t="inlineStr">
        <is>
          <t>i</t>
        </is>
      </c>
      <c r="I752" s="77">
        <f>IF(ISNUMBER(N752),N752*fx_deflator!$J$20*fx_deflator!$M$20,"")</f>
        <v/>
      </c>
      <c r="J752" s="77" t="inlineStr">
        <is>
          <t>netztransparenz AbLaV-Umlage per-year pages (ends 2022)</t>
        </is>
      </c>
      <c r="K752" s="77" t="inlineStr">
        <is>
          <t>stage4_de r31</t>
        </is>
      </c>
      <c r="L752" s="77" t="inlineStr">
        <is>
          <t>2026-07-15</t>
        </is>
      </c>
      <c r="M752" s="77" t="inlineStr">
        <is>
          <t>N</t>
        </is>
      </c>
      <c r="N752" s="136">
        <f>IF(ISNUMBER(timeseries!S39),timeseries!S39,"")</f>
        <v/>
      </c>
      <c r="O752" s="77" t="inlineStr">
        <is>
          <t>EUR/MWh nominal</t>
        </is>
      </c>
    </row>
    <row r="753" ht="15" customHeight="1" s="78">
      <c r="A753" s="77" t="inlineStr">
        <is>
          <t>DE</t>
        </is>
      </c>
      <c r="B753" s="77" t="n">
        <v>2025</v>
      </c>
      <c r="C753" s="77" t="inlineStr">
        <is>
          <t>large</t>
        </is>
      </c>
      <c r="D753" s="77" t="inlineStr">
        <is>
          <t>E1</t>
        </is>
      </c>
      <c r="E753" s="77" t="inlineStr">
        <is>
          <t>Stromsteuer (full sec.3 rate)</t>
        </is>
      </c>
      <c r="F753" s="77" t="inlineStr">
        <is>
          <t>5 General taxation &amp; levies</t>
        </is>
      </c>
      <c r="G753" s="77" t="inlineStr">
        <is>
          <t>electricity tax</t>
        </is>
      </c>
      <c r="H753" s="77" t="inlineStr">
        <is>
          <t>i</t>
        </is>
      </c>
      <c r="I753" s="77">
        <f>IF(ISNUMBER(N753),N753*fx_deflator!$J$20*fx_deflator!$M$20,"")</f>
        <v/>
      </c>
      <c r="J753" s="77" t="inlineStr">
        <is>
          <t>StromStG sec.3/sec.9b (BGBl. 2025 I Nr. 340: 0.50 permanent from 2026); gesetze-im-internet.de</t>
        </is>
      </c>
      <c r="K753" s="77" t="inlineStr">
        <is>
          <t>stage4_de r34-35</t>
        </is>
      </c>
      <c r="L753" s="77" t="inlineStr">
        <is>
          <t>2026-07-15</t>
        </is>
      </c>
      <c r="M753" s="77" t="inlineStr">
        <is>
          <t>N</t>
        </is>
      </c>
      <c r="N753" s="77">
        <f>IF(ISNUMBER(stage4_de!S34),stage4_de!S34,"")</f>
        <v/>
      </c>
      <c r="O753" s="77" t="inlineStr">
        <is>
          <t>EUR/MWh nominal</t>
        </is>
      </c>
    </row>
    <row r="754" ht="15" customHeight="1" s="78">
      <c r="A754" s="77" t="inlineStr">
        <is>
          <t>DE</t>
        </is>
      </c>
      <c r="B754" s="77" t="n">
        <v>2025</v>
      </c>
      <c r="C754" s="77" t="inlineStr">
        <is>
          <t>large</t>
        </is>
      </c>
      <c r="D754" s="77" t="inlineStr">
        <is>
          <t>E1</t>
        </is>
      </c>
      <c r="E754" s="77" t="inlineStr">
        <is>
          <t>Konzessionsabgabe (0 via Grenzpreis rule)</t>
        </is>
      </c>
      <c r="F754" s="77" t="inlineStr">
        <is>
          <t>5 General taxation &amp; levies</t>
        </is>
      </c>
      <c r="G754" s="77" t="inlineStr">
        <is>
          <t>concession fee</t>
        </is>
      </c>
      <c r="H754" s="77" t="inlineStr">
        <is>
          <t>i</t>
        </is>
      </c>
      <c r="I754" s="77">
        <f>IF(ISNUMBER(N754),N754*fx_deflator!$J$20*fx_deflator!$M$20,"")</f>
        <v/>
      </c>
      <c r="J754" s="77" t="inlineStr">
        <is>
          <t>KAV sec.2(3)/(4) Grenzpreis rule -&gt; 0 for Sondervertragskunden</t>
        </is>
      </c>
      <c r="K754" s="77" t="inlineStr">
        <is>
          <t>stage4_de r36</t>
        </is>
      </c>
      <c r="L754" s="77" t="inlineStr">
        <is>
          <t>2026-07-15</t>
        </is>
      </c>
      <c r="M754" s="77" t="inlineStr">
        <is>
          <t>N</t>
        </is>
      </c>
      <c r="N754" s="77">
        <f>IF(ISNUMBER(stage4_de!S36),stage4_de!S36*10,"")</f>
        <v/>
      </c>
      <c r="O754" s="77" t="inlineStr">
        <is>
          <t>EUR/MWh nominal</t>
        </is>
      </c>
    </row>
    <row r="755" ht="15" customHeight="1" s="78">
      <c r="A755" s="77" t="inlineStr">
        <is>
          <t>DE</t>
        </is>
      </c>
      <c r="B755" s="77" t="n">
        <v>2010</v>
      </c>
      <c r="C755" s="77" t="inlineStr">
        <is>
          <t>large</t>
        </is>
      </c>
      <c r="D755" s="77" t="inlineStr">
        <is>
          <t>E2</t>
        </is>
      </c>
      <c r="E755" s="77" t="inlineStr">
        <is>
          <t>KWKG-Umlage (C-prime blend 2016; =E1 other years, D25)</t>
        </is>
      </c>
      <c r="F755" s="77" t="inlineStr">
        <is>
          <t>2 Gen capital recovery</t>
        </is>
      </c>
      <c r="G755" s="77" t="inlineStr">
        <is>
          <t>CHP levy (Umlage)</t>
        </is>
      </c>
      <c r="H755" s="77" t="inlineStr">
        <is>
          <t>i</t>
        </is>
      </c>
      <c r="I755" s="77">
        <f>IF(ISNUMBER(N755),N755*fx_deflator!$J$5*fx_deflator!$M$5,"")</f>
        <v/>
      </c>
      <c r="J755" s="77" t="inlineStr">
        <is>
          <t>netztransparenz Uebersicht KWKG-Aufschlaege 2002-2016 + per-year pages; tranche blends</t>
        </is>
      </c>
      <c r="K755" s="77" t="inlineStr">
        <is>
          <t>stage4_de r22-24</t>
        </is>
      </c>
      <c r="L755" s="77" t="inlineStr">
        <is>
          <t>2026-07-15</t>
        </is>
      </c>
      <c r="M755" s="77" t="inlineStr">
        <is>
          <t>Y</t>
        </is>
      </c>
      <c r="N755" s="136">
        <f>IF(ISNUMBER(timeseries!D47),timeseries!D47,"")</f>
        <v/>
      </c>
      <c r="O755" s="77" t="inlineStr">
        <is>
          <t>EUR/MWh nominal</t>
        </is>
      </c>
    </row>
    <row r="756" ht="15" customHeight="1" s="78">
      <c r="A756" s="77" t="inlineStr">
        <is>
          <t>DE</t>
        </is>
      </c>
      <c r="B756" s="77" t="n">
        <v>2010</v>
      </c>
      <c r="C756" s="77" t="inlineStr">
        <is>
          <t>large</t>
        </is>
      </c>
      <c r="D756" s="77" t="inlineStr">
        <is>
          <t>E2</t>
        </is>
      </c>
      <c r="E756" s="77" t="inlineStr">
        <is>
          <t>Stromsteuer relieved (sec.9(3) 2010; sec.9b 2011+; 0.50 from 2024)</t>
        </is>
      </c>
      <c r="F756" s="77" t="inlineStr">
        <is>
          <t>5 General taxation &amp; levies</t>
        </is>
      </c>
      <c r="G756" s="77" t="inlineStr">
        <is>
          <t>electricity tax</t>
        </is>
      </c>
      <c r="H756" s="77" t="inlineStr">
        <is>
          <t>i (relief = foregone tax, iii)</t>
        </is>
      </c>
      <c r="I756" s="77">
        <f>IF(ISNUMBER(N756),N756*fx_deflator!$J$5*fx_deflator!$M$5,"")</f>
        <v/>
      </c>
      <c r="J756" s="77" t="inlineStr">
        <is>
          <t>StromStG sec.3/sec.9b (BGBl. 2025 I Nr. 340: 0.50 permanent from 2026); gesetze-im-internet.de</t>
        </is>
      </c>
      <c r="K756" s="77" t="inlineStr">
        <is>
          <t>stage4_de r34-35</t>
        </is>
      </c>
      <c r="L756" s="77" t="inlineStr">
        <is>
          <t>2026-07-15</t>
        </is>
      </c>
      <c r="M756" s="77" t="inlineStr">
        <is>
          <t>N</t>
        </is>
      </c>
      <c r="N756" s="77">
        <f>IF(ISNUMBER(stage4_de!D35),stage4_de!D35,"")</f>
        <v/>
      </c>
      <c r="O756" s="77" t="inlineStr">
        <is>
          <t>EUR/MWh nominal</t>
        </is>
      </c>
    </row>
    <row r="757" ht="15" customHeight="1" s="78">
      <c r="A757" s="77" t="inlineStr">
        <is>
          <t>DE</t>
        </is>
      </c>
      <c r="B757" s="77" t="n">
        <v>2010</v>
      </c>
      <c r="C757" s="77" t="inlineStr">
        <is>
          <t>large</t>
        </is>
      </c>
      <c r="D757" s="77" t="inlineStr">
        <is>
          <t>E2</t>
        </is>
      </c>
      <c r="E757" s="77" t="inlineStr">
        <is>
          <t>Konzessionsabgabe (0 via Grenzpreis rule)</t>
        </is>
      </c>
      <c r="F757" s="77" t="inlineStr">
        <is>
          <t>5 General taxation &amp; levies</t>
        </is>
      </c>
      <c r="G757" s="77" t="inlineStr">
        <is>
          <t>concession fee</t>
        </is>
      </c>
      <c r="H757" s="77" t="inlineStr">
        <is>
          <t>i</t>
        </is>
      </c>
      <c r="I757" s="77">
        <f>IF(ISNUMBER(N757),N757*fx_deflator!$J$5*fx_deflator!$M$5,"")</f>
        <v/>
      </c>
      <c r="J757" s="77" t="inlineStr">
        <is>
          <t>KAV sec.2(3)/(4) Grenzpreis rule -&gt; 0 for Sondervertragskunden</t>
        </is>
      </c>
      <c r="K757" s="77" t="inlineStr">
        <is>
          <t>stage4_de r36</t>
        </is>
      </c>
      <c r="L757" s="77" t="inlineStr">
        <is>
          <t>2026-07-15</t>
        </is>
      </c>
      <c r="M757" s="77" t="inlineStr">
        <is>
          <t>N</t>
        </is>
      </c>
      <c r="N757" s="77">
        <f>IF(ISNUMBER(stage4_de!D36),stage4_de!D36*10,"")</f>
        <v/>
      </c>
      <c r="O757" s="77" t="inlineStr">
        <is>
          <t>EUR/MWh nominal</t>
        </is>
      </c>
    </row>
    <row r="758" ht="15" customHeight="1" s="78">
      <c r="A758" s="77" t="inlineStr">
        <is>
          <t>DE</t>
        </is>
      </c>
      <c r="B758" s="77" t="n">
        <v>2011</v>
      </c>
      <c r="C758" s="77" t="inlineStr">
        <is>
          <t>large</t>
        </is>
      </c>
      <c r="D758" s="77" t="inlineStr">
        <is>
          <t>E2</t>
        </is>
      </c>
      <c r="E758" s="77" t="inlineStr">
        <is>
          <t>Wholesale (Phelix base front-year)</t>
        </is>
      </c>
      <c r="F758" s="77" t="inlineStr">
        <is>
          <t>1 Commodity</t>
        </is>
      </c>
      <c r="G758" s="77" t="inlineStr">
        <is>
          <t>wholesale market</t>
        </is>
      </c>
      <c r="H758" s="77" t="inlineStr">
        <is>
          <t>i</t>
        </is>
      </c>
      <c r="I758" s="77">
        <f>IF(ISNUMBER(N758),N758*fx_deflator!$J$6*fx_deflator!$M$6,"")</f>
        <v/>
      </c>
      <c r="J758" s="77" t="inlineStr">
        <is>
          <t>BNetzA Monitoringberichte — Phelix base front-year by trading yr -&gt; delivery yr; 2026 = D29</t>
        </is>
      </c>
      <c r="K758" s="77" t="inlineStr">
        <is>
          <t>stage4_de r7</t>
        </is>
      </c>
      <c r="L758" s="77" t="inlineStr">
        <is>
          <t>2026-07-15</t>
        </is>
      </c>
      <c r="M758" s="77" t="inlineStr">
        <is>
          <t>Y</t>
        </is>
      </c>
      <c r="N758" s="136">
        <f>IF(ISNUMBER(timeseries!E32),timeseries!E32,"")</f>
        <v/>
      </c>
      <c r="O758" s="77" t="inlineStr">
        <is>
          <t>EUR/MWh nominal</t>
        </is>
      </c>
    </row>
    <row r="759" ht="15" customHeight="1" s="78">
      <c r="A759" s="77" t="inlineStr">
        <is>
          <t>DE</t>
        </is>
      </c>
      <c r="B759" s="77" t="n">
        <v>2011</v>
      </c>
      <c r="C759" s="77" t="inlineStr">
        <is>
          <t>large</t>
        </is>
      </c>
      <c r="D759" s="77" t="inlineStr">
        <is>
          <t>E2</t>
        </is>
      </c>
      <c r="E759" s="77" t="inlineStr">
        <is>
          <t>Netzentgelte HoeS after sec.19(2) individual charge (D8 central; band low=10 pct floor, high=full tariff)</t>
        </is>
      </c>
      <c r="F759" s="77" t="inlineStr">
        <is>
          <t>3 Network</t>
        </is>
      </c>
      <c r="G759" s="77" t="inlineStr">
        <is>
          <t>transmission network charge</t>
        </is>
      </c>
      <c r="H759" s="77" t="inlineStr">
        <is>
          <t>i (relief funded via sec.19-Umlage = ii instrument)</t>
        </is>
      </c>
      <c r="I759" s="77">
        <f>IF(ISNUMBER(N759),N759*fx_deflator!$J$6*fx_deflator!$M$6,"")</f>
        <v/>
      </c>
      <c r="J759" s="77" t="inlineStr">
        <is>
          <t>D8 method: published tariff x (1-0.76) — AgNes 68-HS-site avg Bandlast rebate; band never deleted</t>
        </is>
      </c>
      <c r="K759" s="77" t="inlineStr">
        <is>
          <t>stage4_de r11-12; AgNes GBK-25-01-1#3</t>
        </is>
      </c>
      <c r="L759" s="77" t="inlineStr">
        <is>
          <t>2026-07-15</t>
        </is>
      </c>
      <c r="M759" s="77" t="inlineStr">
        <is>
          <t>Y</t>
        </is>
      </c>
      <c r="N759" s="77">
        <f>IF(ISNUMBER(timeseries!E42),timeseries!E42,"")</f>
        <v/>
      </c>
      <c r="O759" s="77" t="inlineStr">
        <is>
          <t>EUR/MWh nominal</t>
        </is>
      </c>
      <c r="P759" s="77" t="inlineStr">
        <is>
          <t>2011=0 (exemption era, D32); NEVER delete the band (timeseries r43-44)</t>
        </is>
      </c>
    </row>
    <row r="760" ht="15" customHeight="1" s="78">
      <c r="A760" s="77" t="inlineStr">
        <is>
          <t>DE</t>
        </is>
      </c>
      <c r="B760" s="77" t="n">
        <v>2011</v>
      </c>
      <c r="C760" s="77" t="inlineStr">
        <is>
          <t>large</t>
        </is>
      </c>
      <c r="D760" s="77" t="inlineStr">
        <is>
          <t>E2</t>
        </is>
      </c>
      <c r="E760" s="77" t="inlineStr">
        <is>
          <t>KWKG-Umlage (C-prime blend 2016; =E1 other years, D25)</t>
        </is>
      </c>
      <c r="F760" s="77" t="inlineStr">
        <is>
          <t>2 Gen capital recovery</t>
        </is>
      </c>
      <c r="G760" s="77" t="inlineStr">
        <is>
          <t>CHP levy (Umlage)</t>
        </is>
      </c>
      <c r="H760" s="77" t="inlineStr">
        <is>
          <t>i</t>
        </is>
      </c>
      <c r="I760" s="77">
        <f>IF(ISNUMBER(N760),N760*fx_deflator!$J$6*fx_deflator!$M$6,"")</f>
        <v/>
      </c>
      <c r="J760" s="77" t="inlineStr">
        <is>
          <t>netztransparenz Uebersicht KWKG-Aufschlaege 2002-2016 + per-year pages; tranche blends</t>
        </is>
      </c>
      <c r="K760" s="77" t="inlineStr">
        <is>
          <t>stage4_de r22-24</t>
        </is>
      </c>
      <c r="L760" s="77" t="inlineStr">
        <is>
          <t>2026-07-15</t>
        </is>
      </c>
      <c r="M760" s="77" t="inlineStr">
        <is>
          <t>Y</t>
        </is>
      </c>
      <c r="N760" s="136">
        <f>IF(ISNUMBER(timeseries!E47),timeseries!E47,"")</f>
        <v/>
      </c>
      <c r="O760" s="77" t="inlineStr">
        <is>
          <t>EUR/MWh nominal</t>
        </is>
      </c>
    </row>
    <row r="761" ht="15" customHeight="1" s="78">
      <c r="A761" s="77" t="inlineStr">
        <is>
          <t>DE</t>
        </is>
      </c>
      <c r="B761" s="77" t="n">
        <v>2011</v>
      </c>
      <c r="C761" s="77" t="inlineStr">
        <is>
          <t>large</t>
        </is>
      </c>
      <c r="D761" s="77" t="inlineStr">
        <is>
          <t>E2</t>
        </is>
      </c>
      <c r="E761" s="77" t="inlineStr">
        <is>
          <t>Stromsteuer relieved (sec.9(3) 2010; sec.9b 2011+; 0.50 from 2024)</t>
        </is>
      </c>
      <c r="F761" s="77" t="inlineStr">
        <is>
          <t>5 General taxation &amp; levies</t>
        </is>
      </c>
      <c r="G761" s="77" t="inlineStr">
        <is>
          <t>electricity tax</t>
        </is>
      </c>
      <c r="H761" s="77" t="inlineStr">
        <is>
          <t>i (relief = foregone tax, iii)</t>
        </is>
      </c>
      <c r="I761" s="77">
        <f>IF(ISNUMBER(N761),N761*fx_deflator!$J$6*fx_deflator!$M$6,"")</f>
        <v/>
      </c>
      <c r="J761" s="77" t="inlineStr">
        <is>
          <t>StromStG sec.3/sec.9b (BGBl. 2025 I Nr. 340: 0.50 permanent from 2026); gesetze-im-internet.de</t>
        </is>
      </c>
      <c r="K761" s="77" t="inlineStr">
        <is>
          <t>stage4_de r34-35</t>
        </is>
      </c>
      <c r="L761" s="77" t="inlineStr">
        <is>
          <t>2026-07-15</t>
        </is>
      </c>
      <c r="M761" s="77" t="inlineStr">
        <is>
          <t>N</t>
        </is>
      </c>
      <c r="N761" s="77">
        <f>IF(ISNUMBER(stage4_de!E35),stage4_de!E35,"")</f>
        <v/>
      </c>
      <c r="O761" s="77" t="inlineStr">
        <is>
          <t>EUR/MWh nominal</t>
        </is>
      </c>
    </row>
    <row r="762" ht="15" customHeight="1" s="78">
      <c r="A762" s="77" t="inlineStr">
        <is>
          <t>DE</t>
        </is>
      </c>
      <c r="B762" s="77" t="n">
        <v>2011</v>
      </c>
      <c r="C762" s="77" t="inlineStr">
        <is>
          <t>large</t>
        </is>
      </c>
      <c r="D762" s="77" t="inlineStr">
        <is>
          <t>E2</t>
        </is>
      </c>
      <c r="E762" s="77" t="inlineStr">
        <is>
          <t>Konzessionsabgabe (0 via Grenzpreis rule)</t>
        </is>
      </c>
      <c r="F762" s="77" t="inlineStr">
        <is>
          <t>5 General taxation &amp; levies</t>
        </is>
      </c>
      <c r="G762" s="77" t="inlineStr">
        <is>
          <t>concession fee</t>
        </is>
      </c>
      <c r="H762" s="77" t="inlineStr">
        <is>
          <t>i</t>
        </is>
      </c>
      <c r="I762" s="77">
        <f>IF(ISNUMBER(N762),N762*fx_deflator!$J$6*fx_deflator!$M$6,"")</f>
        <v/>
      </c>
      <c r="J762" s="77" t="inlineStr">
        <is>
          <t>KAV sec.2(3)/(4) Grenzpreis rule -&gt; 0 for Sondervertragskunden</t>
        </is>
      </c>
      <c r="K762" s="77" t="inlineStr">
        <is>
          <t>stage4_de r36</t>
        </is>
      </c>
      <c r="L762" s="77" t="inlineStr">
        <is>
          <t>2026-07-15</t>
        </is>
      </c>
      <c r="M762" s="77" t="inlineStr">
        <is>
          <t>N</t>
        </is>
      </c>
      <c r="N762" s="77">
        <f>IF(ISNUMBER(stage4_de!E36),stage4_de!E36*10,"")</f>
        <v/>
      </c>
      <c r="O762" s="77" t="inlineStr">
        <is>
          <t>EUR/MWh nominal</t>
        </is>
      </c>
    </row>
    <row r="763" ht="15" customHeight="1" s="78">
      <c r="A763" s="77" t="inlineStr">
        <is>
          <t>DE</t>
        </is>
      </c>
      <c r="B763" s="77" t="n">
        <v>2012</v>
      </c>
      <c r="C763" s="77" t="inlineStr">
        <is>
          <t>large</t>
        </is>
      </c>
      <c r="D763" s="77" t="inlineStr">
        <is>
          <t>E2</t>
        </is>
      </c>
      <c r="E763" s="77" t="inlineStr">
        <is>
          <t>Wholesale (Phelix base front-year)</t>
        </is>
      </c>
      <c r="F763" s="77" t="inlineStr">
        <is>
          <t>1 Commodity</t>
        </is>
      </c>
      <c r="G763" s="77" t="inlineStr">
        <is>
          <t>wholesale market</t>
        </is>
      </c>
      <c r="H763" s="77" t="inlineStr">
        <is>
          <t>i</t>
        </is>
      </c>
      <c r="I763" s="77">
        <f>IF(ISNUMBER(N763),N763*fx_deflator!$J$7*fx_deflator!$M$7,"")</f>
        <v/>
      </c>
      <c r="J763" s="77" t="inlineStr">
        <is>
          <t>BNetzA Monitoringberichte — Phelix base front-year by trading yr -&gt; delivery yr; 2026 = D29</t>
        </is>
      </c>
      <c r="K763" s="77" t="inlineStr">
        <is>
          <t>stage4_de r7</t>
        </is>
      </c>
      <c r="L763" s="77" t="inlineStr">
        <is>
          <t>2026-07-15</t>
        </is>
      </c>
      <c r="M763" s="77" t="inlineStr">
        <is>
          <t>Y</t>
        </is>
      </c>
      <c r="N763" s="136">
        <f>IF(ISNUMBER(timeseries!F32),timeseries!F32,"")</f>
        <v/>
      </c>
      <c r="O763" s="77" t="inlineStr">
        <is>
          <t>EUR/MWh nominal</t>
        </is>
      </c>
    </row>
    <row r="764" ht="15" customHeight="1" s="78">
      <c r="A764" s="77" t="inlineStr">
        <is>
          <t>DE</t>
        </is>
      </c>
      <c r="B764" s="77" t="n">
        <v>2012</v>
      </c>
      <c r="C764" s="77" t="inlineStr">
        <is>
          <t>large</t>
        </is>
      </c>
      <c r="D764" s="77" t="inlineStr">
        <is>
          <t>E2</t>
        </is>
      </c>
      <c r="E764" s="77" t="inlineStr">
        <is>
          <t>Netzentgelte HoeS after sec.19(2) individual charge (D8 central; band low=10 pct floor, high=full tariff)</t>
        </is>
      </c>
      <c r="F764" s="77" t="inlineStr">
        <is>
          <t>3 Network</t>
        </is>
      </c>
      <c r="G764" s="77" t="inlineStr">
        <is>
          <t>transmission network charge</t>
        </is>
      </c>
      <c r="H764" s="77" t="inlineStr">
        <is>
          <t>i (relief funded via sec.19-Umlage = ii instrument)</t>
        </is>
      </c>
      <c r="I764" s="77">
        <f>IF(ISNUMBER(N764),N764*fx_deflator!$J$7*fx_deflator!$M$7,"")</f>
        <v/>
      </c>
      <c r="J764" s="77" t="inlineStr">
        <is>
          <t>D8 method: published tariff x (1-0.76) — AgNes 68-HS-site avg Bandlast rebate; band never deleted</t>
        </is>
      </c>
      <c r="K764" s="77" t="inlineStr">
        <is>
          <t>stage4_de r11-12; AgNes GBK-25-01-1#3</t>
        </is>
      </c>
      <c r="L764" s="77" t="inlineStr">
        <is>
          <t>2026-07-15</t>
        </is>
      </c>
      <c r="M764" s="77" t="inlineStr">
        <is>
          <t>Y</t>
        </is>
      </c>
      <c r="N764" s="77">
        <f>IF(ISNUMBER(timeseries!F42),timeseries!F42,"")</f>
        <v/>
      </c>
      <c r="O764" s="77" t="inlineStr">
        <is>
          <t>EUR/MWh nominal</t>
        </is>
      </c>
      <c r="P764" s="77" t="inlineStr">
        <is>
          <t>2011=0 (exemption era, D32); NEVER delete the band (timeseries r43-44)</t>
        </is>
      </c>
    </row>
    <row r="765" ht="15" customHeight="1" s="78">
      <c r="A765" s="77" t="inlineStr">
        <is>
          <t>DE</t>
        </is>
      </c>
      <c r="B765" s="77" t="n">
        <v>2012</v>
      </c>
      <c r="C765" s="77" t="inlineStr">
        <is>
          <t>large</t>
        </is>
      </c>
      <c r="D765" s="77" t="inlineStr">
        <is>
          <t>E2</t>
        </is>
      </c>
      <c r="E765" s="77" t="inlineStr">
        <is>
          <t>EEG-Umlage after BesAR (0.05 ct floor era-central)</t>
        </is>
      </c>
      <c r="F765" s="77" t="inlineStr">
        <is>
          <t>2 Gen capital recovery</t>
        </is>
      </c>
      <c r="G765" s="77" t="inlineStr">
        <is>
          <t>renewables levy (Umlage)</t>
        </is>
      </c>
      <c r="H765" s="77" t="inlineStr">
        <is>
          <t>i (relief socialised via Umlage on others = ii)</t>
        </is>
      </c>
      <c r="I765" s="77">
        <f>IF(ISNUMBER(N765),N765*fx_deflator!$J$7*fx_deflator!$M$7,"")</f>
        <v/>
      </c>
      <c r="J765" s="77" t="inlineStr">
        <is>
          <t>EEG 2012 sec.41 / EEG 2014+ sec.64 (BesAR); D24/D25 conventions</t>
        </is>
      </c>
      <c r="K765" s="77" t="inlineStr">
        <is>
          <t>stage4_de r21 + timeseries r45/62</t>
        </is>
      </c>
      <c r="L765" s="77" t="inlineStr">
        <is>
          <t>2026-07-15</t>
        </is>
      </c>
      <c r="M765" s="77" t="inlineStr">
        <is>
          <t>Y</t>
        </is>
      </c>
      <c r="N765" s="136">
        <f>IF(ISNUMBER(timeseries!F45),timeseries!F45,"")</f>
        <v/>
      </c>
      <c r="O765" s="77" t="inlineStr">
        <is>
          <t>EUR/MWh nominal</t>
        </is>
      </c>
    </row>
    <row r="766" ht="15" customHeight="1" s="78">
      <c r="A766" s="77" t="inlineStr">
        <is>
          <t>DE</t>
        </is>
      </c>
      <c r="B766" s="77" t="n">
        <v>2012</v>
      </c>
      <c r="C766" s="77" t="inlineStr">
        <is>
          <t>large</t>
        </is>
      </c>
      <c r="D766" s="77" t="inlineStr">
        <is>
          <t>E2</t>
        </is>
      </c>
      <c r="E766" s="77" t="inlineStr">
        <is>
          <t>KWKG-Umlage (C-prime blend 2016; =E1 other years, D25)</t>
        </is>
      </c>
      <c r="F766" s="77" t="inlineStr">
        <is>
          <t>2 Gen capital recovery</t>
        </is>
      </c>
      <c r="G766" s="77" t="inlineStr">
        <is>
          <t>CHP levy (Umlage)</t>
        </is>
      </c>
      <c r="H766" s="77" t="inlineStr">
        <is>
          <t>i</t>
        </is>
      </c>
      <c r="I766" s="77">
        <f>IF(ISNUMBER(N766),N766*fx_deflator!$J$7*fx_deflator!$M$7,"")</f>
        <v/>
      </c>
      <c r="J766" s="77" t="inlineStr">
        <is>
          <t>netztransparenz Uebersicht KWKG-Aufschlaege 2002-2016 + per-year pages; tranche blends</t>
        </is>
      </c>
      <c r="K766" s="77" t="inlineStr">
        <is>
          <t>stage4_de r22-24</t>
        </is>
      </c>
      <c r="L766" s="77" t="inlineStr">
        <is>
          <t>2026-07-15</t>
        </is>
      </c>
      <c r="M766" s="77" t="inlineStr">
        <is>
          <t>Y</t>
        </is>
      </c>
      <c r="N766" s="136">
        <f>IF(ISNUMBER(timeseries!F47),timeseries!F47,"")</f>
        <v/>
      </c>
      <c r="O766" s="77" t="inlineStr">
        <is>
          <t>EUR/MWh nominal</t>
        </is>
      </c>
    </row>
    <row r="767" ht="15" customHeight="1" s="78">
      <c r="A767" s="77" t="inlineStr">
        <is>
          <t>DE</t>
        </is>
      </c>
      <c r="B767" s="77" t="n">
        <v>2012</v>
      </c>
      <c r="C767" s="77" t="inlineStr">
        <is>
          <t>large</t>
        </is>
      </c>
      <c r="D767" s="77" t="inlineStr">
        <is>
          <t>E2</t>
        </is>
      </c>
      <c r="E767" s="77" t="inlineStr">
        <is>
          <t>sec.19 StromNEV-Umlage (C-prime blend)</t>
        </is>
      </c>
      <c r="F767" s="77" t="inlineStr">
        <is>
          <t>4 System services &amp; balancing</t>
        </is>
      </c>
      <c r="G767" s="77" t="inlineStr">
        <is>
          <t>network levy (Umlage)</t>
        </is>
      </c>
      <c r="H767" s="77" t="inlineStr">
        <is>
          <t>ii (pays for other users net-charge relief)</t>
        </is>
      </c>
      <c r="I767" s="77">
        <f>IF(ISNUMBER(N767),N767*fx_deflator!$J$7*fx_deflator!$M$7,"")</f>
        <v/>
      </c>
      <c r="J767" s="77" t="inlineStr">
        <is>
          <t>netztransparenz per-year Umlagen pages (A-prime/B-prime/C-prime)</t>
        </is>
      </c>
      <c r="K767" s="77" t="inlineStr">
        <is>
          <t>stage4_de r25-27</t>
        </is>
      </c>
      <c r="L767" s="77" t="inlineStr">
        <is>
          <t>2026-07-15</t>
        </is>
      </c>
      <c r="M767" s="77" t="inlineStr">
        <is>
          <t>Y</t>
        </is>
      </c>
      <c r="N767" s="136">
        <f>IF(ISNUMBER(timeseries!F48),timeseries!F48,"")</f>
        <v/>
      </c>
      <c r="O767" s="77" t="inlineStr">
        <is>
          <t>EUR/MWh nominal</t>
        </is>
      </c>
    </row>
    <row r="768" ht="15" customHeight="1" s="78">
      <c r="A768" s="77" t="inlineStr">
        <is>
          <t>DE</t>
        </is>
      </c>
      <c r="B768" s="77" t="n">
        <v>2012</v>
      </c>
      <c r="C768" s="77" t="inlineStr">
        <is>
          <t>large</t>
        </is>
      </c>
      <c r="D768" s="77" t="inlineStr">
        <is>
          <t>E2</t>
        </is>
      </c>
      <c r="E768" s="77" t="inlineStr">
        <is>
          <t>Stromsteuer relieved (sec.9(3) 2010; sec.9b 2011+; 0.50 from 2024)</t>
        </is>
      </c>
      <c r="F768" s="77" t="inlineStr">
        <is>
          <t>5 General taxation &amp; levies</t>
        </is>
      </c>
      <c r="G768" s="77" t="inlineStr">
        <is>
          <t>electricity tax</t>
        </is>
      </c>
      <c r="H768" s="77" t="inlineStr">
        <is>
          <t>i (relief = foregone tax, iii)</t>
        </is>
      </c>
      <c r="I768" s="77">
        <f>IF(ISNUMBER(N768),N768*fx_deflator!$J$7*fx_deflator!$M$7,"")</f>
        <v/>
      </c>
      <c r="J768" s="77" t="inlineStr">
        <is>
          <t>StromStG sec.3/sec.9b (BGBl. 2025 I Nr. 340: 0.50 permanent from 2026); gesetze-im-internet.de</t>
        </is>
      </c>
      <c r="K768" s="77" t="inlineStr">
        <is>
          <t>stage4_de r34-35</t>
        </is>
      </c>
      <c r="L768" s="77" t="inlineStr">
        <is>
          <t>2026-07-15</t>
        </is>
      </c>
      <c r="M768" s="77" t="inlineStr">
        <is>
          <t>N</t>
        </is>
      </c>
      <c r="N768" s="77">
        <f>IF(ISNUMBER(stage4_de!F35),stage4_de!F35,"")</f>
        <v/>
      </c>
      <c r="O768" s="77" t="inlineStr">
        <is>
          <t>EUR/MWh nominal</t>
        </is>
      </c>
    </row>
    <row r="769" ht="15" customHeight="1" s="78">
      <c r="A769" s="77" t="inlineStr">
        <is>
          <t>DE</t>
        </is>
      </c>
      <c r="B769" s="77" t="n">
        <v>2012</v>
      </c>
      <c r="C769" s="77" t="inlineStr">
        <is>
          <t>large</t>
        </is>
      </c>
      <c r="D769" s="77" t="inlineStr">
        <is>
          <t>E2</t>
        </is>
      </c>
      <c r="E769" s="77" t="inlineStr">
        <is>
          <t>Konzessionsabgabe (0 via Grenzpreis rule)</t>
        </is>
      </c>
      <c r="F769" s="77" t="inlineStr">
        <is>
          <t>5 General taxation &amp; levies</t>
        </is>
      </c>
      <c r="G769" s="77" t="inlineStr">
        <is>
          <t>concession fee</t>
        </is>
      </c>
      <c r="H769" s="77" t="inlineStr">
        <is>
          <t>i</t>
        </is>
      </c>
      <c r="I769" s="77">
        <f>IF(ISNUMBER(N769),N769*fx_deflator!$J$7*fx_deflator!$M$7,"")</f>
        <v/>
      </c>
      <c r="J769" s="77" t="inlineStr">
        <is>
          <t>KAV sec.2(3)/(4) Grenzpreis rule -&gt; 0 for Sondervertragskunden</t>
        </is>
      </c>
      <c r="K769" s="77" t="inlineStr">
        <is>
          <t>stage4_de r36</t>
        </is>
      </c>
      <c r="L769" s="77" t="inlineStr">
        <is>
          <t>2026-07-15</t>
        </is>
      </c>
      <c r="M769" s="77" t="inlineStr">
        <is>
          <t>N</t>
        </is>
      </c>
      <c r="N769" s="77">
        <f>IF(ISNUMBER(stage4_de!F36),stage4_de!F36*10,"")</f>
        <v/>
      </c>
      <c r="O769" s="77" t="inlineStr">
        <is>
          <t>EUR/MWh nominal</t>
        </is>
      </c>
    </row>
    <row r="770" ht="15" customHeight="1" s="78">
      <c r="A770" s="77" t="inlineStr">
        <is>
          <t>DE</t>
        </is>
      </c>
      <c r="B770" s="77" t="n">
        <v>2013</v>
      </c>
      <c r="C770" s="77" t="inlineStr">
        <is>
          <t>large</t>
        </is>
      </c>
      <c r="D770" s="77" t="inlineStr">
        <is>
          <t>E2</t>
        </is>
      </c>
      <c r="E770" s="77" t="inlineStr">
        <is>
          <t>Wholesale (Phelix base front-year)</t>
        </is>
      </c>
      <c r="F770" s="77" t="inlineStr">
        <is>
          <t>1 Commodity</t>
        </is>
      </c>
      <c r="G770" s="77" t="inlineStr">
        <is>
          <t>wholesale market</t>
        </is>
      </c>
      <c r="H770" s="77" t="inlineStr">
        <is>
          <t>i</t>
        </is>
      </c>
      <c r="I770" s="77">
        <f>IF(ISNUMBER(N770),N770*fx_deflator!$J$8*fx_deflator!$M$8,"")</f>
        <v/>
      </c>
      <c r="J770" s="77" t="inlineStr">
        <is>
          <t>BNetzA Monitoringberichte — Phelix base front-year by trading yr -&gt; delivery yr; 2026 = D29</t>
        </is>
      </c>
      <c r="K770" s="77" t="inlineStr">
        <is>
          <t>stage4_de r7</t>
        </is>
      </c>
      <c r="L770" s="77" t="inlineStr">
        <is>
          <t>2026-07-15</t>
        </is>
      </c>
      <c r="M770" s="77" t="inlineStr">
        <is>
          <t>Y</t>
        </is>
      </c>
      <c r="N770" s="136">
        <f>IF(ISNUMBER(timeseries!G32),timeseries!G32,"")</f>
        <v/>
      </c>
      <c r="O770" s="77" t="inlineStr">
        <is>
          <t>EUR/MWh nominal</t>
        </is>
      </c>
    </row>
    <row r="771" ht="15" customHeight="1" s="78">
      <c r="A771" s="77" t="inlineStr">
        <is>
          <t>DE</t>
        </is>
      </c>
      <c r="B771" s="77" t="n">
        <v>2013</v>
      </c>
      <c r="C771" s="77" t="inlineStr">
        <is>
          <t>large</t>
        </is>
      </c>
      <c r="D771" s="77" t="inlineStr">
        <is>
          <t>E2</t>
        </is>
      </c>
      <c r="E771" s="77" t="inlineStr">
        <is>
          <t>Netzentgelte HoeS after sec.19(2) individual charge (D8 central; band low=10 pct floor, high=full tariff)</t>
        </is>
      </c>
      <c r="F771" s="77" t="inlineStr">
        <is>
          <t>3 Network</t>
        </is>
      </c>
      <c r="G771" s="77" t="inlineStr">
        <is>
          <t>transmission network charge</t>
        </is>
      </c>
      <c r="H771" s="77" t="inlineStr">
        <is>
          <t>i (relief funded via sec.19-Umlage = ii instrument)</t>
        </is>
      </c>
      <c r="I771" s="77">
        <f>IF(ISNUMBER(N771),N771*fx_deflator!$J$8*fx_deflator!$M$8,"")</f>
        <v/>
      </c>
      <c r="J771" s="77" t="inlineStr">
        <is>
          <t>D8 method: published tariff x (1-0.76) — AgNes 68-HS-site avg Bandlast rebate; band never deleted</t>
        </is>
      </c>
      <c r="K771" s="77" t="inlineStr">
        <is>
          <t>stage4_de r11-12; AgNes GBK-25-01-1#3</t>
        </is>
      </c>
      <c r="L771" s="77" t="inlineStr">
        <is>
          <t>2026-07-15</t>
        </is>
      </c>
      <c r="M771" s="77" t="inlineStr">
        <is>
          <t>Y</t>
        </is>
      </c>
      <c r="N771" s="77">
        <f>IF(ISNUMBER(timeseries!G42),timeseries!G42,"")</f>
        <v/>
      </c>
      <c r="O771" s="77" t="inlineStr">
        <is>
          <t>EUR/MWh nominal</t>
        </is>
      </c>
      <c r="P771" s="77" t="inlineStr">
        <is>
          <t>2011=0 (exemption era, D32); NEVER delete the band (timeseries r43-44)</t>
        </is>
      </c>
    </row>
    <row r="772" ht="15" customHeight="1" s="78">
      <c r="A772" s="77" t="inlineStr">
        <is>
          <t>DE</t>
        </is>
      </c>
      <c r="B772" s="77" t="n">
        <v>2013</v>
      </c>
      <c r="C772" s="77" t="inlineStr">
        <is>
          <t>large</t>
        </is>
      </c>
      <c r="D772" s="77" t="inlineStr">
        <is>
          <t>E2</t>
        </is>
      </c>
      <c r="E772" s="77" t="inlineStr">
        <is>
          <t>EEG-Umlage after BesAR (0.05 ct floor era-central)</t>
        </is>
      </c>
      <c r="F772" s="77" t="inlineStr">
        <is>
          <t>2 Gen capital recovery</t>
        </is>
      </c>
      <c r="G772" s="77" t="inlineStr">
        <is>
          <t>renewables levy (Umlage)</t>
        </is>
      </c>
      <c r="H772" s="77" t="inlineStr">
        <is>
          <t>i (relief socialised via Umlage on others = ii)</t>
        </is>
      </c>
      <c r="I772" s="77">
        <f>IF(ISNUMBER(N772),N772*fx_deflator!$J$8*fx_deflator!$M$8,"")</f>
        <v/>
      </c>
      <c r="J772" s="77" t="inlineStr">
        <is>
          <t>EEG 2012 sec.41 / EEG 2014+ sec.64 (BesAR); D24/D25 conventions</t>
        </is>
      </c>
      <c r="K772" s="77" t="inlineStr">
        <is>
          <t>stage4_de r21 + timeseries r45/62</t>
        </is>
      </c>
      <c r="L772" s="77" t="inlineStr">
        <is>
          <t>2026-07-15</t>
        </is>
      </c>
      <c r="M772" s="77" t="inlineStr">
        <is>
          <t>Y</t>
        </is>
      </c>
      <c r="N772" s="136">
        <f>IF(ISNUMBER(timeseries!G45),timeseries!G45,"")</f>
        <v/>
      </c>
      <c r="O772" s="77" t="inlineStr">
        <is>
          <t>EUR/MWh nominal</t>
        </is>
      </c>
    </row>
    <row r="773" ht="15" customHeight="1" s="78">
      <c r="A773" s="77" t="inlineStr">
        <is>
          <t>DE</t>
        </is>
      </c>
      <c r="B773" s="77" t="n">
        <v>2013</v>
      </c>
      <c r="C773" s="77" t="inlineStr">
        <is>
          <t>large</t>
        </is>
      </c>
      <c r="D773" s="77" t="inlineStr">
        <is>
          <t>E2</t>
        </is>
      </c>
      <c r="E773" s="77" t="inlineStr">
        <is>
          <t>KWKG-Umlage (C-prime blend 2016; =E1 other years, D25)</t>
        </is>
      </c>
      <c r="F773" s="77" t="inlineStr">
        <is>
          <t>2 Gen capital recovery</t>
        </is>
      </c>
      <c r="G773" s="77" t="inlineStr">
        <is>
          <t>CHP levy (Umlage)</t>
        </is>
      </c>
      <c r="H773" s="77" t="inlineStr">
        <is>
          <t>i</t>
        </is>
      </c>
      <c r="I773" s="77">
        <f>IF(ISNUMBER(N773),N773*fx_deflator!$J$8*fx_deflator!$M$8,"")</f>
        <v/>
      </c>
      <c r="J773" s="77" t="inlineStr">
        <is>
          <t>netztransparenz Uebersicht KWKG-Aufschlaege 2002-2016 + per-year pages; tranche blends</t>
        </is>
      </c>
      <c r="K773" s="77" t="inlineStr">
        <is>
          <t>stage4_de r22-24</t>
        </is>
      </c>
      <c r="L773" s="77" t="inlineStr">
        <is>
          <t>2026-07-15</t>
        </is>
      </c>
      <c r="M773" s="77" t="inlineStr">
        <is>
          <t>Y</t>
        </is>
      </c>
      <c r="N773" s="136">
        <f>IF(ISNUMBER(timeseries!G47),timeseries!G47,"")</f>
        <v/>
      </c>
      <c r="O773" s="77" t="inlineStr">
        <is>
          <t>EUR/MWh nominal</t>
        </is>
      </c>
    </row>
    <row r="774" ht="15" customHeight="1" s="78">
      <c r="A774" s="77" t="inlineStr">
        <is>
          <t>DE</t>
        </is>
      </c>
      <c r="B774" s="77" t="n">
        <v>2013</v>
      </c>
      <c r="C774" s="77" t="inlineStr">
        <is>
          <t>large</t>
        </is>
      </c>
      <c r="D774" s="77" t="inlineStr">
        <is>
          <t>E2</t>
        </is>
      </c>
      <c r="E774" s="77" t="inlineStr">
        <is>
          <t>sec.19 StromNEV-Umlage (C-prime blend)</t>
        </is>
      </c>
      <c r="F774" s="77" t="inlineStr">
        <is>
          <t>4 System services &amp; balancing</t>
        </is>
      </c>
      <c r="G774" s="77" t="inlineStr">
        <is>
          <t>network levy (Umlage)</t>
        </is>
      </c>
      <c r="H774" s="77" t="inlineStr">
        <is>
          <t>ii (pays for other users net-charge relief)</t>
        </is>
      </c>
      <c r="I774" s="77">
        <f>IF(ISNUMBER(N774),N774*fx_deflator!$J$8*fx_deflator!$M$8,"")</f>
        <v/>
      </c>
      <c r="J774" s="77" t="inlineStr">
        <is>
          <t>netztransparenz per-year Umlagen pages (A-prime/B-prime/C-prime)</t>
        </is>
      </c>
      <c r="K774" s="77" t="inlineStr">
        <is>
          <t>stage4_de r25-27</t>
        </is>
      </c>
      <c r="L774" s="77" t="inlineStr">
        <is>
          <t>2026-07-15</t>
        </is>
      </c>
      <c r="M774" s="77" t="inlineStr">
        <is>
          <t>Y</t>
        </is>
      </c>
      <c r="N774" s="136">
        <f>IF(ISNUMBER(timeseries!G48),timeseries!G48,"")</f>
        <v/>
      </c>
      <c r="O774" s="77" t="inlineStr">
        <is>
          <t>EUR/MWh nominal</t>
        </is>
      </c>
    </row>
    <row r="775" ht="15" customHeight="1" s="78">
      <c r="A775" s="77" t="inlineStr">
        <is>
          <t>DE</t>
        </is>
      </c>
      <c r="B775" s="77" t="n">
        <v>2013</v>
      </c>
      <c r="C775" s="77" t="inlineStr">
        <is>
          <t>large</t>
        </is>
      </c>
      <c r="D775" s="77" t="inlineStr">
        <is>
          <t>E2</t>
        </is>
      </c>
      <c r="E775" s="77" t="inlineStr">
        <is>
          <t>Offshore-Netzumlage (Kat-C blend 2013-18; =E1 2019+, D25)</t>
        </is>
      </c>
      <c r="F775" s="77" t="inlineStr">
        <is>
          <t>2 Gen capital recovery</t>
        </is>
      </c>
      <c r="G775" s="77" t="inlineStr">
        <is>
          <t>offshore grid levy (Umlage)</t>
        </is>
      </c>
      <c r="H775" s="77" t="inlineStr">
        <is>
          <t>i</t>
        </is>
      </c>
      <c r="I775" s="77">
        <f>IF(ISNUMBER(N775),N775*fx_deflator!$J$8*fx_deflator!$M$8,"")</f>
        <v/>
      </c>
      <c r="J775" s="77" t="inlineStr">
        <is>
          <t>netztransparenz Offshore-Umlage per-year pages</t>
        </is>
      </c>
      <c r="K775" s="77" t="inlineStr">
        <is>
          <t>stage4_de r28-30</t>
        </is>
      </c>
      <c r="L775" s="77" t="inlineStr">
        <is>
          <t>2026-07-15</t>
        </is>
      </c>
      <c r="M775" s="77" t="inlineStr">
        <is>
          <t>Y</t>
        </is>
      </c>
      <c r="N775" s="136">
        <f>IF(ISNUMBER(timeseries!G49),timeseries!G49,"")</f>
        <v/>
      </c>
      <c r="O775" s="77" t="inlineStr">
        <is>
          <t>EUR/MWh nominal</t>
        </is>
      </c>
    </row>
    <row r="776" ht="15" customHeight="1" s="78">
      <c r="A776" s="77" t="inlineStr">
        <is>
          <t>DE</t>
        </is>
      </c>
      <c r="B776" s="77" t="n">
        <v>2013</v>
      </c>
      <c r="C776" s="77" t="inlineStr">
        <is>
          <t>large</t>
        </is>
      </c>
      <c r="D776" s="77" t="inlineStr">
        <is>
          <t>E2</t>
        </is>
      </c>
      <c r="E776" s="77" t="inlineStr">
        <is>
          <t>Stromsteuer relieved (sec.9(3) 2010; sec.9b 2011+; 0.50 from 2024)</t>
        </is>
      </c>
      <c r="F776" s="77" t="inlineStr">
        <is>
          <t>5 General taxation &amp; levies</t>
        </is>
      </c>
      <c r="G776" s="77" t="inlineStr">
        <is>
          <t>electricity tax</t>
        </is>
      </c>
      <c r="H776" s="77" t="inlineStr">
        <is>
          <t>i (relief = foregone tax, iii)</t>
        </is>
      </c>
      <c r="I776" s="77">
        <f>IF(ISNUMBER(N776),N776*fx_deflator!$J$8*fx_deflator!$M$8,"")</f>
        <v/>
      </c>
      <c r="J776" s="77" t="inlineStr">
        <is>
          <t>StromStG sec.3/sec.9b (BGBl. 2025 I Nr. 340: 0.50 permanent from 2026); gesetze-im-internet.de</t>
        </is>
      </c>
      <c r="K776" s="77" t="inlineStr">
        <is>
          <t>stage4_de r34-35</t>
        </is>
      </c>
      <c r="L776" s="77" t="inlineStr">
        <is>
          <t>2026-07-15</t>
        </is>
      </c>
      <c r="M776" s="77" t="inlineStr">
        <is>
          <t>N</t>
        </is>
      </c>
      <c r="N776" s="77">
        <f>IF(ISNUMBER(stage4_de!G35),stage4_de!G35,"")</f>
        <v/>
      </c>
      <c r="O776" s="77" t="inlineStr">
        <is>
          <t>EUR/MWh nominal</t>
        </is>
      </c>
    </row>
    <row r="777" ht="15" customHeight="1" s="78">
      <c r="A777" s="77" t="inlineStr">
        <is>
          <t>DE</t>
        </is>
      </c>
      <c r="B777" s="77" t="n">
        <v>2013</v>
      </c>
      <c r="C777" s="77" t="inlineStr">
        <is>
          <t>large</t>
        </is>
      </c>
      <c r="D777" s="77" t="inlineStr">
        <is>
          <t>E2</t>
        </is>
      </c>
      <c r="E777" s="77" t="inlineStr">
        <is>
          <t>Konzessionsabgabe (0 via Grenzpreis rule)</t>
        </is>
      </c>
      <c r="F777" s="77" t="inlineStr">
        <is>
          <t>5 General taxation &amp; levies</t>
        </is>
      </c>
      <c r="G777" s="77" t="inlineStr">
        <is>
          <t>concession fee</t>
        </is>
      </c>
      <c r="H777" s="77" t="inlineStr">
        <is>
          <t>i</t>
        </is>
      </c>
      <c r="I777" s="77">
        <f>IF(ISNUMBER(N777),N777*fx_deflator!$J$8*fx_deflator!$M$8,"")</f>
        <v/>
      </c>
      <c r="J777" s="77" t="inlineStr">
        <is>
          <t>KAV sec.2(3)/(4) Grenzpreis rule -&gt; 0 for Sondervertragskunden</t>
        </is>
      </c>
      <c r="K777" s="77" t="inlineStr">
        <is>
          <t>stage4_de r36</t>
        </is>
      </c>
      <c r="L777" s="77" t="inlineStr">
        <is>
          <t>2026-07-15</t>
        </is>
      </c>
      <c r="M777" s="77" t="inlineStr">
        <is>
          <t>N</t>
        </is>
      </c>
      <c r="N777" s="77">
        <f>IF(ISNUMBER(stage4_de!G36),stage4_de!G36*10,"")</f>
        <v/>
      </c>
      <c r="O777" s="77" t="inlineStr">
        <is>
          <t>EUR/MWh nominal</t>
        </is>
      </c>
    </row>
    <row r="778" ht="15" customHeight="1" s="78">
      <c r="A778" s="77" t="inlineStr">
        <is>
          <t>DE</t>
        </is>
      </c>
      <c r="B778" s="77" t="n">
        <v>2014</v>
      </c>
      <c r="C778" s="77" t="inlineStr">
        <is>
          <t>large</t>
        </is>
      </c>
      <c r="D778" s="77" t="inlineStr">
        <is>
          <t>E2</t>
        </is>
      </c>
      <c r="E778" s="77" t="inlineStr">
        <is>
          <t>Wholesale (Phelix base front-year)</t>
        </is>
      </c>
      <c r="F778" s="77" t="inlineStr">
        <is>
          <t>1 Commodity</t>
        </is>
      </c>
      <c r="G778" s="77" t="inlineStr">
        <is>
          <t>wholesale market</t>
        </is>
      </c>
      <c r="H778" s="77" t="inlineStr">
        <is>
          <t>i</t>
        </is>
      </c>
      <c r="I778" s="77">
        <f>IF(ISNUMBER(N778),N778*fx_deflator!$J$9*fx_deflator!$M$9,"")</f>
        <v/>
      </c>
      <c r="J778" s="77" t="inlineStr">
        <is>
          <t>BNetzA Monitoringberichte — Phelix base front-year by trading yr -&gt; delivery yr; 2026 = D29</t>
        </is>
      </c>
      <c r="K778" s="77" t="inlineStr">
        <is>
          <t>stage4_de r7</t>
        </is>
      </c>
      <c r="L778" s="77" t="inlineStr">
        <is>
          <t>2026-07-15</t>
        </is>
      </c>
      <c r="M778" s="77" t="inlineStr">
        <is>
          <t>Y</t>
        </is>
      </c>
      <c r="N778" s="136">
        <f>IF(ISNUMBER(timeseries!H32),timeseries!H32,"")</f>
        <v/>
      </c>
      <c r="O778" s="77" t="inlineStr">
        <is>
          <t>EUR/MWh nominal</t>
        </is>
      </c>
    </row>
    <row r="779" ht="15" customHeight="1" s="78">
      <c r="A779" s="77" t="inlineStr">
        <is>
          <t>DE</t>
        </is>
      </c>
      <c r="B779" s="77" t="n">
        <v>2014</v>
      </c>
      <c r="C779" s="77" t="inlineStr">
        <is>
          <t>large</t>
        </is>
      </c>
      <c r="D779" s="77" t="inlineStr">
        <is>
          <t>E2</t>
        </is>
      </c>
      <c r="E779" s="77" t="inlineStr">
        <is>
          <t>Netzentgelte HoeS after sec.19(2) individual charge (D8 central; band low=10 pct floor, high=full tariff)</t>
        </is>
      </c>
      <c r="F779" s="77" t="inlineStr">
        <is>
          <t>3 Network</t>
        </is>
      </c>
      <c r="G779" s="77" t="inlineStr">
        <is>
          <t>transmission network charge</t>
        </is>
      </c>
      <c r="H779" s="77" t="inlineStr">
        <is>
          <t>i (relief funded via sec.19-Umlage = ii instrument)</t>
        </is>
      </c>
      <c r="I779" s="77">
        <f>IF(ISNUMBER(N779),N779*fx_deflator!$J$9*fx_deflator!$M$9,"")</f>
        <v/>
      </c>
      <c r="J779" s="77" t="inlineStr">
        <is>
          <t>D8 method: published tariff x (1-0.76) — AgNes 68-HS-site avg Bandlast rebate; band never deleted</t>
        </is>
      </c>
      <c r="K779" s="77" t="inlineStr">
        <is>
          <t>stage4_de r11-12; AgNes GBK-25-01-1#3</t>
        </is>
      </c>
      <c r="L779" s="77" t="inlineStr">
        <is>
          <t>2026-07-15</t>
        </is>
      </c>
      <c r="M779" s="77" t="inlineStr">
        <is>
          <t>Y</t>
        </is>
      </c>
      <c r="N779" s="136">
        <f>IF(ISNUMBER(timeseries!H42),timeseries!H42,"")</f>
        <v/>
      </c>
      <c r="O779" s="77" t="inlineStr">
        <is>
          <t>EUR/MWh nominal</t>
        </is>
      </c>
      <c r="P779" s="77" t="inlineStr">
        <is>
          <t>2011=0 (exemption era, D32); NEVER delete the band (timeseries r43-44)</t>
        </is>
      </c>
    </row>
    <row r="780" ht="15" customHeight="1" s="78">
      <c r="A780" s="77" t="inlineStr">
        <is>
          <t>DE</t>
        </is>
      </c>
      <c r="B780" s="77" t="n">
        <v>2014</v>
      </c>
      <c r="C780" s="77" t="inlineStr">
        <is>
          <t>large</t>
        </is>
      </c>
      <c r="D780" s="77" t="inlineStr">
        <is>
          <t>E2</t>
        </is>
      </c>
      <c r="E780" s="77" t="inlineStr">
        <is>
          <t>EEG-Umlage after BesAR (0.05 ct floor era-central)</t>
        </is>
      </c>
      <c r="F780" s="77" t="inlineStr">
        <is>
          <t>2 Gen capital recovery</t>
        </is>
      </c>
      <c r="G780" s="77" t="inlineStr">
        <is>
          <t>renewables levy (Umlage)</t>
        </is>
      </c>
      <c r="H780" s="77" t="inlineStr">
        <is>
          <t>i (relief socialised via Umlage on others = ii)</t>
        </is>
      </c>
      <c r="I780" s="77">
        <f>IF(ISNUMBER(N780),N780*fx_deflator!$J$9*fx_deflator!$M$9,"")</f>
        <v/>
      </c>
      <c r="J780" s="77" t="inlineStr">
        <is>
          <t>EEG 2012 sec.41 / EEG 2014+ sec.64 (BesAR); D24/D25 conventions</t>
        </is>
      </c>
      <c r="K780" s="77" t="inlineStr">
        <is>
          <t>stage4_de r21 + timeseries r45/62</t>
        </is>
      </c>
      <c r="L780" s="77" t="inlineStr">
        <is>
          <t>2026-07-15</t>
        </is>
      </c>
      <c r="M780" s="77" t="inlineStr">
        <is>
          <t>Y</t>
        </is>
      </c>
      <c r="N780" s="136">
        <f>IF(ISNUMBER(timeseries!H45),timeseries!H45,"")</f>
        <v/>
      </c>
      <c r="O780" s="77" t="inlineStr">
        <is>
          <t>EUR/MWh nominal</t>
        </is>
      </c>
    </row>
    <row r="781" ht="15" customHeight="1" s="78">
      <c r="A781" s="77" t="inlineStr">
        <is>
          <t>DE</t>
        </is>
      </c>
      <c r="B781" s="77" t="n">
        <v>2014</v>
      </c>
      <c r="C781" s="77" t="inlineStr">
        <is>
          <t>large</t>
        </is>
      </c>
      <c r="D781" s="77" t="inlineStr">
        <is>
          <t>E2</t>
        </is>
      </c>
      <c r="E781" s="77" t="inlineStr">
        <is>
          <t>KWKG-Umlage (C-prime blend 2016; =E1 other years, D25)</t>
        </is>
      </c>
      <c r="F781" s="77" t="inlineStr">
        <is>
          <t>2 Gen capital recovery</t>
        </is>
      </c>
      <c r="G781" s="77" t="inlineStr">
        <is>
          <t>CHP levy (Umlage)</t>
        </is>
      </c>
      <c r="H781" s="77" t="inlineStr">
        <is>
          <t>i</t>
        </is>
      </c>
      <c r="I781" s="77">
        <f>IF(ISNUMBER(N781),N781*fx_deflator!$J$9*fx_deflator!$M$9,"")</f>
        <v/>
      </c>
      <c r="J781" s="77" t="inlineStr">
        <is>
          <t>netztransparenz Uebersicht KWKG-Aufschlaege 2002-2016 + per-year pages; tranche blends</t>
        </is>
      </c>
      <c r="K781" s="77" t="inlineStr">
        <is>
          <t>stage4_de r22-24</t>
        </is>
      </c>
      <c r="L781" s="77" t="inlineStr">
        <is>
          <t>2026-07-15</t>
        </is>
      </c>
      <c r="M781" s="77" t="inlineStr">
        <is>
          <t>Y</t>
        </is>
      </c>
      <c r="N781" s="136">
        <f>IF(ISNUMBER(timeseries!H47),timeseries!H47,"")</f>
        <v/>
      </c>
      <c r="O781" s="77" t="inlineStr">
        <is>
          <t>EUR/MWh nominal</t>
        </is>
      </c>
    </row>
    <row r="782" ht="15" customHeight="1" s="78">
      <c r="A782" s="77" t="inlineStr">
        <is>
          <t>DE</t>
        </is>
      </c>
      <c r="B782" s="77" t="n">
        <v>2014</v>
      </c>
      <c r="C782" s="77" t="inlineStr">
        <is>
          <t>large</t>
        </is>
      </c>
      <c r="D782" s="77" t="inlineStr">
        <is>
          <t>E2</t>
        </is>
      </c>
      <c r="E782" s="77" t="inlineStr">
        <is>
          <t>sec.19 StromNEV-Umlage (C-prime blend)</t>
        </is>
      </c>
      <c r="F782" s="77" t="inlineStr">
        <is>
          <t>4 System services &amp; balancing</t>
        </is>
      </c>
      <c r="G782" s="77" t="inlineStr">
        <is>
          <t>network levy (Umlage)</t>
        </is>
      </c>
      <c r="H782" s="77" t="inlineStr">
        <is>
          <t>ii (pays for other users net-charge relief)</t>
        </is>
      </c>
      <c r="I782" s="77">
        <f>IF(ISNUMBER(N782),N782*fx_deflator!$J$9*fx_deflator!$M$9,"")</f>
        <v/>
      </c>
      <c r="J782" s="77" t="inlineStr">
        <is>
          <t>netztransparenz per-year Umlagen pages (A-prime/B-prime/C-prime)</t>
        </is>
      </c>
      <c r="K782" s="77" t="inlineStr">
        <is>
          <t>stage4_de r25-27</t>
        </is>
      </c>
      <c r="L782" s="77" t="inlineStr">
        <is>
          <t>2026-07-15</t>
        </is>
      </c>
      <c r="M782" s="77" t="inlineStr">
        <is>
          <t>Y</t>
        </is>
      </c>
      <c r="N782" s="136">
        <f>IF(ISNUMBER(timeseries!H48),timeseries!H48,"")</f>
        <v/>
      </c>
      <c r="O782" s="77" t="inlineStr">
        <is>
          <t>EUR/MWh nominal</t>
        </is>
      </c>
    </row>
    <row r="783" ht="15" customHeight="1" s="78">
      <c r="A783" s="77" t="inlineStr">
        <is>
          <t>DE</t>
        </is>
      </c>
      <c r="B783" s="77" t="n">
        <v>2014</v>
      </c>
      <c r="C783" s="77" t="inlineStr">
        <is>
          <t>large</t>
        </is>
      </c>
      <c r="D783" s="77" t="inlineStr">
        <is>
          <t>E2</t>
        </is>
      </c>
      <c r="E783" s="77" t="inlineStr">
        <is>
          <t>Offshore-Netzumlage (Kat-C blend 2013-18; =E1 2019+, D25)</t>
        </is>
      </c>
      <c r="F783" s="77" t="inlineStr">
        <is>
          <t>2 Gen capital recovery</t>
        </is>
      </c>
      <c r="G783" s="77" t="inlineStr">
        <is>
          <t>offshore grid levy (Umlage)</t>
        </is>
      </c>
      <c r="H783" s="77" t="inlineStr">
        <is>
          <t>i</t>
        </is>
      </c>
      <c r="I783" s="77">
        <f>IF(ISNUMBER(N783),N783*fx_deflator!$J$9*fx_deflator!$M$9,"")</f>
        <v/>
      </c>
      <c r="J783" s="77" t="inlineStr">
        <is>
          <t>netztransparenz Offshore-Umlage per-year pages</t>
        </is>
      </c>
      <c r="K783" s="77" t="inlineStr">
        <is>
          <t>stage4_de r28-30</t>
        </is>
      </c>
      <c r="L783" s="77" t="inlineStr">
        <is>
          <t>2026-07-15</t>
        </is>
      </c>
      <c r="M783" s="77" t="inlineStr">
        <is>
          <t>Y</t>
        </is>
      </c>
      <c r="N783" s="136">
        <f>IF(ISNUMBER(timeseries!H49),timeseries!H49,"")</f>
        <v/>
      </c>
      <c r="O783" s="77" t="inlineStr">
        <is>
          <t>EUR/MWh nominal</t>
        </is>
      </c>
    </row>
    <row r="784" ht="15" customHeight="1" s="78">
      <c r="A784" s="77" t="inlineStr">
        <is>
          <t>DE</t>
        </is>
      </c>
      <c r="B784" s="77" t="n">
        <v>2014</v>
      </c>
      <c r="C784" s="77" t="inlineStr">
        <is>
          <t>large</t>
        </is>
      </c>
      <c r="D784" s="77" t="inlineStr">
        <is>
          <t>E2</t>
        </is>
      </c>
      <c r="E784" s="77" t="inlineStr">
        <is>
          <t>AbLaV-Umlage</t>
        </is>
      </c>
      <c r="F784" s="77" t="inlineStr">
        <is>
          <t>4 System services &amp; balancing</t>
        </is>
      </c>
      <c r="G784" s="77" t="inlineStr">
        <is>
          <t>interruptible-load levy (Umlage)</t>
        </is>
      </c>
      <c r="H784" s="77" t="inlineStr">
        <is>
          <t>i</t>
        </is>
      </c>
      <c r="I784" s="77">
        <f>IF(ISNUMBER(N784),N784*fx_deflator!$J$9*fx_deflator!$M$9,"")</f>
        <v/>
      </c>
      <c r="J784" s="77" t="inlineStr">
        <is>
          <t>netztransparenz AbLaV-Umlage per-year pages (ends 2022)</t>
        </is>
      </c>
      <c r="K784" s="77" t="inlineStr">
        <is>
          <t>stage4_de r31</t>
        </is>
      </c>
      <c r="L784" s="77" t="inlineStr">
        <is>
          <t>2026-07-15</t>
        </is>
      </c>
      <c r="M784" s="77" t="inlineStr">
        <is>
          <t>N</t>
        </is>
      </c>
      <c r="N784" s="136">
        <f>IF(ISNUMBER(timeseries!H39),timeseries!H39,"")</f>
        <v/>
      </c>
      <c r="O784" s="77" t="inlineStr">
        <is>
          <t>EUR/MWh nominal</t>
        </is>
      </c>
    </row>
    <row r="785" ht="15" customHeight="1" s="78">
      <c r="A785" s="77" t="inlineStr">
        <is>
          <t>DE</t>
        </is>
      </c>
      <c r="B785" s="77" t="n">
        <v>2014</v>
      </c>
      <c r="C785" s="77" t="inlineStr">
        <is>
          <t>large</t>
        </is>
      </c>
      <c r="D785" s="77" t="inlineStr">
        <is>
          <t>E2</t>
        </is>
      </c>
      <c r="E785" s="77" t="inlineStr">
        <is>
          <t>Stromsteuer relieved (sec.9(3) 2010; sec.9b 2011+; 0.50 from 2024)</t>
        </is>
      </c>
      <c r="F785" s="77" t="inlineStr">
        <is>
          <t>5 General taxation &amp; levies</t>
        </is>
      </c>
      <c r="G785" s="77" t="inlineStr">
        <is>
          <t>electricity tax</t>
        </is>
      </c>
      <c r="H785" s="77" t="inlineStr">
        <is>
          <t>i (relief = foregone tax, iii)</t>
        </is>
      </c>
      <c r="I785" s="77">
        <f>IF(ISNUMBER(N785),N785*fx_deflator!$J$9*fx_deflator!$M$9,"")</f>
        <v/>
      </c>
      <c r="J785" s="77" t="inlineStr">
        <is>
          <t>StromStG sec.3/sec.9b (BGBl. 2025 I Nr. 340: 0.50 permanent from 2026); gesetze-im-internet.de</t>
        </is>
      </c>
      <c r="K785" s="77" t="inlineStr">
        <is>
          <t>stage4_de r34-35</t>
        </is>
      </c>
      <c r="L785" s="77" t="inlineStr">
        <is>
          <t>2026-07-15</t>
        </is>
      </c>
      <c r="M785" s="77" t="inlineStr">
        <is>
          <t>N</t>
        </is>
      </c>
      <c r="N785" s="77">
        <f>IF(ISNUMBER(stage4_de!H35),stage4_de!H35,"")</f>
        <v/>
      </c>
      <c r="O785" s="77" t="inlineStr">
        <is>
          <t>EUR/MWh nominal</t>
        </is>
      </c>
    </row>
    <row r="786" ht="15" customHeight="1" s="78">
      <c r="A786" s="77" t="inlineStr">
        <is>
          <t>DE</t>
        </is>
      </c>
      <c r="B786" s="77" t="n">
        <v>2014</v>
      </c>
      <c r="C786" s="77" t="inlineStr">
        <is>
          <t>large</t>
        </is>
      </c>
      <c r="D786" s="77" t="inlineStr">
        <is>
          <t>E2</t>
        </is>
      </c>
      <c r="E786" s="77" t="inlineStr">
        <is>
          <t>Konzessionsabgabe (0 via Grenzpreis rule)</t>
        </is>
      </c>
      <c r="F786" s="77" t="inlineStr">
        <is>
          <t>5 General taxation &amp; levies</t>
        </is>
      </c>
      <c r="G786" s="77" t="inlineStr">
        <is>
          <t>concession fee</t>
        </is>
      </c>
      <c r="H786" s="77" t="inlineStr">
        <is>
          <t>i</t>
        </is>
      </c>
      <c r="I786" s="77">
        <f>IF(ISNUMBER(N786),N786*fx_deflator!$J$9*fx_deflator!$M$9,"")</f>
        <v/>
      </c>
      <c r="J786" s="77" t="inlineStr">
        <is>
          <t>KAV sec.2(3)/(4) Grenzpreis rule -&gt; 0 for Sondervertragskunden</t>
        </is>
      </c>
      <c r="K786" s="77" t="inlineStr">
        <is>
          <t>stage4_de r36</t>
        </is>
      </c>
      <c r="L786" s="77" t="inlineStr">
        <is>
          <t>2026-07-15</t>
        </is>
      </c>
      <c r="M786" s="77" t="inlineStr">
        <is>
          <t>N</t>
        </is>
      </c>
      <c r="N786" s="77">
        <f>IF(ISNUMBER(stage4_de!H36),stage4_de!H36*10,"")</f>
        <v/>
      </c>
      <c r="O786" s="77" t="inlineStr">
        <is>
          <t>EUR/MWh nominal</t>
        </is>
      </c>
    </row>
    <row r="787" ht="15" customHeight="1" s="78">
      <c r="A787" s="77" t="inlineStr">
        <is>
          <t>DE</t>
        </is>
      </c>
      <c r="B787" s="77" t="n">
        <v>2015</v>
      </c>
      <c r="C787" s="77" t="inlineStr">
        <is>
          <t>large</t>
        </is>
      </c>
      <c r="D787" s="77" t="inlineStr">
        <is>
          <t>E2</t>
        </is>
      </c>
      <c r="E787" s="77" t="inlineStr">
        <is>
          <t>Wholesale (Phelix base front-year)</t>
        </is>
      </c>
      <c r="F787" s="77" t="inlineStr">
        <is>
          <t>1 Commodity</t>
        </is>
      </c>
      <c r="G787" s="77" t="inlineStr">
        <is>
          <t>wholesale market</t>
        </is>
      </c>
      <c r="H787" s="77" t="inlineStr">
        <is>
          <t>i</t>
        </is>
      </c>
      <c r="I787" s="77">
        <f>IF(ISNUMBER(N787),N787*fx_deflator!$J$10*fx_deflator!$M$10,"")</f>
        <v/>
      </c>
      <c r="J787" s="77" t="inlineStr">
        <is>
          <t>BNetzA Monitoringberichte — Phelix base front-year by trading yr -&gt; delivery yr; 2026 = D29</t>
        </is>
      </c>
      <c r="K787" s="77" t="inlineStr">
        <is>
          <t>stage4_de r7</t>
        </is>
      </c>
      <c r="L787" s="77" t="inlineStr">
        <is>
          <t>2026-07-15</t>
        </is>
      </c>
      <c r="M787" s="77" t="inlineStr">
        <is>
          <t>Y</t>
        </is>
      </c>
      <c r="N787" s="136">
        <f>IF(ISNUMBER(timeseries!I32),timeseries!I32,"")</f>
        <v/>
      </c>
      <c r="O787" s="77" t="inlineStr">
        <is>
          <t>EUR/MWh nominal</t>
        </is>
      </c>
    </row>
    <row r="788" ht="15" customHeight="1" s="78">
      <c r="A788" s="77" t="inlineStr">
        <is>
          <t>DE</t>
        </is>
      </c>
      <c r="B788" s="77" t="n">
        <v>2015</v>
      </c>
      <c r="C788" s="77" t="inlineStr">
        <is>
          <t>large</t>
        </is>
      </c>
      <c r="D788" s="77" t="inlineStr">
        <is>
          <t>E2</t>
        </is>
      </c>
      <c r="E788" s="77" t="inlineStr">
        <is>
          <t>Netzentgelte HoeS after sec.19(2) individual charge (D8 central; band low=10 pct floor, high=full tariff)</t>
        </is>
      </c>
      <c r="F788" s="77" t="inlineStr">
        <is>
          <t>3 Network</t>
        </is>
      </c>
      <c r="G788" s="77" t="inlineStr">
        <is>
          <t>transmission network charge</t>
        </is>
      </c>
      <c r="H788" s="77" t="inlineStr">
        <is>
          <t>i (relief funded via sec.19-Umlage = ii instrument)</t>
        </is>
      </c>
      <c r="I788" s="77">
        <f>IF(ISNUMBER(N788),N788*fx_deflator!$J$10*fx_deflator!$M$10,"")</f>
        <v/>
      </c>
      <c r="J788" s="77" t="inlineStr">
        <is>
          <t>D8 method: published tariff x (1-0.76) — AgNes 68-HS-site avg Bandlast rebate; band never deleted</t>
        </is>
      </c>
      <c r="K788" s="77" t="inlineStr">
        <is>
          <t>stage4_de r11-12; AgNes GBK-25-01-1#3</t>
        </is>
      </c>
      <c r="L788" s="77" t="inlineStr">
        <is>
          <t>2026-07-15</t>
        </is>
      </c>
      <c r="M788" s="77" t="inlineStr">
        <is>
          <t>Y</t>
        </is>
      </c>
      <c r="N788" s="136">
        <f>IF(ISNUMBER(timeseries!I42),timeseries!I42,"")</f>
        <v/>
      </c>
      <c r="O788" s="77" t="inlineStr">
        <is>
          <t>EUR/MWh nominal</t>
        </is>
      </c>
      <c r="P788" s="77" t="inlineStr">
        <is>
          <t>2011=0 (exemption era, D32); NEVER delete the band (timeseries r43-44)</t>
        </is>
      </c>
    </row>
    <row r="789" ht="15" customHeight="1" s="78">
      <c r="A789" s="77" t="inlineStr">
        <is>
          <t>DE</t>
        </is>
      </c>
      <c r="B789" s="77" t="n">
        <v>2015</v>
      </c>
      <c r="C789" s="77" t="inlineStr">
        <is>
          <t>large</t>
        </is>
      </c>
      <c r="D789" s="77" t="inlineStr">
        <is>
          <t>E2</t>
        </is>
      </c>
      <c r="E789" s="77" t="inlineStr">
        <is>
          <t>EEG-Umlage after BesAR (0.05 ct floor era-central)</t>
        </is>
      </c>
      <c r="F789" s="77" t="inlineStr">
        <is>
          <t>2 Gen capital recovery</t>
        </is>
      </c>
      <c r="G789" s="77" t="inlineStr">
        <is>
          <t>renewables levy (Umlage)</t>
        </is>
      </c>
      <c r="H789" s="77" t="inlineStr">
        <is>
          <t>i (relief socialised via Umlage on others = ii)</t>
        </is>
      </c>
      <c r="I789" s="77">
        <f>IF(ISNUMBER(N789),N789*fx_deflator!$J$10*fx_deflator!$M$10,"")</f>
        <v/>
      </c>
      <c r="J789" s="77" t="inlineStr">
        <is>
          <t>EEG 2012 sec.41 / EEG 2014+ sec.64 (BesAR); D24/D25 conventions</t>
        </is>
      </c>
      <c r="K789" s="77" t="inlineStr">
        <is>
          <t>stage4_de r21 + timeseries r45/62</t>
        </is>
      </c>
      <c r="L789" s="77" t="inlineStr">
        <is>
          <t>2026-07-15</t>
        </is>
      </c>
      <c r="M789" s="77" t="inlineStr">
        <is>
          <t>Y</t>
        </is>
      </c>
      <c r="N789" s="136">
        <f>IF(ISNUMBER(timeseries!I45),timeseries!I45,"")</f>
        <v/>
      </c>
      <c r="O789" s="77" t="inlineStr">
        <is>
          <t>EUR/MWh nominal</t>
        </is>
      </c>
    </row>
    <row r="790" ht="15" customHeight="1" s="78">
      <c r="A790" s="77" t="inlineStr">
        <is>
          <t>DE</t>
        </is>
      </c>
      <c r="B790" s="77" t="n">
        <v>2015</v>
      </c>
      <c r="C790" s="77" t="inlineStr">
        <is>
          <t>large</t>
        </is>
      </c>
      <c r="D790" s="77" t="inlineStr">
        <is>
          <t>E2</t>
        </is>
      </c>
      <c r="E790" s="77" t="inlineStr">
        <is>
          <t>KWKG-Umlage (C-prime blend 2016; =E1 other years, D25)</t>
        </is>
      </c>
      <c r="F790" s="77" t="inlineStr">
        <is>
          <t>2 Gen capital recovery</t>
        </is>
      </c>
      <c r="G790" s="77" t="inlineStr">
        <is>
          <t>CHP levy (Umlage)</t>
        </is>
      </c>
      <c r="H790" s="77" t="inlineStr">
        <is>
          <t>i</t>
        </is>
      </c>
      <c r="I790" s="77">
        <f>IF(ISNUMBER(N790),N790*fx_deflator!$J$10*fx_deflator!$M$10,"")</f>
        <v/>
      </c>
      <c r="J790" s="77" t="inlineStr">
        <is>
          <t>netztransparenz Uebersicht KWKG-Aufschlaege 2002-2016 + per-year pages; tranche blends</t>
        </is>
      </c>
      <c r="K790" s="77" t="inlineStr">
        <is>
          <t>stage4_de r22-24</t>
        </is>
      </c>
      <c r="L790" s="77" t="inlineStr">
        <is>
          <t>2026-07-15</t>
        </is>
      </c>
      <c r="M790" s="77" t="inlineStr">
        <is>
          <t>Y</t>
        </is>
      </c>
      <c r="N790" s="136">
        <f>IF(ISNUMBER(timeseries!I47),timeseries!I47,"")</f>
        <v/>
      </c>
      <c r="O790" s="77" t="inlineStr">
        <is>
          <t>EUR/MWh nominal</t>
        </is>
      </c>
    </row>
    <row r="791" ht="15" customHeight="1" s="78">
      <c r="A791" s="77" t="inlineStr">
        <is>
          <t>DE</t>
        </is>
      </c>
      <c r="B791" s="77" t="n">
        <v>2015</v>
      </c>
      <c r="C791" s="77" t="inlineStr">
        <is>
          <t>large</t>
        </is>
      </c>
      <c r="D791" s="77" t="inlineStr">
        <is>
          <t>E2</t>
        </is>
      </c>
      <c r="E791" s="77" t="inlineStr">
        <is>
          <t>sec.19 StromNEV-Umlage (C-prime blend)</t>
        </is>
      </c>
      <c r="F791" s="77" t="inlineStr">
        <is>
          <t>4 System services &amp; balancing</t>
        </is>
      </c>
      <c r="G791" s="77" t="inlineStr">
        <is>
          <t>network levy (Umlage)</t>
        </is>
      </c>
      <c r="H791" s="77" t="inlineStr">
        <is>
          <t>ii (pays for other users net-charge relief)</t>
        </is>
      </c>
      <c r="I791" s="77">
        <f>IF(ISNUMBER(N791),N791*fx_deflator!$J$10*fx_deflator!$M$10,"")</f>
        <v/>
      </c>
      <c r="J791" s="77" t="inlineStr">
        <is>
          <t>netztransparenz per-year Umlagen pages (A-prime/B-prime/C-prime)</t>
        </is>
      </c>
      <c r="K791" s="77" t="inlineStr">
        <is>
          <t>stage4_de r25-27</t>
        </is>
      </c>
      <c r="L791" s="77" t="inlineStr">
        <is>
          <t>2026-07-15</t>
        </is>
      </c>
      <c r="M791" s="77" t="inlineStr">
        <is>
          <t>Y</t>
        </is>
      </c>
      <c r="N791" s="136">
        <f>IF(ISNUMBER(timeseries!I48),timeseries!I48,"")</f>
        <v/>
      </c>
      <c r="O791" s="77" t="inlineStr">
        <is>
          <t>EUR/MWh nominal</t>
        </is>
      </c>
    </row>
    <row r="792" ht="15" customHeight="1" s="78">
      <c r="A792" s="77" t="inlineStr">
        <is>
          <t>DE</t>
        </is>
      </c>
      <c r="B792" s="77" t="n">
        <v>2015</v>
      </c>
      <c r="C792" s="77" t="inlineStr">
        <is>
          <t>large</t>
        </is>
      </c>
      <c r="D792" s="77" t="inlineStr">
        <is>
          <t>E2</t>
        </is>
      </c>
      <c r="E792" s="77" t="inlineStr">
        <is>
          <t>Offshore-Netzumlage (Kat-C blend 2013-18; =E1 2019+, D25)</t>
        </is>
      </c>
      <c r="F792" s="77" t="inlineStr">
        <is>
          <t>2 Gen capital recovery</t>
        </is>
      </c>
      <c r="G792" s="77" t="inlineStr">
        <is>
          <t>offshore grid levy (Umlage)</t>
        </is>
      </c>
      <c r="H792" s="77" t="inlineStr">
        <is>
          <t>i</t>
        </is>
      </c>
      <c r="I792" s="77">
        <f>IF(ISNUMBER(N792),N792*fx_deflator!$J$10*fx_deflator!$M$10,"")</f>
        <v/>
      </c>
      <c r="J792" s="77" t="inlineStr">
        <is>
          <t>netztransparenz Offshore-Umlage per-year pages</t>
        </is>
      </c>
      <c r="K792" s="77" t="inlineStr">
        <is>
          <t>stage4_de r28-30</t>
        </is>
      </c>
      <c r="L792" s="77" t="inlineStr">
        <is>
          <t>2026-07-15</t>
        </is>
      </c>
      <c r="M792" s="77" t="inlineStr">
        <is>
          <t>Y</t>
        </is>
      </c>
      <c r="N792" s="136">
        <f>IF(ISNUMBER(timeseries!I49),timeseries!I49,"")</f>
        <v/>
      </c>
      <c r="O792" s="77" t="inlineStr">
        <is>
          <t>EUR/MWh nominal</t>
        </is>
      </c>
    </row>
    <row r="793" ht="15" customHeight="1" s="78">
      <c r="A793" s="77" t="inlineStr">
        <is>
          <t>DE</t>
        </is>
      </c>
      <c r="B793" s="77" t="n">
        <v>2015</v>
      </c>
      <c r="C793" s="77" t="inlineStr">
        <is>
          <t>large</t>
        </is>
      </c>
      <c r="D793" s="77" t="inlineStr">
        <is>
          <t>E2</t>
        </is>
      </c>
      <c r="E793" s="77" t="inlineStr">
        <is>
          <t>AbLaV-Umlage</t>
        </is>
      </c>
      <c r="F793" s="77" t="inlineStr">
        <is>
          <t>4 System services &amp; balancing</t>
        </is>
      </c>
      <c r="G793" s="77" t="inlineStr">
        <is>
          <t>interruptible-load levy (Umlage)</t>
        </is>
      </c>
      <c r="H793" s="77" t="inlineStr">
        <is>
          <t>i</t>
        </is>
      </c>
      <c r="I793" s="77">
        <f>IF(ISNUMBER(N793),N793*fx_deflator!$J$10*fx_deflator!$M$10,"")</f>
        <v/>
      </c>
      <c r="J793" s="77" t="inlineStr">
        <is>
          <t>netztransparenz AbLaV-Umlage per-year pages (ends 2022)</t>
        </is>
      </c>
      <c r="K793" s="77" t="inlineStr">
        <is>
          <t>stage4_de r31</t>
        </is>
      </c>
      <c r="L793" s="77" t="inlineStr">
        <is>
          <t>2026-07-15</t>
        </is>
      </c>
      <c r="M793" s="77" t="inlineStr">
        <is>
          <t>N</t>
        </is>
      </c>
      <c r="N793" s="136">
        <f>IF(ISNUMBER(timeseries!I39),timeseries!I39,"")</f>
        <v/>
      </c>
      <c r="O793" s="77" t="inlineStr">
        <is>
          <t>EUR/MWh nominal</t>
        </is>
      </c>
    </row>
    <row r="794" ht="15" customHeight="1" s="78">
      <c r="A794" s="77" t="inlineStr">
        <is>
          <t>DE</t>
        </is>
      </c>
      <c r="B794" s="77" t="n">
        <v>2015</v>
      </c>
      <c r="C794" s="77" t="inlineStr">
        <is>
          <t>large</t>
        </is>
      </c>
      <c r="D794" s="77" t="inlineStr">
        <is>
          <t>E2</t>
        </is>
      </c>
      <c r="E794" s="77" t="inlineStr">
        <is>
          <t>Stromsteuer relieved (sec.9(3) 2010; sec.9b 2011+; 0.50 from 2024)</t>
        </is>
      </c>
      <c r="F794" s="77" t="inlineStr">
        <is>
          <t>5 General taxation &amp; levies</t>
        </is>
      </c>
      <c r="G794" s="77" t="inlineStr">
        <is>
          <t>electricity tax</t>
        </is>
      </c>
      <c r="H794" s="77" t="inlineStr">
        <is>
          <t>i (relief = foregone tax, iii)</t>
        </is>
      </c>
      <c r="I794" s="77">
        <f>IF(ISNUMBER(N794),N794*fx_deflator!$J$10*fx_deflator!$M$10,"")</f>
        <v/>
      </c>
      <c r="J794" s="77" t="inlineStr">
        <is>
          <t>StromStG sec.3/sec.9b (BGBl. 2025 I Nr. 340: 0.50 permanent from 2026); gesetze-im-internet.de</t>
        </is>
      </c>
      <c r="K794" s="77" t="inlineStr">
        <is>
          <t>stage4_de r34-35</t>
        </is>
      </c>
      <c r="L794" s="77" t="inlineStr">
        <is>
          <t>2026-07-15</t>
        </is>
      </c>
      <c r="M794" s="77" t="inlineStr">
        <is>
          <t>N</t>
        </is>
      </c>
      <c r="N794" s="77">
        <f>IF(ISNUMBER(stage4_de!I35),stage4_de!I35,"")</f>
        <v/>
      </c>
      <c r="O794" s="77" t="inlineStr">
        <is>
          <t>EUR/MWh nominal</t>
        </is>
      </c>
    </row>
    <row r="795" ht="15" customHeight="1" s="78">
      <c r="A795" s="77" t="inlineStr">
        <is>
          <t>DE</t>
        </is>
      </c>
      <c r="B795" s="77" t="n">
        <v>2015</v>
      </c>
      <c r="C795" s="77" t="inlineStr">
        <is>
          <t>large</t>
        </is>
      </c>
      <c r="D795" s="77" t="inlineStr">
        <is>
          <t>E2</t>
        </is>
      </c>
      <c r="E795" s="77" t="inlineStr">
        <is>
          <t>Konzessionsabgabe (0 via Grenzpreis rule)</t>
        </is>
      </c>
      <c r="F795" s="77" t="inlineStr">
        <is>
          <t>5 General taxation &amp; levies</t>
        </is>
      </c>
      <c r="G795" s="77" t="inlineStr">
        <is>
          <t>concession fee</t>
        </is>
      </c>
      <c r="H795" s="77" t="inlineStr">
        <is>
          <t>i</t>
        </is>
      </c>
      <c r="I795" s="77">
        <f>IF(ISNUMBER(N795),N795*fx_deflator!$J$10*fx_deflator!$M$10,"")</f>
        <v/>
      </c>
      <c r="J795" s="77" t="inlineStr">
        <is>
          <t>KAV sec.2(3)/(4) Grenzpreis rule -&gt; 0 for Sondervertragskunden</t>
        </is>
      </c>
      <c r="K795" s="77" t="inlineStr">
        <is>
          <t>stage4_de r36</t>
        </is>
      </c>
      <c r="L795" s="77" t="inlineStr">
        <is>
          <t>2026-07-15</t>
        </is>
      </c>
      <c r="M795" s="77" t="inlineStr">
        <is>
          <t>N</t>
        </is>
      </c>
      <c r="N795" s="77">
        <f>IF(ISNUMBER(stage4_de!I36),stage4_de!I36*10,"")</f>
        <v/>
      </c>
      <c r="O795" s="77" t="inlineStr">
        <is>
          <t>EUR/MWh nominal</t>
        </is>
      </c>
    </row>
    <row r="796" ht="15" customHeight="1" s="78">
      <c r="A796" s="77" t="inlineStr">
        <is>
          <t>DE</t>
        </is>
      </c>
      <c r="B796" s="77" t="n">
        <v>2016</v>
      </c>
      <c r="C796" s="77" t="inlineStr">
        <is>
          <t>large</t>
        </is>
      </c>
      <c r="D796" s="77" t="inlineStr">
        <is>
          <t>E2</t>
        </is>
      </c>
      <c r="E796" s="77" t="inlineStr">
        <is>
          <t>Wholesale (Phelix base front-year)</t>
        </is>
      </c>
      <c r="F796" s="77" t="inlineStr">
        <is>
          <t>1 Commodity</t>
        </is>
      </c>
      <c r="G796" s="77" t="inlineStr">
        <is>
          <t>wholesale market</t>
        </is>
      </c>
      <c r="H796" s="77" t="inlineStr">
        <is>
          <t>i</t>
        </is>
      </c>
      <c r="I796" s="77">
        <f>IF(ISNUMBER(N796),N796*fx_deflator!$J$11*fx_deflator!$M$11,"")</f>
        <v/>
      </c>
      <c r="J796" s="77" t="inlineStr">
        <is>
          <t>BNetzA Monitoringberichte — Phelix base front-year by trading yr -&gt; delivery yr; 2026 = D29</t>
        </is>
      </c>
      <c r="K796" s="77" t="inlineStr">
        <is>
          <t>stage4_de r7</t>
        </is>
      </c>
      <c r="L796" s="77" t="inlineStr">
        <is>
          <t>2026-07-15</t>
        </is>
      </c>
      <c r="M796" s="77" t="inlineStr">
        <is>
          <t>Y</t>
        </is>
      </c>
      <c r="N796" s="136">
        <f>IF(ISNUMBER(timeseries!J32),timeseries!J32,"")</f>
        <v/>
      </c>
      <c r="O796" s="77" t="inlineStr">
        <is>
          <t>EUR/MWh nominal</t>
        </is>
      </c>
    </row>
    <row r="797" ht="15" customHeight="1" s="78">
      <c r="A797" s="77" t="inlineStr">
        <is>
          <t>DE</t>
        </is>
      </c>
      <c r="B797" s="77" t="n">
        <v>2016</v>
      </c>
      <c r="C797" s="77" t="inlineStr">
        <is>
          <t>large</t>
        </is>
      </c>
      <c r="D797" s="77" t="inlineStr">
        <is>
          <t>E2</t>
        </is>
      </c>
      <c r="E797" s="77" t="inlineStr">
        <is>
          <t>Netzentgelte HoeS after sec.19(2) individual charge (D8 central; band low=10 pct floor, high=full tariff)</t>
        </is>
      </c>
      <c r="F797" s="77" t="inlineStr">
        <is>
          <t>3 Network</t>
        </is>
      </c>
      <c r="G797" s="77" t="inlineStr">
        <is>
          <t>transmission network charge</t>
        </is>
      </c>
      <c r="H797" s="77" t="inlineStr">
        <is>
          <t>i (relief funded via sec.19-Umlage = ii instrument)</t>
        </is>
      </c>
      <c r="I797" s="77">
        <f>IF(ISNUMBER(N797),N797*fx_deflator!$J$11*fx_deflator!$M$11,"")</f>
        <v/>
      </c>
      <c r="J797" s="77" t="inlineStr">
        <is>
          <t>D8 method: published tariff x (1-0.76) — AgNes 68-HS-site avg Bandlast rebate; band never deleted</t>
        </is>
      </c>
      <c r="K797" s="77" t="inlineStr">
        <is>
          <t>stage4_de r11-12; AgNes GBK-25-01-1#3</t>
        </is>
      </c>
      <c r="L797" s="77" t="inlineStr">
        <is>
          <t>2026-07-15</t>
        </is>
      </c>
      <c r="M797" s="77" t="inlineStr">
        <is>
          <t>Y</t>
        </is>
      </c>
      <c r="N797" s="136">
        <f>IF(ISNUMBER(timeseries!J42),timeseries!J42,"")</f>
        <v/>
      </c>
      <c r="O797" s="77" t="inlineStr">
        <is>
          <t>EUR/MWh nominal</t>
        </is>
      </c>
      <c r="P797" s="77" t="inlineStr">
        <is>
          <t>2011=0 (exemption era, D32); NEVER delete the band (timeseries r43-44)</t>
        </is>
      </c>
    </row>
    <row r="798" ht="15" customHeight="1" s="78">
      <c r="A798" s="77" t="inlineStr">
        <is>
          <t>DE</t>
        </is>
      </c>
      <c r="B798" s="77" t="n">
        <v>2016</v>
      </c>
      <c r="C798" s="77" t="inlineStr">
        <is>
          <t>large</t>
        </is>
      </c>
      <c r="D798" s="77" t="inlineStr">
        <is>
          <t>E2</t>
        </is>
      </c>
      <c r="E798" s="77" t="inlineStr">
        <is>
          <t>EEG-Umlage after BesAR (0.05 ct floor era-central)</t>
        </is>
      </c>
      <c r="F798" s="77" t="inlineStr">
        <is>
          <t>2 Gen capital recovery</t>
        </is>
      </c>
      <c r="G798" s="77" t="inlineStr">
        <is>
          <t>renewables levy (Umlage)</t>
        </is>
      </c>
      <c r="H798" s="77" t="inlineStr">
        <is>
          <t>i (relief socialised via Umlage on others = ii)</t>
        </is>
      </c>
      <c r="I798" s="77">
        <f>IF(ISNUMBER(N798),N798*fx_deflator!$J$11*fx_deflator!$M$11,"")</f>
        <v/>
      </c>
      <c r="J798" s="77" t="inlineStr">
        <is>
          <t>EEG 2012 sec.41 / EEG 2014+ sec.64 (BesAR); D24/D25 conventions</t>
        </is>
      </c>
      <c r="K798" s="77" t="inlineStr">
        <is>
          <t>stage4_de r21 + timeseries r45/62</t>
        </is>
      </c>
      <c r="L798" s="77" t="inlineStr">
        <is>
          <t>2026-07-15</t>
        </is>
      </c>
      <c r="M798" s="77" t="inlineStr">
        <is>
          <t>Y</t>
        </is>
      </c>
      <c r="N798" s="136">
        <f>IF(ISNUMBER(timeseries!J45),timeseries!J45,"")</f>
        <v/>
      </c>
      <c r="O798" s="77" t="inlineStr">
        <is>
          <t>EUR/MWh nominal</t>
        </is>
      </c>
    </row>
    <row r="799" ht="15" customHeight="1" s="78">
      <c r="A799" s="77" t="inlineStr">
        <is>
          <t>DE</t>
        </is>
      </c>
      <c r="B799" s="77" t="n">
        <v>2016</v>
      </c>
      <c r="C799" s="77" t="inlineStr">
        <is>
          <t>large</t>
        </is>
      </c>
      <c r="D799" s="77" t="inlineStr">
        <is>
          <t>E2</t>
        </is>
      </c>
      <c r="E799" s="77" t="inlineStr">
        <is>
          <t>KWKG-Umlage (C-prime blend 2016; =E1 other years, D25)</t>
        </is>
      </c>
      <c r="F799" s="77" t="inlineStr">
        <is>
          <t>2 Gen capital recovery</t>
        </is>
      </c>
      <c r="G799" s="77" t="inlineStr">
        <is>
          <t>CHP levy (Umlage)</t>
        </is>
      </c>
      <c r="H799" s="77" t="inlineStr">
        <is>
          <t>i</t>
        </is>
      </c>
      <c r="I799" s="77">
        <f>IF(ISNUMBER(N799),N799*fx_deflator!$J$11*fx_deflator!$M$11,"")</f>
        <v/>
      </c>
      <c r="J799" s="77" t="inlineStr">
        <is>
          <t>netztransparenz Uebersicht KWKG-Aufschlaege 2002-2016 + per-year pages; tranche blends</t>
        </is>
      </c>
      <c r="K799" s="77" t="inlineStr">
        <is>
          <t>stage4_de r22-24</t>
        </is>
      </c>
      <c r="L799" s="77" t="inlineStr">
        <is>
          <t>2026-07-15</t>
        </is>
      </c>
      <c r="M799" s="77" t="inlineStr">
        <is>
          <t>Y</t>
        </is>
      </c>
      <c r="N799" s="136">
        <f>IF(ISNUMBER(timeseries!J47),timeseries!J47,"")</f>
        <v/>
      </c>
      <c r="O799" s="77" t="inlineStr">
        <is>
          <t>EUR/MWh nominal</t>
        </is>
      </c>
    </row>
    <row r="800" ht="15" customHeight="1" s="78">
      <c r="A800" s="77" t="inlineStr">
        <is>
          <t>DE</t>
        </is>
      </c>
      <c r="B800" s="77" t="n">
        <v>2016</v>
      </c>
      <c r="C800" s="77" t="inlineStr">
        <is>
          <t>large</t>
        </is>
      </c>
      <c r="D800" s="77" t="inlineStr">
        <is>
          <t>E2</t>
        </is>
      </c>
      <c r="E800" s="77" t="inlineStr">
        <is>
          <t>sec.19 StromNEV-Umlage (C-prime blend)</t>
        </is>
      </c>
      <c r="F800" s="77" t="inlineStr">
        <is>
          <t>4 System services &amp; balancing</t>
        </is>
      </c>
      <c r="G800" s="77" t="inlineStr">
        <is>
          <t>network levy (Umlage)</t>
        </is>
      </c>
      <c r="H800" s="77" t="inlineStr">
        <is>
          <t>ii (pays for other users net-charge relief)</t>
        </is>
      </c>
      <c r="I800" s="77">
        <f>IF(ISNUMBER(N800),N800*fx_deflator!$J$11*fx_deflator!$M$11,"")</f>
        <v/>
      </c>
      <c r="J800" s="77" t="inlineStr">
        <is>
          <t>netztransparenz per-year Umlagen pages (A-prime/B-prime/C-prime)</t>
        </is>
      </c>
      <c r="K800" s="77" t="inlineStr">
        <is>
          <t>stage4_de r25-27</t>
        </is>
      </c>
      <c r="L800" s="77" t="inlineStr">
        <is>
          <t>2026-07-15</t>
        </is>
      </c>
      <c r="M800" s="77" t="inlineStr">
        <is>
          <t>Y</t>
        </is>
      </c>
      <c r="N800" s="136">
        <f>IF(ISNUMBER(timeseries!J48),timeseries!J48,"")</f>
        <v/>
      </c>
      <c r="O800" s="77" t="inlineStr">
        <is>
          <t>EUR/MWh nominal</t>
        </is>
      </c>
    </row>
    <row r="801" ht="15" customHeight="1" s="78">
      <c r="A801" s="77" t="inlineStr">
        <is>
          <t>DE</t>
        </is>
      </c>
      <c r="B801" s="77" t="n">
        <v>2016</v>
      </c>
      <c r="C801" s="77" t="inlineStr">
        <is>
          <t>large</t>
        </is>
      </c>
      <c r="D801" s="77" t="inlineStr">
        <is>
          <t>E2</t>
        </is>
      </c>
      <c r="E801" s="77" t="inlineStr">
        <is>
          <t>Offshore-Netzumlage (Kat-C blend 2013-18; =E1 2019+, D25)</t>
        </is>
      </c>
      <c r="F801" s="77" t="inlineStr">
        <is>
          <t>2 Gen capital recovery</t>
        </is>
      </c>
      <c r="G801" s="77" t="inlineStr">
        <is>
          <t>offshore grid levy (Umlage)</t>
        </is>
      </c>
      <c r="H801" s="77" t="inlineStr">
        <is>
          <t>i</t>
        </is>
      </c>
      <c r="I801" s="77">
        <f>IF(ISNUMBER(N801),N801*fx_deflator!$J$11*fx_deflator!$M$11,"")</f>
        <v/>
      </c>
      <c r="J801" s="77" t="inlineStr">
        <is>
          <t>netztransparenz Offshore-Umlage per-year pages</t>
        </is>
      </c>
      <c r="K801" s="77" t="inlineStr">
        <is>
          <t>stage4_de r28-30</t>
        </is>
      </c>
      <c r="L801" s="77" t="inlineStr">
        <is>
          <t>2026-07-15</t>
        </is>
      </c>
      <c r="M801" s="77" t="inlineStr">
        <is>
          <t>Y</t>
        </is>
      </c>
      <c r="N801" s="136">
        <f>IF(ISNUMBER(timeseries!J49),timeseries!J49,"")</f>
        <v/>
      </c>
      <c r="O801" s="77" t="inlineStr">
        <is>
          <t>EUR/MWh nominal</t>
        </is>
      </c>
    </row>
    <row r="802" ht="15" customHeight="1" s="78">
      <c r="A802" s="77" t="inlineStr">
        <is>
          <t>DE</t>
        </is>
      </c>
      <c r="B802" s="77" t="n">
        <v>2016</v>
      </c>
      <c r="C802" s="77" t="inlineStr">
        <is>
          <t>large</t>
        </is>
      </c>
      <c r="D802" s="77" t="inlineStr">
        <is>
          <t>E2</t>
        </is>
      </c>
      <c r="E802" s="77" t="inlineStr">
        <is>
          <t>AbLaV-Umlage</t>
        </is>
      </c>
      <c r="F802" s="77" t="inlineStr">
        <is>
          <t>4 System services &amp; balancing</t>
        </is>
      </c>
      <c r="G802" s="77" t="inlineStr">
        <is>
          <t>interruptible-load levy (Umlage)</t>
        </is>
      </c>
      <c r="H802" s="77" t="inlineStr">
        <is>
          <t>i</t>
        </is>
      </c>
      <c r="I802" s="77">
        <f>IF(ISNUMBER(N802),N802*fx_deflator!$J$11*fx_deflator!$M$11,"")</f>
        <v/>
      </c>
      <c r="J802" s="77" t="inlineStr">
        <is>
          <t>netztransparenz AbLaV-Umlage per-year pages (ends 2022)</t>
        </is>
      </c>
      <c r="K802" s="77" t="inlineStr">
        <is>
          <t>stage4_de r31</t>
        </is>
      </c>
      <c r="L802" s="77" t="inlineStr">
        <is>
          <t>2026-07-15</t>
        </is>
      </c>
      <c r="M802" s="77" t="inlineStr">
        <is>
          <t>N</t>
        </is>
      </c>
      <c r="N802" s="136">
        <f>IF(ISNUMBER(timeseries!J39),timeseries!J39,"")</f>
        <v/>
      </c>
      <c r="O802" s="77" t="inlineStr">
        <is>
          <t>EUR/MWh nominal</t>
        </is>
      </c>
    </row>
    <row r="803" ht="15" customHeight="1" s="78">
      <c r="A803" s="77" t="inlineStr">
        <is>
          <t>DE</t>
        </is>
      </c>
      <c r="B803" s="77" t="n">
        <v>2016</v>
      </c>
      <c r="C803" s="77" t="inlineStr">
        <is>
          <t>large</t>
        </is>
      </c>
      <c r="D803" s="77" t="inlineStr">
        <is>
          <t>E2</t>
        </is>
      </c>
      <c r="E803" s="77" t="inlineStr">
        <is>
          <t>Stromsteuer relieved (sec.9(3) 2010; sec.9b 2011+; 0.50 from 2024)</t>
        </is>
      </c>
      <c r="F803" s="77" t="inlineStr">
        <is>
          <t>5 General taxation &amp; levies</t>
        </is>
      </c>
      <c r="G803" s="77" t="inlineStr">
        <is>
          <t>electricity tax</t>
        </is>
      </c>
      <c r="H803" s="77" t="inlineStr">
        <is>
          <t>i (relief = foregone tax, iii)</t>
        </is>
      </c>
      <c r="I803" s="77">
        <f>IF(ISNUMBER(N803),N803*fx_deflator!$J$11*fx_deflator!$M$11,"")</f>
        <v/>
      </c>
      <c r="J803" s="77" t="inlineStr">
        <is>
          <t>StromStG sec.3/sec.9b (BGBl. 2025 I Nr. 340: 0.50 permanent from 2026); gesetze-im-internet.de</t>
        </is>
      </c>
      <c r="K803" s="77" t="inlineStr">
        <is>
          <t>stage4_de r34-35</t>
        </is>
      </c>
      <c r="L803" s="77" t="inlineStr">
        <is>
          <t>2026-07-15</t>
        </is>
      </c>
      <c r="M803" s="77" t="inlineStr">
        <is>
          <t>N</t>
        </is>
      </c>
      <c r="N803" s="77">
        <f>IF(ISNUMBER(stage4_de!J35),stage4_de!J35,"")</f>
        <v/>
      </c>
      <c r="O803" s="77" t="inlineStr">
        <is>
          <t>EUR/MWh nominal</t>
        </is>
      </c>
    </row>
    <row r="804" ht="15" customHeight="1" s="78">
      <c r="A804" s="77" t="inlineStr">
        <is>
          <t>DE</t>
        </is>
      </c>
      <c r="B804" s="77" t="n">
        <v>2016</v>
      </c>
      <c r="C804" s="77" t="inlineStr">
        <is>
          <t>large</t>
        </is>
      </c>
      <c r="D804" s="77" t="inlineStr">
        <is>
          <t>E2</t>
        </is>
      </c>
      <c r="E804" s="77" t="inlineStr">
        <is>
          <t>Konzessionsabgabe (0 via Grenzpreis rule)</t>
        </is>
      </c>
      <c r="F804" s="77" t="inlineStr">
        <is>
          <t>5 General taxation &amp; levies</t>
        </is>
      </c>
      <c r="G804" s="77" t="inlineStr">
        <is>
          <t>concession fee</t>
        </is>
      </c>
      <c r="H804" s="77" t="inlineStr">
        <is>
          <t>i</t>
        </is>
      </c>
      <c r="I804" s="77">
        <f>IF(ISNUMBER(N804),N804*fx_deflator!$J$11*fx_deflator!$M$11,"")</f>
        <v/>
      </c>
      <c r="J804" s="77" t="inlineStr">
        <is>
          <t>KAV sec.2(3)/(4) Grenzpreis rule -&gt; 0 for Sondervertragskunden</t>
        </is>
      </c>
      <c r="K804" s="77" t="inlineStr">
        <is>
          <t>stage4_de r36</t>
        </is>
      </c>
      <c r="L804" s="77" t="inlineStr">
        <is>
          <t>2026-07-15</t>
        </is>
      </c>
      <c r="M804" s="77" t="inlineStr">
        <is>
          <t>N</t>
        </is>
      </c>
      <c r="N804" s="77">
        <f>IF(ISNUMBER(stage4_de!J36),stage4_de!J36*10,"")</f>
        <v/>
      </c>
      <c r="O804" s="77" t="inlineStr">
        <is>
          <t>EUR/MWh nominal</t>
        </is>
      </c>
    </row>
    <row r="805" ht="15" customHeight="1" s="78">
      <c r="A805" s="77" t="inlineStr">
        <is>
          <t>DE</t>
        </is>
      </c>
      <c r="B805" s="77" t="n">
        <v>2017</v>
      </c>
      <c r="C805" s="77" t="inlineStr">
        <is>
          <t>large</t>
        </is>
      </c>
      <c r="D805" s="77" t="inlineStr">
        <is>
          <t>E2</t>
        </is>
      </c>
      <c r="E805" s="77" t="inlineStr">
        <is>
          <t>Wholesale (Phelix base front-year)</t>
        </is>
      </c>
      <c r="F805" s="77" t="inlineStr">
        <is>
          <t>1 Commodity</t>
        </is>
      </c>
      <c r="G805" s="77" t="inlineStr">
        <is>
          <t>wholesale market</t>
        </is>
      </c>
      <c r="H805" s="77" t="inlineStr">
        <is>
          <t>i</t>
        </is>
      </c>
      <c r="I805" s="77">
        <f>IF(ISNUMBER(N805),N805*fx_deflator!$J$12*fx_deflator!$M$12,"")</f>
        <v/>
      </c>
      <c r="J805" s="77" t="inlineStr">
        <is>
          <t>BNetzA Monitoringberichte — Phelix base front-year by trading yr -&gt; delivery yr; 2026 = D29</t>
        </is>
      </c>
      <c r="K805" s="77" t="inlineStr">
        <is>
          <t>stage4_de r7</t>
        </is>
      </c>
      <c r="L805" s="77" t="inlineStr">
        <is>
          <t>2026-07-15</t>
        </is>
      </c>
      <c r="M805" s="77" t="inlineStr">
        <is>
          <t>Y</t>
        </is>
      </c>
      <c r="N805" s="136">
        <f>IF(ISNUMBER(timeseries!K32),timeseries!K32,"")</f>
        <v/>
      </c>
      <c r="O805" s="77" t="inlineStr">
        <is>
          <t>EUR/MWh nominal</t>
        </is>
      </c>
    </row>
    <row r="806" ht="15" customHeight="1" s="78">
      <c r="A806" s="77" t="inlineStr">
        <is>
          <t>DE</t>
        </is>
      </c>
      <c r="B806" s="77" t="n">
        <v>2017</v>
      </c>
      <c r="C806" s="77" t="inlineStr">
        <is>
          <t>large</t>
        </is>
      </c>
      <c r="D806" s="77" t="inlineStr">
        <is>
          <t>E2</t>
        </is>
      </c>
      <c r="E806" s="77" t="inlineStr">
        <is>
          <t>Netzentgelte HoeS after sec.19(2) individual charge (D8 central; band low=10 pct floor, high=full tariff)</t>
        </is>
      </c>
      <c r="F806" s="77" t="inlineStr">
        <is>
          <t>3 Network</t>
        </is>
      </c>
      <c r="G806" s="77" t="inlineStr">
        <is>
          <t>transmission network charge</t>
        </is>
      </c>
      <c r="H806" s="77" t="inlineStr">
        <is>
          <t>i (relief funded via sec.19-Umlage = ii instrument)</t>
        </is>
      </c>
      <c r="I806" s="77">
        <f>IF(ISNUMBER(N806),N806*fx_deflator!$J$12*fx_deflator!$M$12,"")</f>
        <v/>
      </c>
      <c r="J806" s="77" t="inlineStr">
        <is>
          <t>D8 method: published tariff x (1-0.76) — AgNes 68-HS-site avg Bandlast rebate; band never deleted</t>
        </is>
      </c>
      <c r="K806" s="77" t="inlineStr">
        <is>
          <t>stage4_de r11-12; AgNes GBK-25-01-1#3</t>
        </is>
      </c>
      <c r="L806" s="77" t="inlineStr">
        <is>
          <t>2026-07-15</t>
        </is>
      </c>
      <c r="M806" s="77" t="inlineStr">
        <is>
          <t>Y</t>
        </is>
      </c>
      <c r="N806" s="136">
        <f>IF(ISNUMBER(timeseries!K42),timeseries!K42,"")</f>
        <v/>
      </c>
      <c r="O806" s="77" t="inlineStr">
        <is>
          <t>EUR/MWh nominal</t>
        </is>
      </c>
      <c r="P806" s="77" t="inlineStr">
        <is>
          <t>2011=0 (exemption era, D32); NEVER delete the band (timeseries r43-44)</t>
        </is>
      </c>
    </row>
    <row r="807" ht="15" customHeight="1" s="78">
      <c r="A807" s="77" t="inlineStr">
        <is>
          <t>DE</t>
        </is>
      </c>
      <c r="B807" s="77" t="n">
        <v>2017</v>
      </c>
      <c r="C807" s="77" t="inlineStr">
        <is>
          <t>large</t>
        </is>
      </c>
      <c r="D807" s="77" t="inlineStr">
        <is>
          <t>E2</t>
        </is>
      </c>
      <c r="E807" s="77" t="inlineStr">
        <is>
          <t>EEG-Umlage after BesAR (0.05 ct floor era-central)</t>
        </is>
      </c>
      <c r="F807" s="77" t="inlineStr">
        <is>
          <t>2 Gen capital recovery</t>
        </is>
      </c>
      <c r="G807" s="77" t="inlineStr">
        <is>
          <t>renewables levy (Umlage)</t>
        </is>
      </c>
      <c r="H807" s="77" t="inlineStr">
        <is>
          <t>i (relief socialised via Umlage on others = ii)</t>
        </is>
      </c>
      <c r="I807" s="77">
        <f>IF(ISNUMBER(N807),N807*fx_deflator!$J$12*fx_deflator!$M$12,"")</f>
        <v/>
      </c>
      <c r="J807" s="77" t="inlineStr">
        <is>
          <t>EEG 2012 sec.41 / EEG 2014+ sec.64 (BesAR); D24/D25 conventions</t>
        </is>
      </c>
      <c r="K807" s="77" t="inlineStr">
        <is>
          <t>stage4_de r21 + timeseries r45/62</t>
        </is>
      </c>
      <c r="L807" s="77" t="inlineStr">
        <is>
          <t>2026-07-15</t>
        </is>
      </c>
      <c r="M807" s="77" t="inlineStr">
        <is>
          <t>Y</t>
        </is>
      </c>
      <c r="N807" s="136">
        <f>IF(ISNUMBER(timeseries!K45),timeseries!K45,"")</f>
        <v/>
      </c>
      <c r="O807" s="77" t="inlineStr">
        <is>
          <t>EUR/MWh nominal</t>
        </is>
      </c>
    </row>
    <row r="808" ht="15" customHeight="1" s="78">
      <c r="A808" s="77" t="inlineStr">
        <is>
          <t>DE</t>
        </is>
      </c>
      <c r="B808" s="77" t="n">
        <v>2017</v>
      </c>
      <c r="C808" s="77" t="inlineStr">
        <is>
          <t>large</t>
        </is>
      </c>
      <c r="D808" s="77" t="inlineStr">
        <is>
          <t>E2</t>
        </is>
      </c>
      <c r="E808" s="77" t="inlineStr">
        <is>
          <t>KWKG-Umlage (C-prime blend 2016; =E1 other years, D25)</t>
        </is>
      </c>
      <c r="F808" s="77" t="inlineStr">
        <is>
          <t>2 Gen capital recovery</t>
        </is>
      </c>
      <c r="G808" s="77" t="inlineStr">
        <is>
          <t>CHP levy (Umlage)</t>
        </is>
      </c>
      <c r="H808" s="77" t="inlineStr">
        <is>
          <t>i</t>
        </is>
      </c>
      <c r="I808" s="77">
        <f>IF(ISNUMBER(N808),N808*fx_deflator!$J$12*fx_deflator!$M$12,"")</f>
        <v/>
      </c>
      <c r="J808" s="77" t="inlineStr">
        <is>
          <t>netztransparenz Uebersicht KWKG-Aufschlaege 2002-2016 + per-year pages; tranche blends</t>
        </is>
      </c>
      <c r="K808" s="77" t="inlineStr">
        <is>
          <t>stage4_de r22-24</t>
        </is>
      </c>
      <c r="L808" s="77" t="inlineStr">
        <is>
          <t>2026-07-15</t>
        </is>
      </c>
      <c r="M808" s="77" t="inlineStr">
        <is>
          <t>Y</t>
        </is>
      </c>
      <c r="N808" s="136">
        <f>IF(ISNUMBER(timeseries!K47),timeseries!K47,"")</f>
        <v/>
      </c>
      <c r="O808" s="77" t="inlineStr">
        <is>
          <t>EUR/MWh nominal</t>
        </is>
      </c>
    </row>
    <row r="809" ht="15" customHeight="1" s="78">
      <c r="A809" s="77" t="inlineStr">
        <is>
          <t>DE</t>
        </is>
      </c>
      <c r="B809" s="77" t="n">
        <v>2017</v>
      </c>
      <c r="C809" s="77" t="inlineStr">
        <is>
          <t>large</t>
        </is>
      </c>
      <c r="D809" s="77" t="inlineStr">
        <is>
          <t>E2</t>
        </is>
      </c>
      <c r="E809" s="77" t="inlineStr">
        <is>
          <t>sec.19 StromNEV-Umlage (C-prime blend)</t>
        </is>
      </c>
      <c r="F809" s="77" t="inlineStr">
        <is>
          <t>4 System services &amp; balancing</t>
        </is>
      </c>
      <c r="G809" s="77" t="inlineStr">
        <is>
          <t>network levy (Umlage)</t>
        </is>
      </c>
      <c r="H809" s="77" t="inlineStr">
        <is>
          <t>ii (pays for other users net-charge relief)</t>
        </is>
      </c>
      <c r="I809" s="77">
        <f>IF(ISNUMBER(N809),N809*fx_deflator!$J$12*fx_deflator!$M$12,"")</f>
        <v/>
      </c>
      <c r="J809" s="77" t="inlineStr">
        <is>
          <t>netztransparenz per-year Umlagen pages (A-prime/B-prime/C-prime)</t>
        </is>
      </c>
      <c r="K809" s="77" t="inlineStr">
        <is>
          <t>stage4_de r25-27</t>
        </is>
      </c>
      <c r="L809" s="77" t="inlineStr">
        <is>
          <t>2026-07-15</t>
        </is>
      </c>
      <c r="M809" s="77" t="inlineStr">
        <is>
          <t>Y</t>
        </is>
      </c>
      <c r="N809" s="136">
        <f>IF(ISNUMBER(timeseries!K48),timeseries!K48,"")</f>
        <v/>
      </c>
      <c r="O809" s="77" t="inlineStr">
        <is>
          <t>EUR/MWh nominal</t>
        </is>
      </c>
    </row>
    <row r="810" ht="15" customHeight="1" s="78">
      <c r="A810" s="77" t="inlineStr">
        <is>
          <t>DE</t>
        </is>
      </c>
      <c r="B810" s="77" t="n">
        <v>2017</v>
      </c>
      <c r="C810" s="77" t="inlineStr">
        <is>
          <t>large</t>
        </is>
      </c>
      <c r="D810" s="77" t="inlineStr">
        <is>
          <t>E2</t>
        </is>
      </c>
      <c r="E810" s="77" t="inlineStr">
        <is>
          <t>Offshore-Netzumlage (Kat-C blend 2013-18; =E1 2019+, D25)</t>
        </is>
      </c>
      <c r="F810" s="77" t="inlineStr">
        <is>
          <t>2 Gen capital recovery</t>
        </is>
      </c>
      <c r="G810" s="77" t="inlineStr">
        <is>
          <t>offshore grid levy (Umlage)</t>
        </is>
      </c>
      <c r="H810" s="77" t="inlineStr">
        <is>
          <t>i</t>
        </is>
      </c>
      <c r="I810" s="77">
        <f>IF(ISNUMBER(N810),N810*fx_deflator!$J$12*fx_deflator!$M$12,"")</f>
        <v/>
      </c>
      <c r="J810" s="77" t="inlineStr">
        <is>
          <t>netztransparenz Offshore-Umlage per-year pages</t>
        </is>
      </c>
      <c r="K810" s="77" t="inlineStr">
        <is>
          <t>stage4_de r28-30</t>
        </is>
      </c>
      <c r="L810" s="77" t="inlineStr">
        <is>
          <t>2026-07-15</t>
        </is>
      </c>
      <c r="M810" s="77" t="inlineStr">
        <is>
          <t>Y</t>
        </is>
      </c>
      <c r="N810" s="136">
        <f>IF(ISNUMBER(timeseries!K49),timeseries!K49,"")</f>
        <v/>
      </c>
      <c r="O810" s="77" t="inlineStr">
        <is>
          <t>EUR/MWh nominal</t>
        </is>
      </c>
    </row>
    <row r="811" ht="15" customHeight="1" s="78">
      <c r="A811" s="77" t="inlineStr">
        <is>
          <t>DE</t>
        </is>
      </c>
      <c r="B811" s="77" t="n">
        <v>2017</v>
      </c>
      <c r="C811" s="77" t="inlineStr">
        <is>
          <t>large</t>
        </is>
      </c>
      <c r="D811" s="77" t="inlineStr">
        <is>
          <t>E2</t>
        </is>
      </c>
      <c r="E811" s="77" t="inlineStr">
        <is>
          <t>AbLaV-Umlage</t>
        </is>
      </c>
      <c r="F811" s="77" t="inlineStr">
        <is>
          <t>4 System services &amp; balancing</t>
        </is>
      </c>
      <c r="G811" s="77" t="inlineStr">
        <is>
          <t>interruptible-load levy (Umlage)</t>
        </is>
      </c>
      <c r="H811" s="77" t="inlineStr">
        <is>
          <t>i</t>
        </is>
      </c>
      <c r="I811" s="77">
        <f>IF(ISNUMBER(N811),N811*fx_deflator!$J$12*fx_deflator!$M$12,"")</f>
        <v/>
      </c>
      <c r="J811" s="77" t="inlineStr">
        <is>
          <t>netztransparenz AbLaV-Umlage per-year pages (ends 2022)</t>
        </is>
      </c>
      <c r="K811" s="77" t="inlineStr">
        <is>
          <t>stage4_de r31</t>
        </is>
      </c>
      <c r="L811" s="77" t="inlineStr">
        <is>
          <t>2026-07-15</t>
        </is>
      </c>
      <c r="M811" s="77" t="inlineStr">
        <is>
          <t>N</t>
        </is>
      </c>
      <c r="N811" s="136">
        <f>IF(ISNUMBER(timeseries!K39),timeseries!K39,"")</f>
        <v/>
      </c>
      <c r="O811" s="77" t="inlineStr">
        <is>
          <t>EUR/MWh nominal</t>
        </is>
      </c>
    </row>
    <row r="812" ht="15" customHeight="1" s="78">
      <c r="A812" s="77" t="inlineStr">
        <is>
          <t>DE</t>
        </is>
      </c>
      <c r="B812" s="77" t="n">
        <v>2017</v>
      </c>
      <c r="C812" s="77" t="inlineStr">
        <is>
          <t>large</t>
        </is>
      </c>
      <c r="D812" s="77" t="inlineStr">
        <is>
          <t>E2</t>
        </is>
      </c>
      <c r="E812" s="77" t="inlineStr">
        <is>
          <t>Stromsteuer relieved (sec.9(3) 2010; sec.9b 2011+; 0.50 from 2024)</t>
        </is>
      </c>
      <c r="F812" s="77" t="inlineStr">
        <is>
          <t>5 General taxation &amp; levies</t>
        </is>
      </c>
      <c r="G812" s="77" t="inlineStr">
        <is>
          <t>electricity tax</t>
        </is>
      </c>
      <c r="H812" s="77" t="inlineStr">
        <is>
          <t>i (relief = foregone tax, iii)</t>
        </is>
      </c>
      <c r="I812" s="77">
        <f>IF(ISNUMBER(N812),N812*fx_deflator!$J$12*fx_deflator!$M$12,"")</f>
        <v/>
      </c>
      <c r="J812" s="77" t="inlineStr">
        <is>
          <t>StromStG sec.3/sec.9b (BGBl. 2025 I Nr. 340: 0.50 permanent from 2026); gesetze-im-internet.de</t>
        </is>
      </c>
      <c r="K812" s="77" t="inlineStr">
        <is>
          <t>stage4_de r34-35</t>
        </is>
      </c>
      <c r="L812" s="77" t="inlineStr">
        <is>
          <t>2026-07-15</t>
        </is>
      </c>
      <c r="M812" s="77" t="inlineStr">
        <is>
          <t>N</t>
        </is>
      </c>
      <c r="N812" s="77">
        <f>IF(ISNUMBER(stage4_de!K35),stage4_de!K35,"")</f>
        <v/>
      </c>
      <c r="O812" s="77" t="inlineStr">
        <is>
          <t>EUR/MWh nominal</t>
        </is>
      </c>
    </row>
    <row r="813" ht="15" customHeight="1" s="78">
      <c r="A813" s="77" t="inlineStr">
        <is>
          <t>DE</t>
        </is>
      </c>
      <c r="B813" s="77" t="n">
        <v>2017</v>
      </c>
      <c r="C813" s="77" t="inlineStr">
        <is>
          <t>large</t>
        </is>
      </c>
      <c r="D813" s="77" t="inlineStr">
        <is>
          <t>E2</t>
        </is>
      </c>
      <c r="E813" s="77" t="inlineStr">
        <is>
          <t>Konzessionsabgabe (0 via Grenzpreis rule)</t>
        </is>
      </c>
      <c r="F813" s="77" t="inlineStr">
        <is>
          <t>5 General taxation &amp; levies</t>
        </is>
      </c>
      <c r="G813" s="77" t="inlineStr">
        <is>
          <t>concession fee</t>
        </is>
      </c>
      <c r="H813" s="77" t="inlineStr">
        <is>
          <t>i</t>
        </is>
      </c>
      <c r="I813" s="77">
        <f>IF(ISNUMBER(N813),N813*fx_deflator!$J$12*fx_deflator!$M$12,"")</f>
        <v/>
      </c>
      <c r="J813" s="77" t="inlineStr">
        <is>
          <t>KAV sec.2(3)/(4) Grenzpreis rule -&gt; 0 for Sondervertragskunden</t>
        </is>
      </c>
      <c r="K813" s="77" t="inlineStr">
        <is>
          <t>stage4_de r36</t>
        </is>
      </c>
      <c r="L813" s="77" t="inlineStr">
        <is>
          <t>2026-07-15</t>
        </is>
      </c>
      <c r="M813" s="77" t="inlineStr">
        <is>
          <t>N</t>
        </is>
      </c>
      <c r="N813" s="77">
        <f>IF(ISNUMBER(stage4_de!K36),stage4_de!K36*10,"")</f>
        <v/>
      </c>
      <c r="O813" s="77" t="inlineStr">
        <is>
          <t>EUR/MWh nominal</t>
        </is>
      </c>
    </row>
    <row r="814" ht="15" customHeight="1" s="78">
      <c r="A814" s="77" t="inlineStr">
        <is>
          <t>DE</t>
        </is>
      </c>
      <c r="B814" s="77" t="n">
        <v>2018</v>
      </c>
      <c r="C814" s="77" t="inlineStr">
        <is>
          <t>large</t>
        </is>
      </c>
      <c r="D814" s="77" t="inlineStr">
        <is>
          <t>E2</t>
        </is>
      </c>
      <c r="E814" s="77" t="inlineStr">
        <is>
          <t>Wholesale (Phelix base front-year)</t>
        </is>
      </c>
      <c r="F814" s="77" t="inlineStr">
        <is>
          <t>1 Commodity</t>
        </is>
      </c>
      <c r="G814" s="77" t="inlineStr">
        <is>
          <t>wholesale market</t>
        </is>
      </c>
      <c r="H814" s="77" t="inlineStr">
        <is>
          <t>i</t>
        </is>
      </c>
      <c r="I814" s="77">
        <f>IF(ISNUMBER(N814),N814*fx_deflator!$J$13*fx_deflator!$M$13,"")</f>
        <v/>
      </c>
      <c r="J814" s="77" t="inlineStr">
        <is>
          <t>BNetzA Monitoringberichte — Phelix base front-year by trading yr -&gt; delivery yr; 2026 = D29</t>
        </is>
      </c>
      <c r="K814" s="77" t="inlineStr">
        <is>
          <t>stage4_de r7</t>
        </is>
      </c>
      <c r="L814" s="77" t="inlineStr">
        <is>
          <t>2026-07-15</t>
        </is>
      </c>
      <c r="M814" s="77" t="inlineStr">
        <is>
          <t>Y</t>
        </is>
      </c>
      <c r="N814" s="136">
        <f>IF(ISNUMBER(timeseries!L32),timeseries!L32,"")</f>
        <v/>
      </c>
      <c r="O814" s="77" t="inlineStr">
        <is>
          <t>EUR/MWh nominal</t>
        </is>
      </c>
    </row>
    <row r="815" ht="15" customHeight="1" s="78">
      <c r="A815" s="77" t="inlineStr">
        <is>
          <t>DE</t>
        </is>
      </c>
      <c r="B815" s="77" t="n">
        <v>2018</v>
      </c>
      <c r="C815" s="77" t="inlineStr">
        <is>
          <t>large</t>
        </is>
      </c>
      <c r="D815" s="77" t="inlineStr">
        <is>
          <t>E2</t>
        </is>
      </c>
      <c r="E815" s="77" t="inlineStr">
        <is>
          <t>Netzentgelte HoeS after sec.19(2) individual charge (D8 central; band low=10 pct floor, high=full tariff)</t>
        </is>
      </c>
      <c r="F815" s="77" t="inlineStr">
        <is>
          <t>3 Network</t>
        </is>
      </c>
      <c r="G815" s="77" t="inlineStr">
        <is>
          <t>transmission network charge</t>
        </is>
      </c>
      <c r="H815" s="77" t="inlineStr">
        <is>
          <t>i (relief funded via sec.19-Umlage = ii instrument)</t>
        </is>
      </c>
      <c r="I815" s="77">
        <f>IF(ISNUMBER(N815),N815*fx_deflator!$J$13*fx_deflator!$M$13,"")</f>
        <v/>
      </c>
      <c r="J815" s="77" t="inlineStr">
        <is>
          <t>D8 method: published tariff x (1-0.76) — AgNes 68-HS-site avg Bandlast rebate; band never deleted</t>
        </is>
      </c>
      <c r="K815" s="77" t="inlineStr">
        <is>
          <t>stage4_de r11-12; AgNes GBK-25-01-1#3</t>
        </is>
      </c>
      <c r="L815" s="77" t="inlineStr">
        <is>
          <t>2026-07-15</t>
        </is>
      </c>
      <c r="M815" s="77" t="inlineStr">
        <is>
          <t>Y</t>
        </is>
      </c>
      <c r="N815" s="136">
        <f>IF(ISNUMBER(timeseries!L42),timeseries!L42,"")</f>
        <v/>
      </c>
      <c r="O815" s="77" t="inlineStr">
        <is>
          <t>EUR/MWh nominal</t>
        </is>
      </c>
      <c r="P815" s="77" t="inlineStr">
        <is>
          <t>2011=0 (exemption era, D32); NEVER delete the band (timeseries r43-44)</t>
        </is>
      </c>
    </row>
    <row r="816" ht="15" customHeight="1" s="78">
      <c r="A816" s="77" t="inlineStr">
        <is>
          <t>DE</t>
        </is>
      </c>
      <c r="B816" s="77" t="n">
        <v>2018</v>
      </c>
      <c r="C816" s="77" t="inlineStr">
        <is>
          <t>large</t>
        </is>
      </c>
      <c r="D816" s="77" t="inlineStr">
        <is>
          <t>E2</t>
        </is>
      </c>
      <c r="E816" s="77" t="inlineStr">
        <is>
          <t>EEG-Umlage after BesAR (0.05 ct floor era-central)</t>
        </is>
      </c>
      <c r="F816" s="77" t="inlineStr">
        <is>
          <t>2 Gen capital recovery</t>
        </is>
      </c>
      <c r="G816" s="77" t="inlineStr">
        <is>
          <t>renewables levy (Umlage)</t>
        </is>
      </c>
      <c r="H816" s="77" t="inlineStr">
        <is>
          <t>i (relief socialised via Umlage on others = ii)</t>
        </is>
      </c>
      <c r="I816" s="77">
        <f>IF(ISNUMBER(N816),N816*fx_deflator!$J$13*fx_deflator!$M$13,"")</f>
        <v/>
      </c>
      <c r="J816" s="77" t="inlineStr">
        <is>
          <t>EEG 2012 sec.41 / EEG 2014+ sec.64 (BesAR); D24/D25 conventions</t>
        </is>
      </c>
      <c r="K816" s="77" t="inlineStr">
        <is>
          <t>stage4_de r21 + timeseries r45/62</t>
        </is>
      </c>
      <c r="L816" s="77" t="inlineStr">
        <is>
          <t>2026-07-15</t>
        </is>
      </c>
      <c r="M816" s="77" t="inlineStr">
        <is>
          <t>Y</t>
        </is>
      </c>
      <c r="N816" s="136">
        <f>IF(ISNUMBER(timeseries!L45),timeseries!L45,"")</f>
        <v/>
      </c>
      <c r="O816" s="77" t="inlineStr">
        <is>
          <t>EUR/MWh nominal</t>
        </is>
      </c>
    </row>
    <row r="817" ht="15" customHeight="1" s="78">
      <c r="A817" s="77" t="inlineStr">
        <is>
          <t>DE</t>
        </is>
      </c>
      <c r="B817" s="77" t="n">
        <v>2018</v>
      </c>
      <c r="C817" s="77" t="inlineStr">
        <is>
          <t>large</t>
        </is>
      </c>
      <c r="D817" s="77" t="inlineStr">
        <is>
          <t>E2</t>
        </is>
      </c>
      <c r="E817" s="77" t="inlineStr">
        <is>
          <t>KWKG-Umlage (C-prime blend 2016; =E1 other years, D25)</t>
        </is>
      </c>
      <c r="F817" s="77" t="inlineStr">
        <is>
          <t>2 Gen capital recovery</t>
        </is>
      </c>
      <c r="G817" s="77" t="inlineStr">
        <is>
          <t>CHP levy (Umlage)</t>
        </is>
      </c>
      <c r="H817" s="77" t="inlineStr">
        <is>
          <t>i</t>
        </is>
      </c>
      <c r="I817" s="77">
        <f>IF(ISNUMBER(N817),N817*fx_deflator!$J$13*fx_deflator!$M$13,"")</f>
        <v/>
      </c>
      <c r="J817" s="77" t="inlineStr">
        <is>
          <t>netztransparenz Uebersicht KWKG-Aufschlaege 2002-2016 + per-year pages; tranche blends</t>
        </is>
      </c>
      <c r="K817" s="77" t="inlineStr">
        <is>
          <t>stage4_de r22-24</t>
        </is>
      </c>
      <c r="L817" s="77" t="inlineStr">
        <is>
          <t>2026-07-15</t>
        </is>
      </c>
      <c r="M817" s="77" t="inlineStr">
        <is>
          <t>Y</t>
        </is>
      </c>
      <c r="N817" s="136">
        <f>IF(ISNUMBER(timeseries!L47),timeseries!L47,"")</f>
        <v/>
      </c>
      <c r="O817" s="77" t="inlineStr">
        <is>
          <t>EUR/MWh nominal</t>
        </is>
      </c>
    </row>
    <row r="818" ht="15" customHeight="1" s="78">
      <c r="A818" s="77" t="inlineStr">
        <is>
          <t>DE</t>
        </is>
      </c>
      <c r="B818" s="77" t="n">
        <v>2018</v>
      </c>
      <c r="C818" s="77" t="inlineStr">
        <is>
          <t>large</t>
        </is>
      </c>
      <c r="D818" s="77" t="inlineStr">
        <is>
          <t>E2</t>
        </is>
      </c>
      <c r="E818" s="77" t="inlineStr">
        <is>
          <t>sec.19 StromNEV-Umlage (C-prime blend)</t>
        </is>
      </c>
      <c r="F818" s="77" t="inlineStr">
        <is>
          <t>4 System services &amp; balancing</t>
        </is>
      </c>
      <c r="G818" s="77" t="inlineStr">
        <is>
          <t>network levy (Umlage)</t>
        </is>
      </c>
      <c r="H818" s="77" t="inlineStr">
        <is>
          <t>ii (pays for other users net-charge relief)</t>
        </is>
      </c>
      <c r="I818" s="77">
        <f>IF(ISNUMBER(N818),N818*fx_deflator!$J$13*fx_deflator!$M$13,"")</f>
        <v/>
      </c>
      <c r="J818" s="77" t="inlineStr">
        <is>
          <t>netztransparenz per-year Umlagen pages (A-prime/B-prime/C-prime)</t>
        </is>
      </c>
      <c r="K818" s="77" t="inlineStr">
        <is>
          <t>stage4_de r25-27</t>
        </is>
      </c>
      <c r="L818" s="77" t="inlineStr">
        <is>
          <t>2026-07-15</t>
        </is>
      </c>
      <c r="M818" s="77" t="inlineStr">
        <is>
          <t>Y</t>
        </is>
      </c>
      <c r="N818" s="136">
        <f>IF(ISNUMBER(timeseries!L48),timeseries!L48,"")</f>
        <v/>
      </c>
      <c r="O818" s="77" t="inlineStr">
        <is>
          <t>EUR/MWh nominal</t>
        </is>
      </c>
    </row>
    <row r="819" ht="15" customHeight="1" s="78">
      <c r="A819" s="77" t="inlineStr">
        <is>
          <t>DE</t>
        </is>
      </c>
      <c r="B819" s="77" t="n">
        <v>2018</v>
      </c>
      <c r="C819" s="77" t="inlineStr">
        <is>
          <t>large</t>
        </is>
      </c>
      <c r="D819" s="77" t="inlineStr">
        <is>
          <t>E2</t>
        </is>
      </c>
      <c r="E819" s="77" t="inlineStr">
        <is>
          <t>Offshore-Netzumlage (Kat-C blend 2013-18; =E1 2019+, D25)</t>
        </is>
      </c>
      <c r="F819" s="77" t="inlineStr">
        <is>
          <t>2 Gen capital recovery</t>
        </is>
      </c>
      <c r="G819" s="77" t="inlineStr">
        <is>
          <t>offshore grid levy (Umlage)</t>
        </is>
      </c>
      <c r="H819" s="77" t="inlineStr">
        <is>
          <t>i</t>
        </is>
      </c>
      <c r="I819" s="77">
        <f>IF(ISNUMBER(N819),N819*fx_deflator!$J$13*fx_deflator!$M$13,"")</f>
        <v/>
      </c>
      <c r="J819" s="77" t="inlineStr">
        <is>
          <t>netztransparenz Offshore-Umlage per-year pages</t>
        </is>
      </c>
      <c r="K819" s="77" t="inlineStr">
        <is>
          <t>stage4_de r28-30</t>
        </is>
      </c>
      <c r="L819" s="77" t="inlineStr">
        <is>
          <t>2026-07-15</t>
        </is>
      </c>
      <c r="M819" s="77" t="inlineStr">
        <is>
          <t>Y</t>
        </is>
      </c>
      <c r="N819" s="136">
        <f>IF(ISNUMBER(timeseries!L49),timeseries!L49,"")</f>
        <v/>
      </c>
      <c r="O819" s="77" t="inlineStr">
        <is>
          <t>EUR/MWh nominal</t>
        </is>
      </c>
    </row>
    <row r="820" ht="15" customHeight="1" s="78">
      <c r="A820" s="77" t="inlineStr">
        <is>
          <t>DE</t>
        </is>
      </c>
      <c r="B820" s="77" t="n">
        <v>2018</v>
      </c>
      <c r="C820" s="77" t="inlineStr">
        <is>
          <t>large</t>
        </is>
      </c>
      <c r="D820" s="77" t="inlineStr">
        <is>
          <t>E2</t>
        </is>
      </c>
      <c r="E820" s="77" t="inlineStr">
        <is>
          <t>AbLaV-Umlage</t>
        </is>
      </c>
      <c r="F820" s="77" t="inlineStr">
        <is>
          <t>4 System services &amp; balancing</t>
        </is>
      </c>
      <c r="G820" s="77" t="inlineStr">
        <is>
          <t>interruptible-load levy (Umlage)</t>
        </is>
      </c>
      <c r="H820" s="77" t="inlineStr">
        <is>
          <t>i</t>
        </is>
      </c>
      <c r="I820" s="77">
        <f>IF(ISNUMBER(N820),N820*fx_deflator!$J$13*fx_deflator!$M$13,"")</f>
        <v/>
      </c>
      <c r="J820" s="77" t="inlineStr">
        <is>
          <t>netztransparenz AbLaV-Umlage per-year pages (ends 2022)</t>
        </is>
      </c>
      <c r="K820" s="77" t="inlineStr">
        <is>
          <t>stage4_de r31</t>
        </is>
      </c>
      <c r="L820" s="77" t="inlineStr">
        <is>
          <t>2026-07-15</t>
        </is>
      </c>
      <c r="M820" s="77" t="inlineStr">
        <is>
          <t>N</t>
        </is>
      </c>
      <c r="N820" s="136">
        <f>IF(ISNUMBER(timeseries!L39),timeseries!L39,"")</f>
        <v/>
      </c>
      <c r="O820" s="77" t="inlineStr">
        <is>
          <t>EUR/MWh nominal</t>
        </is>
      </c>
    </row>
    <row r="821" ht="15" customHeight="1" s="78">
      <c r="A821" s="77" t="inlineStr">
        <is>
          <t>DE</t>
        </is>
      </c>
      <c r="B821" s="77" t="n">
        <v>2018</v>
      </c>
      <c r="C821" s="77" t="inlineStr">
        <is>
          <t>large</t>
        </is>
      </c>
      <c r="D821" s="77" t="inlineStr">
        <is>
          <t>E2</t>
        </is>
      </c>
      <c r="E821" s="77" t="inlineStr">
        <is>
          <t>Stromsteuer relieved (sec.9(3) 2010; sec.9b 2011+; 0.50 from 2024)</t>
        </is>
      </c>
      <c r="F821" s="77" t="inlineStr">
        <is>
          <t>5 General taxation &amp; levies</t>
        </is>
      </c>
      <c r="G821" s="77" t="inlineStr">
        <is>
          <t>electricity tax</t>
        </is>
      </c>
      <c r="H821" s="77" t="inlineStr">
        <is>
          <t>i (relief = foregone tax, iii)</t>
        </is>
      </c>
      <c r="I821" s="77">
        <f>IF(ISNUMBER(N821),N821*fx_deflator!$J$13*fx_deflator!$M$13,"")</f>
        <v/>
      </c>
      <c r="J821" s="77" t="inlineStr">
        <is>
          <t>StromStG sec.3/sec.9b (BGBl. 2025 I Nr. 340: 0.50 permanent from 2026); gesetze-im-internet.de</t>
        </is>
      </c>
      <c r="K821" s="77" t="inlineStr">
        <is>
          <t>stage4_de r34-35</t>
        </is>
      </c>
      <c r="L821" s="77" t="inlineStr">
        <is>
          <t>2026-07-15</t>
        </is>
      </c>
      <c r="M821" s="77" t="inlineStr">
        <is>
          <t>N</t>
        </is>
      </c>
      <c r="N821" s="77">
        <f>IF(ISNUMBER(stage4_de!L35),stage4_de!L35,"")</f>
        <v/>
      </c>
      <c r="O821" s="77" t="inlineStr">
        <is>
          <t>EUR/MWh nominal</t>
        </is>
      </c>
    </row>
    <row r="822" ht="15" customHeight="1" s="78">
      <c r="A822" s="77" t="inlineStr">
        <is>
          <t>DE</t>
        </is>
      </c>
      <c r="B822" s="77" t="n">
        <v>2018</v>
      </c>
      <c r="C822" s="77" t="inlineStr">
        <is>
          <t>large</t>
        </is>
      </c>
      <c r="D822" s="77" t="inlineStr">
        <is>
          <t>E2</t>
        </is>
      </c>
      <c r="E822" s="77" t="inlineStr">
        <is>
          <t>Konzessionsabgabe (0 via Grenzpreis rule)</t>
        </is>
      </c>
      <c r="F822" s="77" t="inlineStr">
        <is>
          <t>5 General taxation &amp; levies</t>
        </is>
      </c>
      <c r="G822" s="77" t="inlineStr">
        <is>
          <t>concession fee</t>
        </is>
      </c>
      <c r="H822" s="77" t="inlineStr">
        <is>
          <t>i</t>
        </is>
      </c>
      <c r="I822" s="77">
        <f>IF(ISNUMBER(N822),N822*fx_deflator!$J$13*fx_deflator!$M$13,"")</f>
        <v/>
      </c>
      <c r="J822" s="77" t="inlineStr">
        <is>
          <t>KAV sec.2(3)/(4) Grenzpreis rule -&gt; 0 for Sondervertragskunden</t>
        </is>
      </c>
      <c r="K822" s="77" t="inlineStr">
        <is>
          <t>stage4_de r36</t>
        </is>
      </c>
      <c r="L822" s="77" t="inlineStr">
        <is>
          <t>2026-07-15</t>
        </is>
      </c>
      <c r="M822" s="77" t="inlineStr">
        <is>
          <t>N</t>
        </is>
      </c>
      <c r="N822" s="77">
        <f>IF(ISNUMBER(stage4_de!L36),stage4_de!L36*10,"")</f>
        <v/>
      </c>
      <c r="O822" s="77" t="inlineStr">
        <is>
          <t>EUR/MWh nominal</t>
        </is>
      </c>
    </row>
    <row r="823" ht="15" customHeight="1" s="78">
      <c r="A823" s="77" t="inlineStr">
        <is>
          <t>DE</t>
        </is>
      </c>
      <c r="B823" s="77" t="n">
        <v>2019</v>
      </c>
      <c r="C823" s="77" t="inlineStr">
        <is>
          <t>large</t>
        </is>
      </c>
      <c r="D823" s="77" t="inlineStr">
        <is>
          <t>E2</t>
        </is>
      </c>
      <c r="E823" s="77" t="inlineStr">
        <is>
          <t>Wholesale (Phelix base front-year)</t>
        </is>
      </c>
      <c r="F823" s="77" t="inlineStr">
        <is>
          <t>1 Commodity</t>
        </is>
      </c>
      <c r="G823" s="77" t="inlineStr">
        <is>
          <t>wholesale market</t>
        </is>
      </c>
      <c r="H823" s="77" t="inlineStr">
        <is>
          <t>i</t>
        </is>
      </c>
      <c r="I823" s="77">
        <f>IF(ISNUMBER(N823),N823*fx_deflator!$J$14*fx_deflator!$M$14,"")</f>
        <v/>
      </c>
      <c r="J823" s="77" t="inlineStr">
        <is>
          <t>BNetzA Monitoringberichte — Phelix base front-year by trading yr -&gt; delivery yr; 2026 = D29</t>
        </is>
      </c>
      <c r="K823" s="77" t="inlineStr">
        <is>
          <t>stage4_de r7</t>
        </is>
      </c>
      <c r="L823" s="77" t="inlineStr">
        <is>
          <t>2026-07-15</t>
        </is>
      </c>
      <c r="M823" s="77" t="inlineStr">
        <is>
          <t>Y</t>
        </is>
      </c>
      <c r="N823" s="136">
        <f>IF(ISNUMBER(timeseries!M32),timeseries!M32,"")</f>
        <v/>
      </c>
      <c r="O823" s="77" t="inlineStr">
        <is>
          <t>EUR/MWh nominal</t>
        </is>
      </c>
    </row>
    <row r="824" ht="15" customHeight="1" s="78">
      <c r="A824" s="77" t="inlineStr">
        <is>
          <t>DE</t>
        </is>
      </c>
      <c r="B824" s="77" t="n">
        <v>2019</v>
      </c>
      <c r="C824" s="77" t="inlineStr">
        <is>
          <t>large</t>
        </is>
      </c>
      <c r="D824" s="77" t="inlineStr">
        <is>
          <t>E2</t>
        </is>
      </c>
      <c r="E824" s="77" t="inlineStr">
        <is>
          <t>Netzentgelte HoeS after sec.19(2) individual charge (D8 central; band low=10 pct floor, high=full tariff)</t>
        </is>
      </c>
      <c r="F824" s="77" t="inlineStr">
        <is>
          <t>3 Network</t>
        </is>
      </c>
      <c r="G824" s="77" t="inlineStr">
        <is>
          <t>transmission network charge</t>
        </is>
      </c>
      <c r="H824" s="77" t="inlineStr">
        <is>
          <t>i (relief funded via sec.19-Umlage = ii instrument)</t>
        </is>
      </c>
      <c r="I824" s="77">
        <f>IF(ISNUMBER(N824),N824*fx_deflator!$J$14*fx_deflator!$M$14,"")</f>
        <v/>
      </c>
      <c r="J824" s="77" t="inlineStr">
        <is>
          <t>D8 method: published tariff x (1-0.76) — AgNes 68-HS-site avg Bandlast rebate; band never deleted</t>
        </is>
      </c>
      <c r="K824" s="77" t="inlineStr">
        <is>
          <t>stage4_de r11-12; AgNes GBK-25-01-1#3</t>
        </is>
      </c>
      <c r="L824" s="77" t="inlineStr">
        <is>
          <t>2026-07-15</t>
        </is>
      </c>
      <c r="M824" s="77" t="inlineStr">
        <is>
          <t>Y</t>
        </is>
      </c>
      <c r="N824" s="136">
        <f>IF(ISNUMBER(timeseries!M42),timeseries!M42,"")</f>
        <v/>
      </c>
      <c r="O824" s="77" t="inlineStr">
        <is>
          <t>EUR/MWh nominal</t>
        </is>
      </c>
      <c r="P824" s="77" t="inlineStr">
        <is>
          <t>2011=0 (exemption era, D32); NEVER delete the band (timeseries r43-44)</t>
        </is>
      </c>
    </row>
    <row r="825" ht="15" customHeight="1" s="78">
      <c r="A825" s="77" t="inlineStr">
        <is>
          <t>DE</t>
        </is>
      </c>
      <c r="B825" s="77" t="n">
        <v>2019</v>
      </c>
      <c r="C825" s="77" t="inlineStr">
        <is>
          <t>large</t>
        </is>
      </c>
      <c r="D825" s="77" t="inlineStr">
        <is>
          <t>E2</t>
        </is>
      </c>
      <c r="E825" s="77" t="inlineStr">
        <is>
          <t>EEG-Umlage after BesAR (0.05 ct floor era-central)</t>
        </is>
      </c>
      <c r="F825" s="77" t="inlineStr">
        <is>
          <t>2 Gen capital recovery</t>
        </is>
      </c>
      <c r="G825" s="77" t="inlineStr">
        <is>
          <t>renewables levy (Umlage)</t>
        </is>
      </c>
      <c r="H825" s="77" t="inlineStr">
        <is>
          <t>i (relief socialised via Umlage on others = ii)</t>
        </is>
      </c>
      <c r="I825" s="77">
        <f>IF(ISNUMBER(N825),N825*fx_deflator!$J$14*fx_deflator!$M$14,"")</f>
        <v/>
      </c>
      <c r="J825" s="77" t="inlineStr">
        <is>
          <t>EEG 2012 sec.41 / EEG 2014+ sec.64 (BesAR); D24/D25 conventions</t>
        </is>
      </c>
      <c r="K825" s="77" t="inlineStr">
        <is>
          <t>stage4_de r21 + timeseries r45/62</t>
        </is>
      </c>
      <c r="L825" s="77" t="inlineStr">
        <is>
          <t>2026-07-15</t>
        </is>
      </c>
      <c r="M825" s="77" t="inlineStr">
        <is>
          <t>Y</t>
        </is>
      </c>
      <c r="N825" s="136">
        <f>IF(ISNUMBER(timeseries!M45),timeseries!M45,"")</f>
        <v/>
      </c>
      <c r="O825" s="77" t="inlineStr">
        <is>
          <t>EUR/MWh nominal</t>
        </is>
      </c>
    </row>
    <row r="826" ht="15" customHeight="1" s="78">
      <c r="A826" s="77" t="inlineStr">
        <is>
          <t>DE</t>
        </is>
      </c>
      <c r="B826" s="77" t="n">
        <v>2019</v>
      </c>
      <c r="C826" s="77" t="inlineStr">
        <is>
          <t>large</t>
        </is>
      </c>
      <c r="D826" s="77" t="inlineStr">
        <is>
          <t>E2</t>
        </is>
      </c>
      <c r="E826" s="77" t="inlineStr">
        <is>
          <t>KWKG-Umlage (C-prime blend 2016; =E1 other years, D25)</t>
        </is>
      </c>
      <c r="F826" s="77" t="inlineStr">
        <is>
          <t>2 Gen capital recovery</t>
        </is>
      </c>
      <c r="G826" s="77" t="inlineStr">
        <is>
          <t>CHP levy (Umlage)</t>
        </is>
      </c>
      <c r="H826" s="77" t="inlineStr">
        <is>
          <t>i</t>
        </is>
      </c>
      <c r="I826" s="77">
        <f>IF(ISNUMBER(N826),N826*fx_deflator!$J$14*fx_deflator!$M$14,"")</f>
        <v/>
      </c>
      <c r="J826" s="77" t="inlineStr">
        <is>
          <t>netztransparenz Uebersicht KWKG-Aufschlaege 2002-2016 + per-year pages; tranche blends</t>
        </is>
      </c>
      <c r="K826" s="77" t="inlineStr">
        <is>
          <t>stage4_de r22-24</t>
        </is>
      </c>
      <c r="L826" s="77" t="inlineStr">
        <is>
          <t>2026-07-15</t>
        </is>
      </c>
      <c r="M826" s="77" t="inlineStr">
        <is>
          <t>Y</t>
        </is>
      </c>
      <c r="N826" s="136">
        <f>IF(ISNUMBER(timeseries!M47),timeseries!M47,"")</f>
        <v/>
      </c>
      <c r="O826" s="77" t="inlineStr">
        <is>
          <t>EUR/MWh nominal</t>
        </is>
      </c>
    </row>
    <row r="827" ht="15" customHeight="1" s="78">
      <c r="A827" s="77" t="inlineStr">
        <is>
          <t>DE</t>
        </is>
      </c>
      <c r="B827" s="77" t="n">
        <v>2019</v>
      </c>
      <c r="C827" s="77" t="inlineStr">
        <is>
          <t>large</t>
        </is>
      </c>
      <c r="D827" s="77" t="inlineStr">
        <is>
          <t>E2</t>
        </is>
      </c>
      <c r="E827" s="77" t="inlineStr">
        <is>
          <t>sec.19 StromNEV-Umlage (C-prime blend)</t>
        </is>
      </c>
      <c r="F827" s="77" t="inlineStr">
        <is>
          <t>4 System services &amp; balancing</t>
        </is>
      </c>
      <c r="G827" s="77" t="inlineStr">
        <is>
          <t>network levy (Umlage)</t>
        </is>
      </c>
      <c r="H827" s="77" t="inlineStr">
        <is>
          <t>ii (pays for other users net-charge relief)</t>
        </is>
      </c>
      <c r="I827" s="77">
        <f>IF(ISNUMBER(N827),N827*fx_deflator!$J$14*fx_deflator!$M$14,"")</f>
        <v/>
      </c>
      <c r="J827" s="77" t="inlineStr">
        <is>
          <t>netztransparenz per-year Umlagen pages (A-prime/B-prime/C-prime)</t>
        </is>
      </c>
      <c r="K827" s="77" t="inlineStr">
        <is>
          <t>stage4_de r25-27</t>
        </is>
      </c>
      <c r="L827" s="77" t="inlineStr">
        <is>
          <t>2026-07-15</t>
        </is>
      </c>
      <c r="M827" s="77" t="inlineStr">
        <is>
          <t>Y</t>
        </is>
      </c>
      <c r="N827" s="136">
        <f>IF(ISNUMBER(timeseries!M48),timeseries!M48,"")</f>
        <v/>
      </c>
      <c r="O827" s="77" t="inlineStr">
        <is>
          <t>EUR/MWh nominal</t>
        </is>
      </c>
    </row>
    <row r="828" ht="15" customHeight="1" s="78">
      <c r="A828" s="77" t="inlineStr">
        <is>
          <t>DE</t>
        </is>
      </c>
      <c r="B828" s="77" t="n">
        <v>2019</v>
      </c>
      <c r="C828" s="77" t="inlineStr">
        <is>
          <t>large</t>
        </is>
      </c>
      <c r="D828" s="77" t="inlineStr">
        <is>
          <t>E2</t>
        </is>
      </c>
      <c r="E828" s="77" t="inlineStr">
        <is>
          <t>Offshore-Netzumlage (Kat-C blend 2013-18; =E1 2019+, D25)</t>
        </is>
      </c>
      <c r="F828" s="77" t="inlineStr">
        <is>
          <t>2 Gen capital recovery</t>
        </is>
      </c>
      <c r="G828" s="77" t="inlineStr">
        <is>
          <t>offshore grid levy (Umlage)</t>
        </is>
      </c>
      <c r="H828" s="77" t="inlineStr">
        <is>
          <t>i</t>
        </is>
      </c>
      <c r="I828" s="77">
        <f>IF(ISNUMBER(N828),N828*fx_deflator!$J$14*fx_deflator!$M$14,"")</f>
        <v/>
      </c>
      <c r="J828" s="77" t="inlineStr">
        <is>
          <t>netztransparenz Offshore-Umlage per-year pages</t>
        </is>
      </c>
      <c r="K828" s="77" t="inlineStr">
        <is>
          <t>stage4_de r28-30</t>
        </is>
      </c>
      <c r="L828" s="77" t="inlineStr">
        <is>
          <t>2026-07-15</t>
        </is>
      </c>
      <c r="M828" s="77" t="inlineStr">
        <is>
          <t>Y</t>
        </is>
      </c>
      <c r="N828" s="136">
        <f>IF(ISNUMBER(timeseries!M49),timeseries!M49,"")</f>
        <v/>
      </c>
      <c r="O828" s="77" t="inlineStr">
        <is>
          <t>EUR/MWh nominal</t>
        </is>
      </c>
    </row>
    <row r="829" ht="15" customHeight="1" s="78">
      <c r="A829" s="77" t="inlineStr">
        <is>
          <t>DE</t>
        </is>
      </c>
      <c r="B829" s="77" t="n">
        <v>2019</v>
      </c>
      <c r="C829" s="77" t="inlineStr">
        <is>
          <t>large</t>
        </is>
      </c>
      <c r="D829" s="77" t="inlineStr">
        <is>
          <t>E2</t>
        </is>
      </c>
      <c r="E829" s="77" t="inlineStr">
        <is>
          <t>AbLaV-Umlage</t>
        </is>
      </c>
      <c r="F829" s="77" t="inlineStr">
        <is>
          <t>4 System services &amp; balancing</t>
        </is>
      </c>
      <c r="G829" s="77" t="inlineStr">
        <is>
          <t>interruptible-load levy (Umlage)</t>
        </is>
      </c>
      <c r="H829" s="77" t="inlineStr">
        <is>
          <t>i</t>
        </is>
      </c>
      <c r="I829" s="77">
        <f>IF(ISNUMBER(N829),N829*fx_deflator!$J$14*fx_deflator!$M$14,"")</f>
        <v/>
      </c>
      <c r="J829" s="77" t="inlineStr">
        <is>
          <t>netztransparenz AbLaV-Umlage per-year pages (ends 2022)</t>
        </is>
      </c>
      <c r="K829" s="77" t="inlineStr">
        <is>
          <t>stage4_de r31</t>
        </is>
      </c>
      <c r="L829" s="77" t="inlineStr">
        <is>
          <t>2026-07-15</t>
        </is>
      </c>
      <c r="M829" s="77" t="inlineStr">
        <is>
          <t>N</t>
        </is>
      </c>
      <c r="N829" s="136">
        <f>IF(ISNUMBER(timeseries!M39),timeseries!M39,"")</f>
        <v/>
      </c>
      <c r="O829" s="77" t="inlineStr">
        <is>
          <t>EUR/MWh nominal</t>
        </is>
      </c>
    </row>
    <row r="830" ht="15" customHeight="1" s="78">
      <c r="A830" s="77" t="inlineStr">
        <is>
          <t>DE</t>
        </is>
      </c>
      <c r="B830" s="77" t="n">
        <v>2019</v>
      </c>
      <c r="C830" s="77" t="inlineStr">
        <is>
          <t>large</t>
        </is>
      </c>
      <c r="D830" s="77" t="inlineStr">
        <is>
          <t>E2</t>
        </is>
      </c>
      <c r="E830" s="77" t="inlineStr">
        <is>
          <t>Stromsteuer relieved (sec.9(3) 2010; sec.9b 2011+; 0.50 from 2024)</t>
        </is>
      </c>
      <c r="F830" s="77" t="inlineStr">
        <is>
          <t>5 General taxation &amp; levies</t>
        </is>
      </c>
      <c r="G830" s="77" t="inlineStr">
        <is>
          <t>electricity tax</t>
        </is>
      </c>
      <c r="H830" s="77" t="inlineStr">
        <is>
          <t>i (relief = foregone tax, iii)</t>
        </is>
      </c>
      <c r="I830" s="77">
        <f>IF(ISNUMBER(N830),N830*fx_deflator!$J$14*fx_deflator!$M$14,"")</f>
        <v/>
      </c>
      <c r="J830" s="77" t="inlineStr">
        <is>
          <t>StromStG sec.3/sec.9b (BGBl. 2025 I Nr. 340: 0.50 permanent from 2026); gesetze-im-internet.de</t>
        </is>
      </c>
      <c r="K830" s="77" t="inlineStr">
        <is>
          <t>stage4_de r34-35</t>
        </is>
      </c>
      <c r="L830" s="77" t="inlineStr">
        <is>
          <t>2026-07-15</t>
        </is>
      </c>
      <c r="M830" s="77" t="inlineStr">
        <is>
          <t>N</t>
        </is>
      </c>
      <c r="N830" s="77">
        <f>IF(ISNUMBER(stage4_de!M35),stage4_de!M35,"")</f>
        <v/>
      </c>
      <c r="O830" s="77" t="inlineStr">
        <is>
          <t>EUR/MWh nominal</t>
        </is>
      </c>
    </row>
    <row r="831" ht="15" customHeight="1" s="78">
      <c r="A831" s="77" t="inlineStr">
        <is>
          <t>DE</t>
        </is>
      </c>
      <c r="B831" s="77" t="n">
        <v>2019</v>
      </c>
      <c r="C831" s="77" t="inlineStr">
        <is>
          <t>large</t>
        </is>
      </c>
      <c r="D831" s="77" t="inlineStr">
        <is>
          <t>E2</t>
        </is>
      </c>
      <c r="E831" s="77" t="inlineStr">
        <is>
          <t>Konzessionsabgabe (0 via Grenzpreis rule)</t>
        </is>
      </c>
      <c r="F831" s="77" t="inlineStr">
        <is>
          <t>5 General taxation &amp; levies</t>
        </is>
      </c>
      <c r="G831" s="77" t="inlineStr">
        <is>
          <t>concession fee</t>
        </is>
      </c>
      <c r="H831" s="77" t="inlineStr">
        <is>
          <t>i</t>
        </is>
      </c>
      <c r="I831" s="77">
        <f>IF(ISNUMBER(N831),N831*fx_deflator!$J$14*fx_deflator!$M$14,"")</f>
        <v/>
      </c>
      <c r="J831" s="77" t="inlineStr">
        <is>
          <t>KAV sec.2(3)/(4) Grenzpreis rule -&gt; 0 for Sondervertragskunden</t>
        </is>
      </c>
      <c r="K831" s="77" t="inlineStr">
        <is>
          <t>stage4_de r36</t>
        </is>
      </c>
      <c r="L831" s="77" t="inlineStr">
        <is>
          <t>2026-07-15</t>
        </is>
      </c>
      <c r="M831" s="77" t="inlineStr">
        <is>
          <t>N</t>
        </is>
      </c>
      <c r="N831" s="77">
        <f>IF(ISNUMBER(stage4_de!M36),stage4_de!M36*10,"")</f>
        <v/>
      </c>
      <c r="O831" s="77" t="inlineStr">
        <is>
          <t>EUR/MWh nominal</t>
        </is>
      </c>
    </row>
    <row r="832" ht="15" customHeight="1" s="78">
      <c r="A832" s="77" t="inlineStr">
        <is>
          <t>DE</t>
        </is>
      </c>
      <c r="B832" s="77" t="n">
        <v>2020</v>
      </c>
      <c r="C832" s="77" t="inlineStr">
        <is>
          <t>large</t>
        </is>
      </c>
      <c r="D832" s="77" t="inlineStr">
        <is>
          <t>E2</t>
        </is>
      </c>
      <c r="E832" s="77" t="inlineStr">
        <is>
          <t>Wholesale (Phelix base front-year)</t>
        </is>
      </c>
      <c r="F832" s="77" t="inlineStr">
        <is>
          <t>1 Commodity</t>
        </is>
      </c>
      <c r="G832" s="77" t="inlineStr">
        <is>
          <t>wholesale market</t>
        </is>
      </c>
      <c r="H832" s="77" t="inlineStr">
        <is>
          <t>i</t>
        </is>
      </c>
      <c r="I832" s="77">
        <f>IF(ISNUMBER(N832),N832*fx_deflator!$J$15*fx_deflator!$M$15,"")</f>
        <v/>
      </c>
      <c r="J832" s="77" t="inlineStr">
        <is>
          <t>BNetzA Monitoringberichte — Phelix base front-year by trading yr -&gt; delivery yr; 2026 = D29</t>
        </is>
      </c>
      <c r="K832" s="77" t="inlineStr">
        <is>
          <t>stage4_de r7</t>
        </is>
      </c>
      <c r="L832" s="77" t="inlineStr">
        <is>
          <t>2026-07-15</t>
        </is>
      </c>
      <c r="M832" s="77" t="inlineStr">
        <is>
          <t>Y</t>
        </is>
      </c>
      <c r="N832" s="136">
        <f>IF(ISNUMBER(timeseries!N32),timeseries!N32,"")</f>
        <v/>
      </c>
      <c r="O832" s="77" t="inlineStr">
        <is>
          <t>EUR/MWh nominal</t>
        </is>
      </c>
    </row>
    <row r="833" ht="15" customHeight="1" s="78">
      <c r="A833" s="77" t="inlineStr">
        <is>
          <t>DE</t>
        </is>
      </c>
      <c r="B833" s="77" t="n">
        <v>2020</v>
      </c>
      <c r="C833" s="77" t="inlineStr">
        <is>
          <t>large</t>
        </is>
      </c>
      <c r="D833" s="77" t="inlineStr">
        <is>
          <t>E2</t>
        </is>
      </c>
      <c r="E833" s="77" t="inlineStr">
        <is>
          <t>Netzentgelte HoeS after sec.19(2) individual charge (D8 central; band low=10 pct floor, high=full tariff)</t>
        </is>
      </c>
      <c r="F833" s="77" t="inlineStr">
        <is>
          <t>3 Network</t>
        </is>
      </c>
      <c r="G833" s="77" t="inlineStr">
        <is>
          <t>transmission network charge</t>
        </is>
      </c>
      <c r="H833" s="77" t="inlineStr">
        <is>
          <t>i (relief funded via sec.19-Umlage = ii instrument)</t>
        </is>
      </c>
      <c r="I833" s="77">
        <f>IF(ISNUMBER(N833),N833*fx_deflator!$J$15*fx_deflator!$M$15,"")</f>
        <v/>
      </c>
      <c r="J833" s="77" t="inlineStr">
        <is>
          <t>D8 method: published tariff x (1-0.76) — AgNes 68-HS-site avg Bandlast rebate; band never deleted</t>
        </is>
      </c>
      <c r="K833" s="77" t="inlineStr">
        <is>
          <t>stage4_de r11-12; AgNes GBK-25-01-1#3</t>
        </is>
      </c>
      <c r="L833" s="77" t="inlineStr">
        <is>
          <t>2026-07-15</t>
        </is>
      </c>
      <c r="M833" s="77" t="inlineStr">
        <is>
          <t>Y</t>
        </is>
      </c>
      <c r="N833" s="136">
        <f>IF(ISNUMBER(timeseries!N42),timeseries!N42,"")</f>
        <v/>
      </c>
      <c r="O833" s="77" t="inlineStr">
        <is>
          <t>EUR/MWh nominal</t>
        </is>
      </c>
      <c r="P833" s="77" t="inlineStr">
        <is>
          <t>2011=0 (exemption era, D32); NEVER delete the band (timeseries r43-44)</t>
        </is>
      </c>
    </row>
    <row r="834" ht="15" customHeight="1" s="78">
      <c r="A834" s="77" t="inlineStr">
        <is>
          <t>DE</t>
        </is>
      </c>
      <c r="B834" s="77" t="n">
        <v>2020</v>
      </c>
      <c r="C834" s="77" t="inlineStr">
        <is>
          <t>large</t>
        </is>
      </c>
      <c r="D834" s="77" t="inlineStr">
        <is>
          <t>E2</t>
        </is>
      </c>
      <c r="E834" s="77" t="inlineStr">
        <is>
          <t>EEG-Umlage after BesAR (0.05 ct floor era-central)</t>
        </is>
      </c>
      <c r="F834" s="77" t="inlineStr">
        <is>
          <t>2 Gen capital recovery</t>
        </is>
      </c>
      <c r="G834" s="77" t="inlineStr">
        <is>
          <t>renewables levy (Umlage)</t>
        </is>
      </c>
      <c r="H834" s="77" t="inlineStr">
        <is>
          <t>i (relief socialised via Umlage on others = ii)</t>
        </is>
      </c>
      <c r="I834" s="77">
        <f>IF(ISNUMBER(N834),N834*fx_deflator!$J$15*fx_deflator!$M$15,"")</f>
        <v/>
      </c>
      <c r="J834" s="77" t="inlineStr">
        <is>
          <t>EEG 2012 sec.41 / EEG 2014+ sec.64 (BesAR); D24/D25 conventions</t>
        </is>
      </c>
      <c r="K834" s="77" t="inlineStr">
        <is>
          <t>stage4_de r21 + timeseries r45/62</t>
        </is>
      </c>
      <c r="L834" s="77" t="inlineStr">
        <is>
          <t>2026-07-15</t>
        </is>
      </c>
      <c r="M834" s="77" t="inlineStr">
        <is>
          <t>Y</t>
        </is>
      </c>
      <c r="N834" s="136">
        <f>IF(ISNUMBER(timeseries!N45),timeseries!N45,"")</f>
        <v/>
      </c>
      <c r="O834" s="77" t="inlineStr">
        <is>
          <t>EUR/MWh nominal</t>
        </is>
      </c>
    </row>
    <row r="835" ht="15" customHeight="1" s="78">
      <c r="A835" s="77" t="inlineStr">
        <is>
          <t>DE</t>
        </is>
      </c>
      <c r="B835" s="77" t="n">
        <v>2020</v>
      </c>
      <c r="C835" s="77" t="inlineStr">
        <is>
          <t>large</t>
        </is>
      </c>
      <c r="D835" s="77" t="inlineStr">
        <is>
          <t>E2</t>
        </is>
      </c>
      <c r="E835" s="77" t="inlineStr">
        <is>
          <t>KWKG-Umlage (C-prime blend 2016; =E1 other years, D25)</t>
        </is>
      </c>
      <c r="F835" s="77" t="inlineStr">
        <is>
          <t>2 Gen capital recovery</t>
        </is>
      </c>
      <c r="G835" s="77" t="inlineStr">
        <is>
          <t>CHP levy (Umlage)</t>
        </is>
      </c>
      <c r="H835" s="77" t="inlineStr">
        <is>
          <t>i</t>
        </is>
      </c>
      <c r="I835" s="77">
        <f>IF(ISNUMBER(N835),N835*fx_deflator!$J$15*fx_deflator!$M$15,"")</f>
        <v/>
      </c>
      <c r="J835" s="77" t="inlineStr">
        <is>
          <t>netztransparenz Uebersicht KWKG-Aufschlaege 2002-2016 + per-year pages; tranche blends</t>
        </is>
      </c>
      <c r="K835" s="77" t="inlineStr">
        <is>
          <t>stage4_de r22-24</t>
        </is>
      </c>
      <c r="L835" s="77" t="inlineStr">
        <is>
          <t>2026-07-15</t>
        </is>
      </c>
      <c r="M835" s="77" t="inlineStr">
        <is>
          <t>Y</t>
        </is>
      </c>
      <c r="N835" s="136">
        <f>IF(ISNUMBER(timeseries!N47),timeseries!N47,"")</f>
        <v/>
      </c>
      <c r="O835" s="77" t="inlineStr">
        <is>
          <t>EUR/MWh nominal</t>
        </is>
      </c>
    </row>
    <row r="836" ht="15" customHeight="1" s="78">
      <c r="A836" s="77" t="inlineStr">
        <is>
          <t>DE</t>
        </is>
      </c>
      <c r="B836" s="77" t="n">
        <v>2020</v>
      </c>
      <c r="C836" s="77" t="inlineStr">
        <is>
          <t>large</t>
        </is>
      </c>
      <c r="D836" s="77" t="inlineStr">
        <is>
          <t>E2</t>
        </is>
      </c>
      <c r="E836" s="77" t="inlineStr">
        <is>
          <t>sec.19 StromNEV-Umlage (C-prime blend)</t>
        </is>
      </c>
      <c r="F836" s="77" t="inlineStr">
        <is>
          <t>4 System services &amp; balancing</t>
        </is>
      </c>
      <c r="G836" s="77" t="inlineStr">
        <is>
          <t>network levy (Umlage)</t>
        </is>
      </c>
      <c r="H836" s="77" t="inlineStr">
        <is>
          <t>ii (pays for other users net-charge relief)</t>
        </is>
      </c>
      <c r="I836" s="77">
        <f>IF(ISNUMBER(N836),N836*fx_deflator!$J$15*fx_deflator!$M$15,"")</f>
        <v/>
      </c>
      <c r="J836" s="77" t="inlineStr">
        <is>
          <t>netztransparenz per-year Umlagen pages (A-prime/B-prime/C-prime)</t>
        </is>
      </c>
      <c r="K836" s="77" t="inlineStr">
        <is>
          <t>stage4_de r25-27</t>
        </is>
      </c>
      <c r="L836" s="77" t="inlineStr">
        <is>
          <t>2026-07-15</t>
        </is>
      </c>
      <c r="M836" s="77" t="inlineStr">
        <is>
          <t>Y</t>
        </is>
      </c>
      <c r="N836" s="136">
        <f>IF(ISNUMBER(timeseries!N48),timeseries!N48,"")</f>
        <v/>
      </c>
      <c r="O836" s="77" t="inlineStr">
        <is>
          <t>EUR/MWh nominal</t>
        </is>
      </c>
    </row>
    <row r="837" ht="15" customHeight="1" s="78">
      <c r="A837" s="77" t="inlineStr">
        <is>
          <t>DE</t>
        </is>
      </c>
      <c r="B837" s="77" t="n">
        <v>2020</v>
      </c>
      <c r="C837" s="77" t="inlineStr">
        <is>
          <t>large</t>
        </is>
      </c>
      <c r="D837" s="77" t="inlineStr">
        <is>
          <t>E2</t>
        </is>
      </c>
      <c r="E837" s="77" t="inlineStr">
        <is>
          <t>Offshore-Netzumlage (Kat-C blend 2013-18; =E1 2019+, D25)</t>
        </is>
      </c>
      <c r="F837" s="77" t="inlineStr">
        <is>
          <t>2 Gen capital recovery</t>
        </is>
      </c>
      <c r="G837" s="77" t="inlineStr">
        <is>
          <t>offshore grid levy (Umlage)</t>
        </is>
      </c>
      <c r="H837" s="77" t="inlineStr">
        <is>
          <t>i</t>
        </is>
      </c>
      <c r="I837" s="77">
        <f>IF(ISNUMBER(N837),N837*fx_deflator!$J$15*fx_deflator!$M$15,"")</f>
        <v/>
      </c>
      <c r="J837" s="77" t="inlineStr">
        <is>
          <t>netztransparenz Offshore-Umlage per-year pages</t>
        </is>
      </c>
      <c r="K837" s="77" t="inlineStr">
        <is>
          <t>stage4_de r28-30</t>
        </is>
      </c>
      <c r="L837" s="77" t="inlineStr">
        <is>
          <t>2026-07-15</t>
        </is>
      </c>
      <c r="M837" s="77" t="inlineStr">
        <is>
          <t>Y</t>
        </is>
      </c>
      <c r="N837" s="136">
        <f>IF(ISNUMBER(timeseries!N49),timeseries!N49,"")</f>
        <v/>
      </c>
      <c r="O837" s="77" t="inlineStr">
        <is>
          <t>EUR/MWh nominal</t>
        </is>
      </c>
    </row>
    <row r="838" ht="15" customHeight="1" s="78">
      <c r="A838" s="77" t="inlineStr">
        <is>
          <t>DE</t>
        </is>
      </c>
      <c r="B838" s="77" t="n">
        <v>2020</v>
      </c>
      <c r="C838" s="77" t="inlineStr">
        <is>
          <t>large</t>
        </is>
      </c>
      <c r="D838" s="77" t="inlineStr">
        <is>
          <t>E2</t>
        </is>
      </c>
      <c r="E838" s="77" t="inlineStr">
        <is>
          <t>AbLaV-Umlage</t>
        </is>
      </c>
      <c r="F838" s="77" t="inlineStr">
        <is>
          <t>4 System services &amp; balancing</t>
        </is>
      </c>
      <c r="G838" s="77" t="inlineStr">
        <is>
          <t>interruptible-load levy (Umlage)</t>
        </is>
      </c>
      <c r="H838" s="77" t="inlineStr">
        <is>
          <t>i</t>
        </is>
      </c>
      <c r="I838" s="77">
        <f>IF(ISNUMBER(N838),N838*fx_deflator!$J$15*fx_deflator!$M$15,"")</f>
        <v/>
      </c>
      <c r="J838" s="77" t="inlineStr">
        <is>
          <t>netztransparenz AbLaV-Umlage per-year pages (ends 2022)</t>
        </is>
      </c>
      <c r="K838" s="77" t="inlineStr">
        <is>
          <t>stage4_de r31</t>
        </is>
      </c>
      <c r="L838" s="77" t="inlineStr">
        <is>
          <t>2026-07-15</t>
        </is>
      </c>
      <c r="M838" s="77" t="inlineStr">
        <is>
          <t>N</t>
        </is>
      </c>
      <c r="N838" s="136">
        <f>IF(ISNUMBER(timeseries!N39),timeseries!N39,"")</f>
        <v/>
      </c>
      <c r="O838" s="77" t="inlineStr">
        <is>
          <t>EUR/MWh nominal</t>
        </is>
      </c>
    </row>
    <row r="839" ht="15" customHeight="1" s="78">
      <c r="A839" s="77" t="inlineStr">
        <is>
          <t>DE</t>
        </is>
      </c>
      <c r="B839" s="77" t="n">
        <v>2020</v>
      </c>
      <c r="C839" s="77" t="inlineStr">
        <is>
          <t>large</t>
        </is>
      </c>
      <c r="D839" s="77" t="inlineStr">
        <is>
          <t>E2</t>
        </is>
      </c>
      <c r="E839" s="77" t="inlineStr">
        <is>
          <t>Stromsteuer relieved (sec.9(3) 2010; sec.9b 2011+; 0.50 from 2024)</t>
        </is>
      </c>
      <c r="F839" s="77" t="inlineStr">
        <is>
          <t>5 General taxation &amp; levies</t>
        </is>
      </c>
      <c r="G839" s="77" t="inlineStr">
        <is>
          <t>electricity tax</t>
        </is>
      </c>
      <c r="H839" s="77" t="inlineStr">
        <is>
          <t>i (relief = foregone tax, iii)</t>
        </is>
      </c>
      <c r="I839" s="77">
        <f>IF(ISNUMBER(N839),N839*fx_deflator!$J$15*fx_deflator!$M$15,"")</f>
        <v/>
      </c>
      <c r="J839" s="77" t="inlineStr">
        <is>
          <t>StromStG sec.3/sec.9b (BGBl. 2025 I Nr. 340: 0.50 permanent from 2026); gesetze-im-internet.de</t>
        </is>
      </c>
      <c r="K839" s="77" t="inlineStr">
        <is>
          <t>stage4_de r34-35</t>
        </is>
      </c>
      <c r="L839" s="77" t="inlineStr">
        <is>
          <t>2026-07-15</t>
        </is>
      </c>
      <c r="M839" s="77" t="inlineStr">
        <is>
          <t>N</t>
        </is>
      </c>
      <c r="N839" s="77">
        <f>IF(ISNUMBER(stage4_de!N35),stage4_de!N35,"")</f>
        <v/>
      </c>
      <c r="O839" s="77" t="inlineStr">
        <is>
          <t>EUR/MWh nominal</t>
        </is>
      </c>
    </row>
    <row r="840" ht="15" customHeight="1" s="78">
      <c r="A840" s="77" t="inlineStr">
        <is>
          <t>DE</t>
        </is>
      </c>
      <c r="B840" s="77" t="n">
        <v>2020</v>
      </c>
      <c r="C840" s="77" t="inlineStr">
        <is>
          <t>large</t>
        </is>
      </c>
      <c r="D840" s="77" t="inlineStr">
        <is>
          <t>E2</t>
        </is>
      </c>
      <c r="E840" s="77" t="inlineStr">
        <is>
          <t>Konzessionsabgabe (0 via Grenzpreis rule)</t>
        </is>
      </c>
      <c r="F840" s="77" t="inlineStr">
        <is>
          <t>5 General taxation &amp; levies</t>
        </is>
      </c>
      <c r="G840" s="77" t="inlineStr">
        <is>
          <t>concession fee</t>
        </is>
      </c>
      <c r="H840" s="77" t="inlineStr">
        <is>
          <t>i</t>
        </is>
      </c>
      <c r="I840" s="77">
        <f>IF(ISNUMBER(N840),N840*fx_deflator!$J$15*fx_deflator!$M$15,"")</f>
        <v/>
      </c>
      <c r="J840" s="77" t="inlineStr">
        <is>
          <t>KAV sec.2(3)/(4) Grenzpreis rule -&gt; 0 for Sondervertragskunden</t>
        </is>
      </c>
      <c r="K840" s="77" t="inlineStr">
        <is>
          <t>stage4_de r36</t>
        </is>
      </c>
      <c r="L840" s="77" t="inlineStr">
        <is>
          <t>2026-07-15</t>
        </is>
      </c>
      <c r="M840" s="77" t="inlineStr">
        <is>
          <t>N</t>
        </is>
      </c>
      <c r="N840" s="77">
        <f>IF(ISNUMBER(stage4_de!N36),stage4_de!N36*10,"")</f>
        <v/>
      </c>
      <c r="O840" s="77" t="inlineStr">
        <is>
          <t>EUR/MWh nominal</t>
        </is>
      </c>
    </row>
    <row r="841" ht="15" customHeight="1" s="78">
      <c r="A841" s="77" t="inlineStr">
        <is>
          <t>DE</t>
        </is>
      </c>
      <c r="B841" s="77" t="n">
        <v>2021</v>
      </c>
      <c r="C841" s="77" t="inlineStr">
        <is>
          <t>large</t>
        </is>
      </c>
      <c r="D841" s="77" t="inlineStr">
        <is>
          <t>E2</t>
        </is>
      </c>
      <c r="E841" s="77" t="inlineStr">
        <is>
          <t>Wholesale (Phelix base front-year)</t>
        </is>
      </c>
      <c r="F841" s="77" t="inlineStr">
        <is>
          <t>1 Commodity</t>
        </is>
      </c>
      <c r="G841" s="77" t="inlineStr">
        <is>
          <t>wholesale market</t>
        </is>
      </c>
      <c r="H841" s="77" t="inlineStr">
        <is>
          <t>i</t>
        </is>
      </c>
      <c r="I841" s="77">
        <f>IF(ISNUMBER(N841),N841*fx_deflator!$J$16*fx_deflator!$M$16,"")</f>
        <v/>
      </c>
      <c r="J841" s="77" t="inlineStr">
        <is>
          <t>BNetzA Monitoringberichte — Phelix base front-year by trading yr -&gt; delivery yr; 2026 = D29</t>
        </is>
      </c>
      <c r="K841" s="77" t="inlineStr">
        <is>
          <t>stage4_de r7</t>
        </is>
      </c>
      <c r="L841" s="77" t="inlineStr">
        <is>
          <t>2026-07-15</t>
        </is>
      </c>
      <c r="M841" s="77" t="inlineStr">
        <is>
          <t>Y</t>
        </is>
      </c>
      <c r="N841" s="136">
        <f>IF(ISNUMBER(timeseries!O32),timeseries!O32,"")</f>
        <v/>
      </c>
      <c r="O841" s="77" t="inlineStr">
        <is>
          <t>EUR/MWh nominal</t>
        </is>
      </c>
    </row>
    <row r="842" ht="15" customHeight="1" s="78">
      <c r="A842" s="77" t="inlineStr">
        <is>
          <t>DE</t>
        </is>
      </c>
      <c r="B842" s="77" t="n">
        <v>2021</v>
      </c>
      <c r="C842" s="77" t="inlineStr">
        <is>
          <t>large</t>
        </is>
      </c>
      <c r="D842" s="77" t="inlineStr">
        <is>
          <t>E2</t>
        </is>
      </c>
      <c r="E842" s="77" t="inlineStr">
        <is>
          <t>Netzentgelte HoeS after sec.19(2) individual charge (D8 central; band low=10 pct floor, high=full tariff)</t>
        </is>
      </c>
      <c r="F842" s="77" t="inlineStr">
        <is>
          <t>3 Network</t>
        </is>
      </c>
      <c r="G842" s="77" t="inlineStr">
        <is>
          <t>transmission network charge</t>
        </is>
      </c>
      <c r="H842" s="77" t="inlineStr">
        <is>
          <t>i (relief funded via sec.19-Umlage = ii instrument)</t>
        </is>
      </c>
      <c r="I842" s="77">
        <f>IF(ISNUMBER(N842),N842*fx_deflator!$J$16*fx_deflator!$M$16,"")</f>
        <v/>
      </c>
      <c r="J842" s="77" t="inlineStr">
        <is>
          <t>D8 method: published tariff x (1-0.76) — AgNes 68-HS-site avg Bandlast rebate; band never deleted</t>
        </is>
      </c>
      <c r="K842" s="77" t="inlineStr">
        <is>
          <t>stage4_de r11-12; AgNes GBK-25-01-1#3</t>
        </is>
      </c>
      <c r="L842" s="77" t="inlineStr">
        <is>
          <t>2026-07-15</t>
        </is>
      </c>
      <c r="M842" s="77" t="inlineStr">
        <is>
          <t>Y</t>
        </is>
      </c>
      <c r="N842" s="136">
        <f>IF(ISNUMBER(timeseries!O42),timeseries!O42,"")</f>
        <v/>
      </c>
      <c r="O842" s="77" t="inlineStr">
        <is>
          <t>EUR/MWh nominal</t>
        </is>
      </c>
      <c r="P842" s="77" t="inlineStr">
        <is>
          <t>2011=0 (exemption era, D32); NEVER delete the band (timeseries r43-44)</t>
        </is>
      </c>
    </row>
    <row r="843" ht="15" customHeight="1" s="78">
      <c r="A843" s="77" t="inlineStr">
        <is>
          <t>DE</t>
        </is>
      </c>
      <c r="B843" s="77" t="n">
        <v>2021</v>
      </c>
      <c r="C843" s="77" t="inlineStr">
        <is>
          <t>large</t>
        </is>
      </c>
      <c r="D843" s="77" t="inlineStr">
        <is>
          <t>E2</t>
        </is>
      </c>
      <c r="E843" s="77" t="inlineStr">
        <is>
          <t>EEG-Umlage after BesAR (0.05 ct floor era-central)</t>
        </is>
      </c>
      <c r="F843" s="77" t="inlineStr">
        <is>
          <t>2 Gen capital recovery</t>
        </is>
      </c>
      <c r="G843" s="77" t="inlineStr">
        <is>
          <t>renewables levy (Umlage)</t>
        </is>
      </c>
      <c r="H843" s="77" t="inlineStr">
        <is>
          <t>i (relief socialised via Umlage on others = ii)</t>
        </is>
      </c>
      <c r="I843" s="77">
        <f>IF(ISNUMBER(N843),N843*fx_deflator!$J$16*fx_deflator!$M$16,"")</f>
        <v/>
      </c>
      <c r="J843" s="77" t="inlineStr">
        <is>
          <t>EEG 2012 sec.41 / EEG 2014+ sec.64 (BesAR); D24/D25 conventions</t>
        </is>
      </c>
      <c r="K843" s="77" t="inlineStr">
        <is>
          <t>stage4_de r21 + timeseries r45/62</t>
        </is>
      </c>
      <c r="L843" s="77" t="inlineStr">
        <is>
          <t>2026-07-15</t>
        </is>
      </c>
      <c r="M843" s="77" t="inlineStr">
        <is>
          <t>Y</t>
        </is>
      </c>
      <c r="N843" s="136">
        <f>IF(ISNUMBER(timeseries!O45),timeseries!O45,"")</f>
        <v/>
      </c>
      <c r="O843" s="77" t="inlineStr">
        <is>
          <t>EUR/MWh nominal</t>
        </is>
      </c>
    </row>
    <row r="844" ht="15" customHeight="1" s="78">
      <c r="A844" s="77" t="inlineStr">
        <is>
          <t>DE</t>
        </is>
      </c>
      <c r="B844" s="77" t="n">
        <v>2021</v>
      </c>
      <c r="C844" s="77" t="inlineStr">
        <is>
          <t>large</t>
        </is>
      </c>
      <c r="D844" s="77" t="inlineStr">
        <is>
          <t>E2</t>
        </is>
      </c>
      <c r="E844" s="77" t="inlineStr">
        <is>
          <t>KWKG-Umlage (C-prime blend 2016; =E1 other years, D25)</t>
        </is>
      </c>
      <c r="F844" s="77" t="inlineStr">
        <is>
          <t>2 Gen capital recovery</t>
        </is>
      </c>
      <c r="G844" s="77" t="inlineStr">
        <is>
          <t>CHP levy (Umlage)</t>
        </is>
      </c>
      <c r="H844" s="77" t="inlineStr">
        <is>
          <t>i</t>
        </is>
      </c>
      <c r="I844" s="77">
        <f>IF(ISNUMBER(N844),N844*fx_deflator!$J$16*fx_deflator!$M$16,"")</f>
        <v/>
      </c>
      <c r="J844" s="77" t="inlineStr">
        <is>
          <t>netztransparenz Uebersicht KWKG-Aufschlaege 2002-2016 + per-year pages; tranche blends</t>
        </is>
      </c>
      <c r="K844" s="77" t="inlineStr">
        <is>
          <t>stage4_de r22-24</t>
        </is>
      </c>
      <c r="L844" s="77" t="inlineStr">
        <is>
          <t>2026-07-15</t>
        </is>
      </c>
      <c r="M844" s="77" t="inlineStr">
        <is>
          <t>Y</t>
        </is>
      </c>
      <c r="N844" s="136">
        <f>IF(ISNUMBER(timeseries!O47),timeseries!O47,"")</f>
        <v/>
      </c>
      <c r="O844" s="77" t="inlineStr">
        <is>
          <t>EUR/MWh nominal</t>
        </is>
      </c>
    </row>
    <row r="845" ht="15" customHeight="1" s="78">
      <c r="A845" s="77" t="inlineStr">
        <is>
          <t>DE</t>
        </is>
      </c>
      <c r="B845" s="77" t="n">
        <v>2021</v>
      </c>
      <c r="C845" s="77" t="inlineStr">
        <is>
          <t>large</t>
        </is>
      </c>
      <c r="D845" s="77" t="inlineStr">
        <is>
          <t>E2</t>
        </is>
      </c>
      <c r="E845" s="77" t="inlineStr">
        <is>
          <t>sec.19 StromNEV-Umlage (C-prime blend)</t>
        </is>
      </c>
      <c r="F845" s="77" t="inlineStr">
        <is>
          <t>4 System services &amp; balancing</t>
        </is>
      </c>
      <c r="G845" s="77" t="inlineStr">
        <is>
          <t>network levy (Umlage)</t>
        </is>
      </c>
      <c r="H845" s="77" t="inlineStr">
        <is>
          <t>ii (pays for other users net-charge relief)</t>
        </is>
      </c>
      <c r="I845" s="77">
        <f>IF(ISNUMBER(N845),N845*fx_deflator!$J$16*fx_deflator!$M$16,"")</f>
        <v/>
      </c>
      <c r="J845" s="77" t="inlineStr">
        <is>
          <t>netztransparenz per-year Umlagen pages (A-prime/B-prime/C-prime)</t>
        </is>
      </c>
      <c r="K845" s="77" t="inlineStr">
        <is>
          <t>stage4_de r25-27</t>
        </is>
      </c>
      <c r="L845" s="77" t="inlineStr">
        <is>
          <t>2026-07-15</t>
        </is>
      </c>
      <c r="M845" s="77" t="inlineStr">
        <is>
          <t>Y</t>
        </is>
      </c>
      <c r="N845" s="136">
        <f>IF(ISNUMBER(timeseries!O48),timeseries!O48,"")</f>
        <v/>
      </c>
      <c r="O845" s="77" t="inlineStr">
        <is>
          <t>EUR/MWh nominal</t>
        </is>
      </c>
    </row>
    <row r="846" ht="15" customHeight="1" s="78">
      <c r="A846" s="77" t="inlineStr">
        <is>
          <t>DE</t>
        </is>
      </c>
      <c r="B846" s="77" t="n">
        <v>2021</v>
      </c>
      <c r="C846" s="77" t="inlineStr">
        <is>
          <t>large</t>
        </is>
      </c>
      <c r="D846" s="77" t="inlineStr">
        <is>
          <t>E2</t>
        </is>
      </c>
      <c r="E846" s="77" t="inlineStr">
        <is>
          <t>Offshore-Netzumlage (Kat-C blend 2013-18; =E1 2019+, D25)</t>
        </is>
      </c>
      <c r="F846" s="77" t="inlineStr">
        <is>
          <t>2 Gen capital recovery</t>
        </is>
      </c>
      <c r="G846" s="77" t="inlineStr">
        <is>
          <t>offshore grid levy (Umlage)</t>
        </is>
      </c>
      <c r="H846" s="77" t="inlineStr">
        <is>
          <t>i</t>
        </is>
      </c>
      <c r="I846" s="77">
        <f>IF(ISNUMBER(N846),N846*fx_deflator!$J$16*fx_deflator!$M$16,"")</f>
        <v/>
      </c>
      <c r="J846" s="77" t="inlineStr">
        <is>
          <t>netztransparenz Offshore-Umlage per-year pages</t>
        </is>
      </c>
      <c r="K846" s="77" t="inlineStr">
        <is>
          <t>stage4_de r28-30</t>
        </is>
      </c>
      <c r="L846" s="77" t="inlineStr">
        <is>
          <t>2026-07-15</t>
        </is>
      </c>
      <c r="M846" s="77" t="inlineStr">
        <is>
          <t>Y</t>
        </is>
      </c>
      <c r="N846" s="136">
        <f>IF(ISNUMBER(timeseries!O49),timeseries!O49,"")</f>
        <v/>
      </c>
      <c r="O846" s="77" t="inlineStr">
        <is>
          <t>EUR/MWh nominal</t>
        </is>
      </c>
    </row>
    <row r="847" ht="15" customHeight="1" s="78">
      <c r="A847" s="77" t="inlineStr">
        <is>
          <t>DE</t>
        </is>
      </c>
      <c r="B847" s="77" t="n">
        <v>2021</v>
      </c>
      <c r="C847" s="77" t="inlineStr">
        <is>
          <t>large</t>
        </is>
      </c>
      <c r="D847" s="77" t="inlineStr">
        <is>
          <t>E2</t>
        </is>
      </c>
      <c r="E847" s="77" t="inlineStr">
        <is>
          <t>AbLaV-Umlage</t>
        </is>
      </c>
      <c r="F847" s="77" t="inlineStr">
        <is>
          <t>4 System services &amp; balancing</t>
        </is>
      </c>
      <c r="G847" s="77" t="inlineStr">
        <is>
          <t>interruptible-load levy (Umlage)</t>
        </is>
      </c>
      <c r="H847" s="77" t="inlineStr">
        <is>
          <t>i</t>
        </is>
      </c>
      <c r="I847" s="77">
        <f>IF(ISNUMBER(N847),N847*fx_deflator!$J$16*fx_deflator!$M$16,"")</f>
        <v/>
      </c>
      <c r="J847" s="77" t="inlineStr">
        <is>
          <t>netztransparenz AbLaV-Umlage per-year pages (ends 2022)</t>
        </is>
      </c>
      <c r="K847" s="77" t="inlineStr">
        <is>
          <t>stage4_de r31</t>
        </is>
      </c>
      <c r="L847" s="77" t="inlineStr">
        <is>
          <t>2026-07-15</t>
        </is>
      </c>
      <c r="M847" s="77" t="inlineStr">
        <is>
          <t>N</t>
        </is>
      </c>
      <c r="N847" s="136">
        <f>IF(ISNUMBER(timeseries!O39),timeseries!O39,"")</f>
        <v/>
      </c>
      <c r="O847" s="77" t="inlineStr">
        <is>
          <t>EUR/MWh nominal</t>
        </is>
      </c>
    </row>
    <row r="848" ht="15" customHeight="1" s="78">
      <c r="A848" s="77" t="inlineStr">
        <is>
          <t>DE</t>
        </is>
      </c>
      <c r="B848" s="77" t="n">
        <v>2021</v>
      </c>
      <c r="C848" s="77" t="inlineStr">
        <is>
          <t>large</t>
        </is>
      </c>
      <c r="D848" s="77" t="inlineStr">
        <is>
          <t>E2</t>
        </is>
      </c>
      <c r="E848" s="77" t="inlineStr">
        <is>
          <t>Stromsteuer relieved (sec.9(3) 2010; sec.9b 2011+; 0.50 from 2024)</t>
        </is>
      </c>
      <c r="F848" s="77" t="inlineStr">
        <is>
          <t>5 General taxation &amp; levies</t>
        </is>
      </c>
      <c r="G848" s="77" t="inlineStr">
        <is>
          <t>electricity tax</t>
        </is>
      </c>
      <c r="H848" s="77" t="inlineStr">
        <is>
          <t>i (relief = foregone tax, iii)</t>
        </is>
      </c>
      <c r="I848" s="77">
        <f>IF(ISNUMBER(N848),N848*fx_deflator!$J$16*fx_deflator!$M$16,"")</f>
        <v/>
      </c>
      <c r="J848" s="77" t="inlineStr">
        <is>
          <t>StromStG sec.3/sec.9b (BGBl. 2025 I Nr. 340: 0.50 permanent from 2026); gesetze-im-internet.de</t>
        </is>
      </c>
      <c r="K848" s="77" t="inlineStr">
        <is>
          <t>stage4_de r34-35</t>
        </is>
      </c>
      <c r="L848" s="77" t="inlineStr">
        <is>
          <t>2026-07-15</t>
        </is>
      </c>
      <c r="M848" s="77" t="inlineStr">
        <is>
          <t>N</t>
        </is>
      </c>
      <c r="N848" s="77">
        <f>IF(ISNUMBER(stage4_de!O35),stage4_de!O35,"")</f>
        <v/>
      </c>
      <c r="O848" s="77" t="inlineStr">
        <is>
          <t>EUR/MWh nominal</t>
        </is>
      </c>
    </row>
    <row r="849" ht="15" customHeight="1" s="78">
      <c r="A849" s="77" t="inlineStr">
        <is>
          <t>DE</t>
        </is>
      </c>
      <c r="B849" s="77" t="n">
        <v>2021</v>
      </c>
      <c r="C849" s="77" t="inlineStr">
        <is>
          <t>large</t>
        </is>
      </c>
      <c r="D849" s="77" t="inlineStr">
        <is>
          <t>E2</t>
        </is>
      </c>
      <c r="E849" s="77" t="inlineStr">
        <is>
          <t>Konzessionsabgabe (0 via Grenzpreis rule)</t>
        </is>
      </c>
      <c r="F849" s="77" t="inlineStr">
        <is>
          <t>5 General taxation &amp; levies</t>
        </is>
      </c>
      <c r="G849" s="77" t="inlineStr">
        <is>
          <t>concession fee</t>
        </is>
      </c>
      <c r="H849" s="77" t="inlineStr">
        <is>
          <t>i</t>
        </is>
      </c>
      <c r="I849" s="77">
        <f>IF(ISNUMBER(N849),N849*fx_deflator!$J$16*fx_deflator!$M$16,"")</f>
        <v/>
      </c>
      <c r="J849" s="77" t="inlineStr">
        <is>
          <t>KAV sec.2(3)/(4) Grenzpreis rule -&gt; 0 for Sondervertragskunden</t>
        </is>
      </c>
      <c r="K849" s="77" t="inlineStr">
        <is>
          <t>stage4_de r36</t>
        </is>
      </c>
      <c r="L849" s="77" t="inlineStr">
        <is>
          <t>2026-07-15</t>
        </is>
      </c>
      <c r="M849" s="77" t="inlineStr">
        <is>
          <t>N</t>
        </is>
      </c>
      <c r="N849" s="77">
        <f>IF(ISNUMBER(stage4_de!O36),stage4_de!O36*10,"")</f>
        <v/>
      </c>
      <c r="O849" s="77" t="inlineStr">
        <is>
          <t>EUR/MWh nominal</t>
        </is>
      </c>
    </row>
    <row r="850" ht="15" customHeight="1" s="78">
      <c r="A850" s="77" t="inlineStr">
        <is>
          <t>DE</t>
        </is>
      </c>
      <c r="B850" s="77" t="n">
        <v>2022</v>
      </c>
      <c r="C850" s="77" t="inlineStr">
        <is>
          <t>large</t>
        </is>
      </c>
      <c r="D850" s="77" t="inlineStr">
        <is>
          <t>E2</t>
        </is>
      </c>
      <c r="E850" s="77" t="inlineStr">
        <is>
          <t>Wholesale (Phelix base front-year)</t>
        </is>
      </c>
      <c r="F850" s="77" t="inlineStr">
        <is>
          <t>1 Commodity</t>
        </is>
      </c>
      <c r="G850" s="77" t="inlineStr">
        <is>
          <t>wholesale market</t>
        </is>
      </c>
      <c r="H850" s="77" t="inlineStr">
        <is>
          <t>i</t>
        </is>
      </c>
      <c r="I850" s="77">
        <f>IF(ISNUMBER(N850),N850*fx_deflator!$J$17*fx_deflator!$M$17,"")</f>
        <v/>
      </c>
      <c r="J850" s="77" t="inlineStr">
        <is>
          <t>BNetzA Monitoringberichte — Phelix base front-year by trading yr -&gt; delivery yr; 2026 = D29</t>
        </is>
      </c>
      <c r="K850" s="77" t="inlineStr">
        <is>
          <t>stage4_de r7</t>
        </is>
      </c>
      <c r="L850" s="77" t="inlineStr">
        <is>
          <t>2026-07-15</t>
        </is>
      </c>
      <c r="M850" s="77" t="inlineStr">
        <is>
          <t>Y</t>
        </is>
      </c>
      <c r="N850" s="136">
        <f>IF(ISNUMBER(timeseries!P32),timeseries!P32,"")</f>
        <v/>
      </c>
      <c r="O850" s="77" t="inlineStr">
        <is>
          <t>EUR/MWh nominal</t>
        </is>
      </c>
    </row>
    <row r="851" ht="15" customHeight="1" s="78">
      <c r="A851" s="77" t="inlineStr">
        <is>
          <t>DE</t>
        </is>
      </c>
      <c r="B851" s="77" t="n">
        <v>2022</v>
      </c>
      <c r="C851" s="77" t="inlineStr">
        <is>
          <t>large</t>
        </is>
      </c>
      <c r="D851" s="77" t="inlineStr">
        <is>
          <t>E2</t>
        </is>
      </c>
      <c r="E851" s="77" t="inlineStr">
        <is>
          <t>Netzentgelte HoeS after sec.19(2) individual charge (D8 central; band low=10 pct floor, high=full tariff)</t>
        </is>
      </c>
      <c r="F851" s="77" t="inlineStr">
        <is>
          <t>3 Network</t>
        </is>
      </c>
      <c r="G851" s="77" t="inlineStr">
        <is>
          <t>transmission network charge</t>
        </is>
      </c>
      <c r="H851" s="77" t="inlineStr">
        <is>
          <t>i (relief funded via sec.19-Umlage = ii instrument)</t>
        </is>
      </c>
      <c r="I851" s="77">
        <f>IF(ISNUMBER(N851),N851*fx_deflator!$J$17*fx_deflator!$M$17,"")</f>
        <v/>
      </c>
      <c r="J851" s="77" t="inlineStr">
        <is>
          <t>D8 method: published tariff x (1-0.76) — AgNes 68-HS-site avg Bandlast rebate; band never deleted</t>
        </is>
      </c>
      <c r="K851" s="77" t="inlineStr">
        <is>
          <t>stage4_de r11-12; AgNes GBK-25-01-1#3</t>
        </is>
      </c>
      <c r="L851" s="77" t="inlineStr">
        <is>
          <t>2026-07-15</t>
        </is>
      </c>
      <c r="M851" s="77" t="inlineStr">
        <is>
          <t>Y</t>
        </is>
      </c>
      <c r="N851" s="136">
        <f>IF(ISNUMBER(timeseries!P42),timeseries!P42,"")</f>
        <v/>
      </c>
      <c r="O851" s="77" t="inlineStr">
        <is>
          <t>EUR/MWh nominal</t>
        </is>
      </c>
      <c r="P851" s="77" t="inlineStr">
        <is>
          <t>2011=0 (exemption era, D32); NEVER delete the band (timeseries r43-44)</t>
        </is>
      </c>
    </row>
    <row r="852" ht="15" customHeight="1" s="78">
      <c r="A852" s="77" t="inlineStr">
        <is>
          <t>DE</t>
        </is>
      </c>
      <c r="B852" s="77" t="n">
        <v>2022</v>
      </c>
      <c r="C852" s="77" t="inlineStr">
        <is>
          <t>large</t>
        </is>
      </c>
      <c r="D852" s="77" t="inlineStr">
        <is>
          <t>E2</t>
        </is>
      </c>
      <c r="E852" s="77" t="inlineStr">
        <is>
          <t>EEG-Umlage after BesAR (0.05 ct floor era-central)</t>
        </is>
      </c>
      <c r="F852" s="77" t="inlineStr">
        <is>
          <t>2 Gen capital recovery</t>
        </is>
      </c>
      <c r="G852" s="77" t="inlineStr">
        <is>
          <t>renewables levy (Umlage)</t>
        </is>
      </c>
      <c r="H852" s="77" t="inlineStr">
        <is>
          <t>i (relief socialised via Umlage on others = ii)</t>
        </is>
      </c>
      <c r="I852" s="77">
        <f>IF(ISNUMBER(N852),N852*fx_deflator!$J$17*fx_deflator!$M$17,"")</f>
        <v/>
      </c>
      <c r="J852" s="77" t="inlineStr">
        <is>
          <t>EEG 2012 sec.41 / EEG 2014+ sec.64 (BesAR); D24/D25 conventions</t>
        </is>
      </c>
      <c r="K852" s="77" t="inlineStr">
        <is>
          <t>stage4_de r21 + timeseries r45/62</t>
        </is>
      </c>
      <c r="L852" s="77" t="inlineStr">
        <is>
          <t>2026-07-15</t>
        </is>
      </c>
      <c r="M852" s="77" t="inlineStr">
        <is>
          <t>Y</t>
        </is>
      </c>
      <c r="N852" s="136">
        <f>IF(ISNUMBER(timeseries!P45),timeseries!P45,"")</f>
        <v/>
      </c>
      <c r="O852" s="77" t="inlineStr">
        <is>
          <t>EUR/MWh nominal</t>
        </is>
      </c>
    </row>
    <row r="853" ht="15" customHeight="1" s="78">
      <c r="A853" s="77" t="inlineStr">
        <is>
          <t>DE</t>
        </is>
      </c>
      <c r="B853" s="77" t="n">
        <v>2022</v>
      </c>
      <c r="C853" s="77" t="inlineStr">
        <is>
          <t>large</t>
        </is>
      </c>
      <c r="D853" s="77" t="inlineStr">
        <is>
          <t>E2</t>
        </is>
      </c>
      <c r="E853" s="77" t="inlineStr">
        <is>
          <t>KWKG-Umlage (C-prime blend 2016; =E1 other years, D25)</t>
        </is>
      </c>
      <c r="F853" s="77" t="inlineStr">
        <is>
          <t>2 Gen capital recovery</t>
        </is>
      </c>
      <c r="G853" s="77" t="inlineStr">
        <is>
          <t>CHP levy (Umlage)</t>
        </is>
      </c>
      <c r="H853" s="77" t="inlineStr">
        <is>
          <t>i</t>
        </is>
      </c>
      <c r="I853" s="77">
        <f>IF(ISNUMBER(N853),N853*fx_deflator!$J$17*fx_deflator!$M$17,"")</f>
        <v/>
      </c>
      <c r="J853" s="77" t="inlineStr">
        <is>
          <t>netztransparenz Uebersicht KWKG-Aufschlaege 2002-2016 + per-year pages; tranche blends</t>
        </is>
      </c>
      <c r="K853" s="77" t="inlineStr">
        <is>
          <t>stage4_de r22-24</t>
        </is>
      </c>
      <c r="L853" s="77" t="inlineStr">
        <is>
          <t>2026-07-15</t>
        </is>
      </c>
      <c r="M853" s="77" t="inlineStr">
        <is>
          <t>Y</t>
        </is>
      </c>
      <c r="N853" s="136">
        <f>IF(ISNUMBER(timeseries!P47),timeseries!P47,"")</f>
        <v/>
      </c>
      <c r="O853" s="77" t="inlineStr">
        <is>
          <t>EUR/MWh nominal</t>
        </is>
      </c>
    </row>
    <row r="854" ht="15" customHeight="1" s="78">
      <c r="A854" s="77" t="inlineStr">
        <is>
          <t>DE</t>
        </is>
      </c>
      <c r="B854" s="77" t="n">
        <v>2022</v>
      </c>
      <c r="C854" s="77" t="inlineStr">
        <is>
          <t>large</t>
        </is>
      </c>
      <c r="D854" s="77" t="inlineStr">
        <is>
          <t>E2</t>
        </is>
      </c>
      <c r="E854" s="77" t="inlineStr">
        <is>
          <t>sec.19 StromNEV-Umlage (C-prime blend)</t>
        </is>
      </c>
      <c r="F854" s="77" t="inlineStr">
        <is>
          <t>4 System services &amp; balancing</t>
        </is>
      </c>
      <c r="G854" s="77" t="inlineStr">
        <is>
          <t>network levy (Umlage)</t>
        </is>
      </c>
      <c r="H854" s="77" t="inlineStr">
        <is>
          <t>ii (pays for other users net-charge relief)</t>
        </is>
      </c>
      <c r="I854" s="77">
        <f>IF(ISNUMBER(N854),N854*fx_deflator!$J$17*fx_deflator!$M$17,"")</f>
        <v/>
      </c>
      <c r="J854" s="77" t="inlineStr">
        <is>
          <t>netztransparenz per-year Umlagen pages (A-prime/B-prime/C-prime)</t>
        </is>
      </c>
      <c r="K854" s="77" t="inlineStr">
        <is>
          <t>stage4_de r25-27</t>
        </is>
      </c>
      <c r="L854" s="77" t="inlineStr">
        <is>
          <t>2026-07-15</t>
        </is>
      </c>
      <c r="M854" s="77" t="inlineStr">
        <is>
          <t>Y</t>
        </is>
      </c>
      <c r="N854" s="136">
        <f>IF(ISNUMBER(timeseries!P48),timeseries!P48,"")</f>
        <v/>
      </c>
      <c r="O854" s="77" t="inlineStr">
        <is>
          <t>EUR/MWh nominal</t>
        </is>
      </c>
    </row>
    <row r="855" ht="15" customHeight="1" s="78">
      <c r="A855" s="77" t="inlineStr">
        <is>
          <t>DE</t>
        </is>
      </c>
      <c r="B855" s="77" t="n">
        <v>2022</v>
      </c>
      <c r="C855" s="77" t="inlineStr">
        <is>
          <t>large</t>
        </is>
      </c>
      <c r="D855" s="77" t="inlineStr">
        <is>
          <t>E2</t>
        </is>
      </c>
      <c r="E855" s="77" t="inlineStr">
        <is>
          <t>Offshore-Netzumlage (Kat-C blend 2013-18; =E1 2019+, D25)</t>
        </is>
      </c>
      <c r="F855" s="77" t="inlineStr">
        <is>
          <t>2 Gen capital recovery</t>
        </is>
      </c>
      <c r="G855" s="77" t="inlineStr">
        <is>
          <t>offshore grid levy (Umlage)</t>
        </is>
      </c>
      <c r="H855" s="77" t="inlineStr">
        <is>
          <t>i</t>
        </is>
      </c>
      <c r="I855" s="77">
        <f>IF(ISNUMBER(N855),N855*fx_deflator!$J$17*fx_deflator!$M$17,"")</f>
        <v/>
      </c>
      <c r="J855" s="77" t="inlineStr">
        <is>
          <t>netztransparenz Offshore-Umlage per-year pages</t>
        </is>
      </c>
      <c r="K855" s="77" t="inlineStr">
        <is>
          <t>stage4_de r28-30</t>
        </is>
      </c>
      <c r="L855" s="77" t="inlineStr">
        <is>
          <t>2026-07-15</t>
        </is>
      </c>
      <c r="M855" s="77" t="inlineStr">
        <is>
          <t>Y</t>
        </is>
      </c>
      <c r="N855" s="136">
        <f>IF(ISNUMBER(timeseries!P49),timeseries!P49,"")</f>
        <v/>
      </c>
      <c r="O855" s="77" t="inlineStr">
        <is>
          <t>EUR/MWh nominal</t>
        </is>
      </c>
    </row>
    <row r="856" ht="15" customHeight="1" s="78">
      <c r="A856" s="77" t="inlineStr">
        <is>
          <t>DE</t>
        </is>
      </c>
      <c r="B856" s="77" t="n">
        <v>2022</v>
      </c>
      <c r="C856" s="77" t="inlineStr">
        <is>
          <t>large</t>
        </is>
      </c>
      <c r="D856" s="77" t="inlineStr">
        <is>
          <t>E2</t>
        </is>
      </c>
      <c r="E856" s="77" t="inlineStr">
        <is>
          <t>AbLaV-Umlage</t>
        </is>
      </c>
      <c r="F856" s="77" t="inlineStr">
        <is>
          <t>4 System services &amp; balancing</t>
        </is>
      </c>
      <c r="G856" s="77" t="inlineStr">
        <is>
          <t>interruptible-load levy (Umlage)</t>
        </is>
      </c>
      <c r="H856" s="77" t="inlineStr">
        <is>
          <t>i</t>
        </is>
      </c>
      <c r="I856" s="77">
        <f>IF(ISNUMBER(N856),N856*fx_deflator!$J$17*fx_deflator!$M$17,"")</f>
        <v/>
      </c>
      <c r="J856" s="77" t="inlineStr">
        <is>
          <t>netztransparenz AbLaV-Umlage per-year pages (ends 2022)</t>
        </is>
      </c>
      <c r="K856" s="77" t="inlineStr">
        <is>
          <t>stage4_de r31</t>
        </is>
      </c>
      <c r="L856" s="77" t="inlineStr">
        <is>
          <t>2026-07-15</t>
        </is>
      </c>
      <c r="M856" s="77" t="inlineStr">
        <is>
          <t>N</t>
        </is>
      </c>
      <c r="N856" s="136">
        <f>IF(ISNUMBER(timeseries!P39),timeseries!P39,"")</f>
        <v/>
      </c>
      <c r="O856" s="77" t="inlineStr">
        <is>
          <t>EUR/MWh nominal</t>
        </is>
      </c>
    </row>
    <row r="857" ht="15" customHeight="1" s="78">
      <c r="A857" s="77" t="inlineStr">
        <is>
          <t>DE</t>
        </is>
      </c>
      <c r="B857" s="77" t="n">
        <v>2022</v>
      </c>
      <c r="C857" s="77" t="inlineStr">
        <is>
          <t>large</t>
        </is>
      </c>
      <c r="D857" s="77" t="inlineStr">
        <is>
          <t>E2</t>
        </is>
      </c>
      <c r="E857" s="77" t="inlineStr">
        <is>
          <t>Stromsteuer relieved (sec.9(3) 2010; sec.9b 2011+; 0.50 from 2024)</t>
        </is>
      </c>
      <c r="F857" s="77" t="inlineStr">
        <is>
          <t>5 General taxation &amp; levies</t>
        </is>
      </c>
      <c r="G857" s="77" t="inlineStr">
        <is>
          <t>electricity tax</t>
        </is>
      </c>
      <c r="H857" s="77" t="inlineStr">
        <is>
          <t>i (relief = foregone tax, iii)</t>
        </is>
      </c>
      <c r="I857" s="77">
        <f>IF(ISNUMBER(N857),N857*fx_deflator!$J$17*fx_deflator!$M$17,"")</f>
        <v/>
      </c>
      <c r="J857" s="77" t="inlineStr">
        <is>
          <t>StromStG sec.3/sec.9b (BGBl. 2025 I Nr. 340: 0.50 permanent from 2026); gesetze-im-internet.de</t>
        </is>
      </c>
      <c r="K857" s="77" t="inlineStr">
        <is>
          <t>stage4_de r34-35</t>
        </is>
      </c>
      <c r="L857" s="77" t="inlineStr">
        <is>
          <t>2026-07-15</t>
        </is>
      </c>
      <c r="M857" s="77" t="inlineStr">
        <is>
          <t>N</t>
        </is>
      </c>
      <c r="N857" s="77">
        <f>IF(ISNUMBER(stage4_de!P35),stage4_de!P35,"")</f>
        <v/>
      </c>
      <c r="O857" s="77" t="inlineStr">
        <is>
          <t>EUR/MWh nominal</t>
        </is>
      </c>
    </row>
    <row r="858" ht="15" customHeight="1" s="78">
      <c r="A858" s="77" t="inlineStr">
        <is>
          <t>DE</t>
        </is>
      </c>
      <c r="B858" s="77" t="n">
        <v>2022</v>
      </c>
      <c r="C858" s="77" t="inlineStr">
        <is>
          <t>large</t>
        </is>
      </c>
      <c r="D858" s="77" t="inlineStr">
        <is>
          <t>E2</t>
        </is>
      </c>
      <c r="E858" s="77" t="inlineStr">
        <is>
          <t>Konzessionsabgabe (0 via Grenzpreis rule)</t>
        </is>
      </c>
      <c r="F858" s="77" t="inlineStr">
        <is>
          <t>5 General taxation &amp; levies</t>
        </is>
      </c>
      <c r="G858" s="77" t="inlineStr">
        <is>
          <t>concession fee</t>
        </is>
      </c>
      <c r="H858" s="77" t="inlineStr">
        <is>
          <t>i</t>
        </is>
      </c>
      <c r="I858" s="77">
        <f>IF(ISNUMBER(N858),N858*fx_deflator!$J$17*fx_deflator!$M$17,"")</f>
        <v/>
      </c>
      <c r="J858" s="77" t="inlineStr">
        <is>
          <t>KAV sec.2(3)/(4) Grenzpreis rule -&gt; 0 for Sondervertragskunden</t>
        </is>
      </c>
      <c r="K858" s="77" t="inlineStr">
        <is>
          <t>stage4_de r36</t>
        </is>
      </c>
      <c r="L858" s="77" t="inlineStr">
        <is>
          <t>2026-07-15</t>
        </is>
      </c>
      <c r="M858" s="77" t="inlineStr">
        <is>
          <t>N</t>
        </is>
      </c>
      <c r="N858" s="77">
        <f>IF(ISNUMBER(stage4_de!P36),stage4_de!P36*10,"")</f>
        <v/>
      </c>
      <c r="O858" s="77" t="inlineStr">
        <is>
          <t>EUR/MWh nominal</t>
        </is>
      </c>
    </row>
    <row r="859" ht="15" customHeight="1" s="78">
      <c r="A859" s="77" t="inlineStr">
        <is>
          <t>DE</t>
        </is>
      </c>
      <c r="B859" s="77" t="n">
        <v>2023</v>
      </c>
      <c r="C859" s="77" t="inlineStr">
        <is>
          <t>large</t>
        </is>
      </c>
      <c r="D859" s="77" t="inlineStr">
        <is>
          <t>E2</t>
        </is>
      </c>
      <c r="E859" s="77" t="inlineStr">
        <is>
          <t>Wholesale (Phelix base front-year)</t>
        </is>
      </c>
      <c r="F859" s="77" t="inlineStr">
        <is>
          <t>1 Commodity</t>
        </is>
      </c>
      <c r="G859" s="77" t="inlineStr">
        <is>
          <t>wholesale market</t>
        </is>
      </c>
      <c r="H859" s="77" t="inlineStr">
        <is>
          <t>i</t>
        </is>
      </c>
      <c r="I859" s="77">
        <f>IF(ISNUMBER(N859),N859*fx_deflator!$J$18*fx_deflator!$M$18,"")</f>
        <v/>
      </c>
      <c r="J859" s="77" t="inlineStr">
        <is>
          <t>BNetzA Monitoringberichte — Phelix base front-year by trading yr -&gt; delivery yr; 2026 = D29</t>
        </is>
      </c>
      <c r="K859" s="77" t="inlineStr">
        <is>
          <t>stage4_de r7</t>
        </is>
      </c>
      <c r="L859" s="77" t="inlineStr">
        <is>
          <t>2026-07-15</t>
        </is>
      </c>
      <c r="M859" s="77" t="inlineStr">
        <is>
          <t>Y</t>
        </is>
      </c>
      <c r="N859" s="136">
        <f>IF(ISNUMBER(timeseries!Q32),timeseries!Q32,"")</f>
        <v/>
      </c>
      <c r="O859" s="77" t="inlineStr">
        <is>
          <t>EUR/MWh nominal</t>
        </is>
      </c>
    </row>
    <row r="860" ht="15" customHeight="1" s="78">
      <c r="A860" s="77" t="inlineStr">
        <is>
          <t>DE</t>
        </is>
      </c>
      <c r="B860" s="77" t="n">
        <v>2023</v>
      </c>
      <c r="C860" s="77" t="inlineStr">
        <is>
          <t>large</t>
        </is>
      </c>
      <c r="D860" s="77" t="inlineStr">
        <is>
          <t>E2</t>
        </is>
      </c>
      <c r="E860" s="77" t="inlineStr">
        <is>
          <t>Netzentgelte HoeS after sec.19(2) individual charge (D8 central; band low=10 pct floor, high=full tariff)</t>
        </is>
      </c>
      <c r="F860" s="77" t="inlineStr">
        <is>
          <t>3 Network</t>
        </is>
      </c>
      <c r="G860" s="77" t="inlineStr">
        <is>
          <t>transmission network charge</t>
        </is>
      </c>
      <c r="H860" s="77" t="inlineStr">
        <is>
          <t>i (relief funded via sec.19-Umlage = ii instrument)</t>
        </is>
      </c>
      <c r="I860" s="77">
        <f>IF(ISNUMBER(N860),N860*fx_deflator!$J$18*fx_deflator!$M$18,"")</f>
        <v/>
      </c>
      <c r="J860" s="77" t="inlineStr">
        <is>
          <t>D8 method: published tariff x (1-0.76) — AgNes 68-HS-site avg Bandlast rebate; band never deleted</t>
        </is>
      </c>
      <c r="K860" s="77" t="inlineStr">
        <is>
          <t>stage4_de r11-12; AgNes GBK-25-01-1#3</t>
        </is>
      </c>
      <c r="L860" s="77" t="inlineStr">
        <is>
          <t>2026-07-15</t>
        </is>
      </c>
      <c r="M860" s="77" t="inlineStr">
        <is>
          <t>Y</t>
        </is>
      </c>
      <c r="N860" s="136">
        <f>IF(ISNUMBER(timeseries!Q42),timeseries!Q42,"")</f>
        <v/>
      </c>
      <c r="O860" s="77" t="inlineStr">
        <is>
          <t>EUR/MWh nominal</t>
        </is>
      </c>
      <c r="P860" s="77" t="inlineStr">
        <is>
          <t>2011=0 (exemption era, D32); NEVER delete the band (timeseries r43-44)</t>
        </is>
      </c>
    </row>
    <row r="861" ht="15" customHeight="1" s="78">
      <c r="A861" s="77" t="inlineStr">
        <is>
          <t>DE</t>
        </is>
      </c>
      <c r="B861" s="77" t="n">
        <v>2023</v>
      </c>
      <c r="C861" s="77" t="inlineStr">
        <is>
          <t>large</t>
        </is>
      </c>
      <c r="D861" s="77" t="inlineStr">
        <is>
          <t>E2</t>
        </is>
      </c>
      <c r="E861" s="77" t="inlineStr">
        <is>
          <t>EEG-Umlage after BesAR (0.05 ct floor era-central)</t>
        </is>
      </c>
      <c r="F861" s="77" t="inlineStr">
        <is>
          <t>2 Gen capital recovery</t>
        </is>
      </c>
      <c r="G861" s="77" t="inlineStr">
        <is>
          <t>renewables levy (Umlage)</t>
        </is>
      </c>
      <c r="H861" s="77" t="inlineStr">
        <is>
          <t>i (relief socialised via Umlage on others = ii)</t>
        </is>
      </c>
      <c r="I861" s="77">
        <f>IF(ISNUMBER(N861),N861*fx_deflator!$J$18*fx_deflator!$M$18,"")</f>
        <v/>
      </c>
      <c r="J861" s="77" t="inlineStr">
        <is>
          <t>EEG 2012 sec.41 / EEG 2014+ sec.64 (BesAR); D24/D25 conventions</t>
        </is>
      </c>
      <c r="K861" s="77" t="inlineStr">
        <is>
          <t>stage4_de r21 + timeseries r45/62</t>
        </is>
      </c>
      <c r="L861" s="77" t="inlineStr">
        <is>
          <t>2026-07-15</t>
        </is>
      </c>
      <c r="M861" s="77" t="inlineStr">
        <is>
          <t>Y</t>
        </is>
      </c>
      <c r="N861" s="136">
        <f>IF(ISNUMBER(timeseries!Q45),timeseries!Q45,"")</f>
        <v/>
      </c>
      <c r="O861" s="77" t="inlineStr">
        <is>
          <t>EUR/MWh nominal</t>
        </is>
      </c>
    </row>
    <row r="862" ht="15" customHeight="1" s="78">
      <c r="A862" s="77" t="inlineStr">
        <is>
          <t>DE</t>
        </is>
      </c>
      <c r="B862" s="77" t="n">
        <v>2023</v>
      </c>
      <c r="C862" s="77" t="inlineStr">
        <is>
          <t>large</t>
        </is>
      </c>
      <c r="D862" s="77" t="inlineStr">
        <is>
          <t>E2</t>
        </is>
      </c>
      <c r="E862" s="77" t="inlineStr">
        <is>
          <t>KWKG-Umlage (C-prime blend 2016; =E1 other years, D25)</t>
        </is>
      </c>
      <c r="F862" s="77" t="inlineStr">
        <is>
          <t>2 Gen capital recovery</t>
        </is>
      </c>
      <c r="G862" s="77" t="inlineStr">
        <is>
          <t>CHP levy (Umlage)</t>
        </is>
      </c>
      <c r="H862" s="77" t="inlineStr">
        <is>
          <t>i</t>
        </is>
      </c>
      <c r="I862" s="77">
        <f>IF(ISNUMBER(N862),N862*fx_deflator!$J$18*fx_deflator!$M$18,"")</f>
        <v/>
      </c>
      <c r="J862" s="77" t="inlineStr">
        <is>
          <t>netztransparenz Uebersicht KWKG-Aufschlaege 2002-2016 + per-year pages; tranche blends</t>
        </is>
      </c>
      <c r="K862" s="77" t="inlineStr">
        <is>
          <t>stage4_de r22-24</t>
        </is>
      </c>
      <c r="L862" s="77" t="inlineStr">
        <is>
          <t>2026-07-15</t>
        </is>
      </c>
      <c r="M862" s="77" t="inlineStr">
        <is>
          <t>Y</t>
        </is>
      </c>
      <c r="N862" s="136">
        <f>IF(ISNUMBER(timeseries!Q47),timeseries!Q47,"")</f>
        <v/>
      </c>
      <c r="O862" s="77" t="inlineStr">
        <is>
          <t>EUR/MWh nominal</t>
        </is>
      </c>
    </row>
    <row r="863" ht="15" customHeight="1" s="78">
      <c r="A863" s="77" t="inlineStr">
        <is>
          <t>DE</t>
        </is>
      </c>
      <c r="B863" s="77" t="n">
        <v>2023</v>
      </c>
      <c r="C863" s="77" t="inlineStr">
        <is>
          <t>large</t>
        </is>
      </c>
      <c r="D863" s="77" t="inlineStr">
        <is>
          <t>E2</t>
        </is>
      </c>
      <c r="E863" s="77" t="inlineStr">
        <is>
          <t>sec.19 StromNEV-Umlage (C-prime blend)</t>
        </is>
      </c>
      <c r="F863" s="77" t="inlineStr">
        <is>
          <t>4 System services &amp; balancing</t>
        </is>
      </c>
      <c r="G863" s="77" t="inlineStr">
        <is>
          <t>network levy (Umlage)</t>
        </is>
      </c>
      <c r="H863" s="77" t="inlineStr">
        <is>
          <t>ii (pays for other users net-charge relief)</t>
        </is>
      </c>
      <c r="I863" s="77">
        <f>IF(ISNUMBER(N863),N863*fx_deflator!$J$18*fx_deflator!$M$18,"")</f>
        <v/>
      </c>
      <c r="J863" s="77" t="inlineStr">
        <is>
          <t>netztransparenz per-year Umlagen pages (A-prime/B-prime/C-prime)</t>
        </is>
      </c>
      <c r="K863" s="77" t="inlineStr">
        <is>
          <t>stage4_de r25-27</t>
        </is>
      </c>
      <c r="L863" s="77" t="inlineStr">
        <is>
          <t>2026-07-15</t>
        </is>
      </c>
      <c r="M863" s="77" t="inlineStr">
        <is>
          <t>Y</t>
        </is>
      </c>
      <c r="N863" s="136">
        <f>IF(ISNUMBER(timeseries!Q48),timeseries!Q48,"")</f>
        <v/>
      </c>
      <c r="O863" s="77" t="inlineStr">
        <is>
          <t>EUR/MWh nominal</t>
        </is>
      </c>
    </row>
    <row r="864" ht="15" customHeight="1" s="78">
      <c r="A864" s="77" t="inlineStr">
        <is>
          <t>DE</t>
        </is>
      </c>
      <c r="B864" s="77" t="n">
        <v>2023</v>
      </c>
      <c r="C864" s="77" t="inlineStr">
        <is>
          <t>large</t>
        </is>
      </c>
      <c r="D864" s="77" t="inlineStr">
        <is>
          <t>E2</t>
        </is>
      </c>
      <c r="E864" s="77" t="inlineStr">
        <is>
          <t>Offshore-Netzumlage (Kat-C blend 2013-18; =E1 2019+, D25)</t>
        </is>
      </c>
      <c r="F864" s="77" t="inlineStr">
        <is>
          <t>2 Gen capital recovery</t>
        </is>
      </c>
      <c r="G864" s="77" t="inlineStr">
        <is>
          <t>offshore grid levy (Umlage)</t>
        </is>
      </c>
      <c r="H864" s="77" t="inlineStr">
        <is>
          <t>i</t>
        </is>
      </c>
      <c r="I864" s="77">
        <f>IF(ISNUMBER(N864),N864*fx_deflator!$J$18*fx_deflator!$M$18,"")</f>
        <v/>
      </c>
      <c r="J864" s="77" t="inlineStr">
        <is>
          <t>netztransparenz Offshore-Umlage per-year pages</t>
        </is>
      </c>
      <c r="K864" s="77" t="inlineStr">
        <is>
          <t>stage4_de r28-30</t>
        </is>
      </c>
      <c r="L864" s="77" t="inlineStr">
        <is>
          <t>2026-07-15</t>
        </is>
      </c>
      <c r="M864" s="77" t="inlineStr">
        <is>
          <t>Y</t>
        </is>
      </c>
      <c r="N864" s="136">
        <f>IF(ISNUMBER(timeseries!Q49),timeseries!Q49,"")</f>
        <v/>
      </c>
      <c r="O864" s="77" t="inlineStr">
        <is>
          <t>EUR/MWh nominal</t>
        </is>
      </c>
    </row>
    <row r="865" ht="15" customHeight="1" s="78">
      <c r="A865" s="77" t="inlineStr">
        <is>
          <t>DE</t>
        </is>
      </c>
      <c r="B865" s="77" t="n">
        <v>2023</v>
      </c>
      <c r="C865" s="77" t="inlineStr">
        <is>
          <t>large</t>
        </is>
      </c>
      <c r="D865" s="77" t="inlineStr">
        <is>
          <t>E2</t>
        </is>
      </c>
      <c r="E865" s="77" t="inlineStr">
        <is>
          <t>AbLaV-Umlage</t>
        </is>
      </c>
      <c r="F865" s="77" t="inlineStr">
        <is>
          <t>4 System services &amp; balancing</t>
        </is>
      </c>
      <c r="G865" s="77" t="inlineStr">
        <is>
          <t>interruptible-load levy (Umlage)</t>
        </is>
      </c>
      <c r="H865" s="77" t="inlineStr">
        <is>
          <t>i</t>
        </is>
      </c>
      <c r="I865" s="77">
        <f>IF(ISNUMBER(N865),N865*fx_deflator!$J$18*fx_deflator!$M$18,"")</f>
        <v/>
      </c>
      <c r="J865" s="77" t="inlineStr">
        <is>
          <t>netztransparenz AbLaV-Umlage per-year pages (ends 2022)</t>
        </is>
      </c>
      <c r="K865" s="77" t="inlineStr">
        <is>
          <t>stage4_de r31</t>
        </is>
      </c>
      <c r="L865" s="77" t="inlineStr">
        <is>
          <t>2026-07-15</t>
        </is>
      </c>
      <c r="M865" s="77" t="inlineStr">
        <is>
          <t>N</t>
        </is>
      </c>
      <c r="N865" s="136">
        <f>IF(ISNUMBER(timeseries!Q39),timeseries!Q39,"")</f>
        <v/>
      </c>
      <c r="O865" s="77" t="inlineStr">
        <is>
          <t>EUR/MWh nominal</t>
        </is>
      </c>
    </row>
    <row r="866" ht="15" customHeight="1" s="78">
      <c r="A866" s="77" t="inlineStr">
        <is>
          <t>DE</t>
        </is>
      </c>
      <c r="B866" s="77" t="n">
        <v>2023</v>
      </c>
      <c r="C866" s="77" t="inlineStr">
        <is>
          <t>large</t>
        </is>
      </c>
      <c r="D866" s="77" t="inlineStr">
        <is>
          <t>E2</t>
        </is>
      </c>
      <c r="E866" s="77" t="inlineStr">
        <is>
          <t>Stromsteuer relieved (sec.9(3) 2010; sec.9b 2011+; 0.50 from 2024)</t>
        </is>
      </c>
      <c r="F866" s="77" t="inlineStr">
        <is>
          <t>5 General taxation &amp; levies</t>
        </is>
      </c>
      <c r="G866" s="77" t="inlineStr">
        <is>
          <t>electricity tax</t>
        </is>
      </c>
      <c r="H866" s="77" t="inlineStr">
        <is>
          <t>i (relief = foregone tax, iii)</t>
        </is>
      </c>
      <c r="I866" s="77">
        <f>IF(ISNUMBER(N866),N866*fx_deflator!$J$18*fx_deflator!$M$18,"")</f>
        <v/>
      </c>
      <c r="J866" s="77" t="inlineStr">
        <is>
          <t>StromStG sec.3/sec.9b (BGBl. 2025 I Nr. 340: 0.50 permanent from 2026); gesetze-im-internet.de</t>
        </is>
      </c>
      <c r="K866" s="77" t="inlineStr">
        <is>
          <t>stage4_de r34-35</t>
        </is>
      </c>
      <c r="L866" s="77" t="inlineStr">
        <is>
          <t>2026-07-15</t>
        </is>
      </c>
      <c r="M866" s="77" t="inlineStr">
        <is>
          <t>N</t>
        </is>
      </c>
      <c r="N866" s="77">
        <f>IF(ISNUMBER(stage4_de!Q35),stage4_de!Q35,"")</f>
        <v/>
      </c>
      <c r="O866" s="77" t="inlineStr">
        <is>
          <t>EUR/MWh nominal</t>
        </is>
      </c>
    </row>
    <row r="867" ht="15" customHeight="1" s="78">
      <c r="A867" s="77" t="inlineStr">
        <is>
          <t>DE</t>
        </is>
      </c>
      <c r="B867" s="77" t="n">
        <v>2023</v>
      </c>
      <c r="C867" s="77" t="inlineStr">
        <is>
          <t>large</t>
        </is>
      </c>
      <c r="D867" s="77" t="inlineStr">
        <is>
          <t>E2</t>
        </is>
      </c>
      <c r="E867" s="77" t="inlineStr">
        <is>
          <t>Konzessionsabgabe (0 via Grenzpreis rule)</t>
        </is>
      </c>
      <c r="F867" s="77" t="inlineStr">
        <is>
          <t>5 General taxation &amp; levies</t>
        </is>
      </c>
      <c r="G867" s="77" t="inlineStr">
        <is>
          <t>concession fee</t>
        </is>
      </c>
      <c r="H867" s="77" t="inlineStr">
        <is>
          <t>i</t>
        </is>
      </c>
      <c r="I867" s="77">
        <f>IF(ISNUMBER(N867),N867*fx_deflator!$J$18*fx_deflator!$M$18,"")</f>
        <v/>
      </c>
      <c r="J867" s="77" t="inlineStr">
        <is>
          <t>KAV sec.2(3)/(4) Grenzpreis rule -&gt; 0 for Sondervertragskunden</t>
        </is>
      </c>
      <c r="K867" s="77" t="inlineStr">
        <is>
          <t>stage4_de r36</t>
        </is>
      </c>
      <c r="L867" s="77" t="inlineStr">
        <is>
          <t>2026-07-15</t>
        </is>
      </c>
      <c r="M867" s="77" t="inlineStr">
        <is>
          <t>N</t>
        </is>
      </c>
      <c r="N867" s="77">
        <f>IF(ISNUMBER(stage4_de!Q36),stage4_de!Q36*10,"")</f>
        <v/>
      </c>
      <c r="O867" s="77" t="inlineStr">
        <is>
          <t>EUR/MWh nominal</t>
        </is>
      </c>
    </row>
    <row r="868" ht="15" customHeight="1" s="78">
      <c r="A868" s="77" t="inlineStr">
        <is>
          <t>DE</t>
        </is>
      </c>
      <c r="B868" s="77" t="n">
        <v>2024</v>
      </c>
      <c r="C868" s="77" t="inlineStr">
        <is>
          <t>large</t>
        </is>
      </c>
      <c r="D868" s="77" t="inlineStr">
        <is>
          <t>E2</t>
        </is>
      </c>
      <c r="E868" s="77" t="inlineStr">
        <is>
          <t>Wholesale (Phelix base front-year)</t>
        </is>
      </c>
      <c r="F868" s="77" t="inlineStr">
        <is>
          <t>1 Commodity</t>
        </is>
      </c>
      <c r="G868" s="77" t="inlineStr">
        <is>
          <t>wholesale market</t>
        </is>
      </c>
      <c r="H868" s="77" t="inlineStr">
        <is>
          <t>i</t>
        </is>
      </c>
      <c r="I868" s="77">
        <f>IF(ISNUMBER(N868),N868*fx_deflator!$J$19*fx_deflator!$M$19,"")</f>
        <v/>
      </c>
      <c r="J868" s="77" t="inlineStr">
        <is>
          <t>BNetzA Monitoringberichte — Phelix base front-year by trading yr -&gt; delivery yr; 2026 = D29</t>
        </is>
      </c>
      <c r="K868" s="77" t="inlineStr">
        <is>
          <t>stage4_de r7</t>
        </is>
      </c>
      <c r="L868" s="77" t="inlineStr">
        <is>
          <t>2026-07-15</t>
        </is>
      </c>
      <c r="M868" s="77" t="inlineStr">
        <is>
          <t>Y</t>
        </is>
      </c>
      <c r="N868" s="136">
        <f>IF(ISNUMBER(timeseries!R32),timeseries!R32,"")</f>
        <v/>
      </c>
      <c r="O868" s="77" t="inlineStr">
        <is>
          <t>EUR/MWh nominal</t>
        </is>
      </c>
    </row>
    <row r="869" ht="15" customHeight="1" s="78">
      <c r="A869" s="77" t="inlineStr">
        <is>
          <t>DE</t>
        </is>
      </c>
      <c r="B869" s="77" t="n">
        <v>2024</v>
      </c>
      <c r="C869" s="77" t="inlineStr">
        <is>
          <t>large</t>
        </is>
      </c>
      <c r="D869" s="77" t="inlineStr">
        <is>
          <t>E2</t>
        </is>
      </c>
      <c r="E869" s="77" t="inlineStr">
        <is>
          <t>Netzentgelte HoeS after sec.19(2) individual charge (D8 central; band low=10 pct floor, high=full tariff)</t>
        </is>
      </c>
      <c r="F869" s="77" t="inlineStr">
        <is>
          <t>3 Network</t>
        </is>
      </c>
      <c r="G869" s="77" t="inlineStr">
        <is>
          <t>transmission network charge</t>
        </is>
      </c>
      <c r="H869" s="77" t="inlineStr">
        <is>
          <t>i (relief funded via sec.19-Umlage = ii instrument)</t>
        </is>
      </c>
      <c r="I869" s="77">
        <f>IF(ISNUMBER(N869),N869*fx_deflator!$J$19*fx_deflator!$M$19,"")</f>
        <v/>
      </c>
      <c r="J869" s="77" t="inlineStr">
        <is>
          <t>D8 method: published tariff x (1-0.76) — AgNes 68-HS-site avg Bandlast rebate; band never deleted</t>
        </is>
      </c>
      <c r="K869" s="77" t="inlineStr">
        <is>
          <t>stage4_de r11-12; AgNes GBK-25-01-1#3</t>
        </is>
      </c>
      <c r="L869" s="77" t="inlineStr">
        <is>
          <t>2026-07-15</t>
        </is>
      </c>
      <c r="M869" s="77" t="inlineStr">
        <is>
          <t>Y</t>
        </is>
      </c>
      <c r="N869" s="136">
        <f>IF(ISNUMBER(timeseries!R42),timeseries!R42,"")</f>
        <v/>
      </c>
      <c r="O869" s="77" t="inlineStr">
        <is>
          <t>EUR/MWh nominal</t>
        </is>
      </c>
      <c r="P869" s="77" t="inlineStr">
        <is>
          <t>2011=0 (exemption era, D32); NEVER delete the band (timeseries r43-44)</t>
        </is>
      </c>
    </row>
    <row r="870" ht="15" customHeight="1" s="78">
      <c r="A870" s="77" t="inlineStr">
        <is>
          <t>DE</t>
        </is>
      </c>
      <c r="B870" s="77" t="n">
        <v>2024</v>
      </c>
      <c r="C870" s="77" t="inlineStr">
        <is>
          <t>large</t>
        </is>
      </c>
      <c r="D870" s="77" t="inlineStr">
        <is>
          <t>E2</t>
        </is>
      </c>
      <c r="E870" s="77" t="inlineStr">
        <is>
          <t>EEG-Umlage after BesAR (0.05 ct floor era-central)</t>
        </is>
      </c>
      <c r="F870" s="77" t="inlineStr">
        <is>
          <t>2 Gen capital recovery</t>
        </is>
      </c>
      <c r="G870" s="77" t="inlineStr">
        <is>
          <t>renewables levy (Umlage)</t>
        </is>
      </c>
      <c r="H870" s="77" t="inlineStr">
        <is>
          <t>i (relief socialised via Umlage on others = ii)</t>
        </is>
      </c>
      <c r="I870" s="77">
        <f>IF(ISNUMBER(N870),N870*fx_deflator!$J$19*fx_deflator!$M$19,"")</f>
        <v/>
      </c>
      <c r="J870" s="77" t="inlineStr">
        <is>
          <t>EEG 2012 sec.41 / EEG 2014+ sec.64 (BesAR); D24/D25 conventions</t>
        </is>
      </c>
      <c r="K870" s="77" t="inlineStr">
        <is>
          <t>stage4_de r21 + timeseries r45/62</t>
        </is>
      </c>
      <c r="L870" s="77" t="inlineStr">
        <is>
          <t>2026-07-15</t>
        </is>
      </c>
      <c r="M870" s="77" t="inlineStr">
        <is>
          <t>Y</t>
        </is>
      </c>
      <c r="N870" s="136">
        <f>IF(ISNUMBER(timeseries!R45),timeseries!R45,"")</f>
        <v/>
      </c>
      <c r="O870" s="77" t="inlineStr">
        <is>
          <t>EUR/MWh nominal</t>
        </is>
      </c>
    </row>
    <row r="871" ht="15" customHeight="1" s="78">
      <c r="A871" s="77" t="inlineStr">
        <is>
          <t>DE</t>
        </is>
      </c>
      <c r="B871" s="77" t="n">
        <v>2024</v>
      </c>
      <c r="C871" s="77" t="inlineStr">
        <is>
          <t>large</t>
        </is>
      </c>
      <c r="D871" s="77" t="inlineStr">
        <is>
          <t>E2</t>
        </is>
      </c>
      <c r="E871" s="77" t="inlineStr">
        <is>
          <t>KWKG-Umlage (C-prime blend 2016; =E1 other years, D25)</t>
        </is>
      </c>
      <c r="F871" s="77" t="inlineStr">
        <is>
          <t>2 Gen capital recovery</t>
        </is>
      </c>
      <c r="G871" s="77" t="inlineStr">
        <is>
          <t>CHP levy (Umlage)</t>
        </is>
      </c>
      <c r="H871" s="77" t="inlineStr">
        <is>
          <t>i</t>
        </is>
      </c>
      <c r="I871" s="77">
        <f>IF(ISNUMBER(N871),N871*fx_deflator!$J$19*fx_deflator!$M$19,"")</f>
        <v/>
      </c>
      <c r="J871" s="77" t="inlineStr">
        <is>
          <t>netztransparenz Uebersicht KWKG-Aufschlaege 2002-2016 + per-year pages; tranche blends</t>
        </is>
      </c>
      <c r="K871" s="77" t="inlineStr">
        <is>
          <t>stage4_de r22-24</t>
        </is>
      </c>
      <c r="L871" s="77" t="inlineStr">
        <is>
          <t>2026-07-15</t>
        </is>
      </c>
      <c r="M871" s="77" t="inlineStr">
        <is>
          <t>Y</t>
        </is>
      </c>
      <c r="N871" s="136">
        <f>IF(ISNUMBER(timeseries!R47),timeseries!R47,"")</f>
        <v/>
      </c>
      <c r="O871" s="77" t="inlineStr">
        <is>
          <t>EUR/MWh nominal</t>
        </is>
      </c>
    </row>
    <row r="872" ht="15" customHeight="1" s="78">
      <c r="A872" s="77" t="inlineStr">
        <is>
          <t>DE</t>
        </is>
      </c>
      <c r="B872" s="77" t="n">
        <v>2024</v>
      </c>
      <c r="C872" s="77" t="inlineStr">
        <is>
          <t>large</t>
        </is>
      </c>
      <c r="D872" s="77" t="inlineStr">
        <is>
          <t>E2</t>
        </is>
      </c>
      <c r="E872" s="77" t="inlineStr">
        <is>
          <t>sec.19 StromNEV-Umlage (C-prime blend)</t>
        </is>
      </c>
      <c r="F872" s="77" t="inlineStr">
        <is>
          <t>4 System services &amp; balancing</t>
        </is>
      </c>
      <c r="G872" s="77" t="inlineStr">
        <is>
          <t>network levy (Umlage)</t>
        </is>
      </c>
      <c r="H872" s="77" t="inlineStr">
        <is>
          <t>ii (pays for other users net-charge relief)</t>
        </is>
      </c>
      <c r="I872" s="77">
        <f>IF(ISNUMBER(N872),N872*fx_deflator!$J$19*fx_deflator!$M$19,"")</f>
        <v/>
      </c>
      <c r="J872" s="77" t="inlineStr">
        <is>
          <t>netztransparenz per-year Umlagen pages (A-prime/B-prime/C-prime)</t>
        </is>
      </c>
      <c r="K872" s="77" t="inlineStr">
        <is>
          <t>stage4_de r25-27</t>
        </is>
      </c>
      <c r="L872" s="77" t="inlineStr">
        <is>
          <t>2026-07-15</t>
        </is>
      </c>
      <c r="M872" s="77" t="inlineStr">
        <is>
          <t>Y</t>
        </is>
      </c>
      <c r="N872" s="136">
        <f>IF(ISNUMBER(timeseries!R48),timeseries!R48,"")</f>
        <v/>
      </c>
      <c r="O872" s="77" t="inlineStr">
        <is>
          <t>EUR/MWh nominal</t>
        </is>
      </c>
    </row>
    <row r="873" ht="15" customHeight="1" s="78">
      <c r="A873" s="77" t="inlineStr">
        <is>
          <t>DE</t>
        </is>
      </c>
      <c r="B873" s="77" t="n">
        <v>2024</v>
      </c>
      <c r="C873" s="77" t="inlineStr">
        <is>
          <t>large</t>
        </is>
      </c>
      <c r="D873" s="77" t="inlineStr">
        <is>
          <t>E2</t>
        </is>
      </c>
      <c r="E873" s="77" t="inlineStr">
        <is>
          <t>Offshore-Netzumlage (Kat-C blend 2013-18; =E1 2019+, D25)</t>
        </is>
      </c>
      <c r="F873" s="77" t="inlineStr">
        <is>
          <t>2 Gen capital recovery</t>
        </is>
      </c>
      <c r="G873" s="77" t="inlineStr">
        <is>
          <t>offshore grid levy (Umlage)</t>
        </is>
      </c>
      <c r="H873" s="77" t="inlineStr">
        <is>
          <t>i</t>
        </is>
      </c>
      <c r="I873" s="77">
        <f>IF(ISNUMBER(N873),N873*fx_deflator!$J$19*fx_deflator!$M$19,"")</f>
        <v/>
      </c>
      <c r="J873" s="77" t="inlineStr">
        <is>
          <t>netztransparenz Offshore-Umlage per-year pages</t>
        </is>
      </c>
      <c r="K873" s="77" t="inlineStr">
        <is>
          <t>stage4_de r28-30</t>
        </is>
      </c>
      <c r="L873" s="77" t="inlineStr">
        <is>
          <t>2026-07-15</t>
        </is>
      </c>
      <c r="M873" s="77" t="inlineStr">
        <is>
          <t>Y</t>
        </is>
      </c>
      <c r="N873" s="136">
        <f>IF(ISNUMBER(timeseries!R49),timeseries!R49,"")</f>
        <v/>
      </c>
      <c r="O873" s="77" t="inlineStr">
        <is>
          <t>EUR/MWh nominal</t>
        </is>
      </c>
    </row>
    <row r="874" ht="15" customHeight="1" s="78">
      <c r="A874" s="77" t="inlineStr">
        <is>
          <t>DE</t>
        </is>
      </c>
      <c r="B874" s="77" t="n">
        <v>2024</v>
      </c>
      <c r="C874" s="77" t="inlineStr">
        <is>
          <t>large</t>
        </is>
      </c>
      <c r="D874" s="77" t="inlineStr">
        <is>
          <t>E2</t>
        </is>
      </c>
      <c r="E874" s="77" t="inlineStr">
        <is>
          <t>AbLaV-Umlage</t>
        </is>
      </c>
      <c r="F874" s="77" t="inlineStr">
        <is>
          <t>4 System services &amp; balancing</t>
        </is>
      </c>
      <c r="G874" s="77" t="inlineStr">
        <is>
          <t>interruptible-load levy (Umlage)</t>
        </is>
      </c>
      <c r="H874" s="77" t="inlineStr">
        <is>
          <t>i</t>
        </is>
      </c>
      <c r="I874" s="77">
        <f>IF(ISNUMBER(N874),N874*fx_deflator!$J$19*fx_deflator!$M$19,"")</f>
        <v/>
      </c>
      <c r="J874" s="77" t="inlineStr">
        <is>
          <t>netztransparenz AbLaV-Umlage per-year pages (ends 2022)</t>
        </is>
      </c>
      <c r="K874" s="77" t="inlineStr">
        <is>
          <t>stage4_de r31</t>
        </is>
      </c>
      <c r="L874" s="77" t="inlineStr">
        <is>
          <t>2026-07-15</t>
        </is>
      </c>
      <c r="M874" s="77" t="inlineStr">
        <is>
          <t>N</t>
        </is>
      </c>
      <c r="N874" s="136">
        <f>IF(ISNUMBER(timeseries!R39),timeseries!R39,"")</f>
        <v/>
      </c>
      <c r="O874" s="77" t="inlineStr">
        <is>
          <t>EUR/MWh nominal</t>
        </is>
      </c>
    </row>
    <row r="875" ht="15" customHeight="1" s="78">
      <c r="A875" s="77" t="inlineStr">
        <is>
          <t>DE</t>
        </is>
      </c>
      <c r="B875" s="77" t="n">
        <v>2024</v>
      </c>
      <c r="C875" s="77" t="inlineStr">
        <is>
          <t>large</t>
        </is>
      </c>
      <c r="D875" s="77" t="inlineStr">
        <is>
          <t>E2</t>
        </is>
      </c>
      <c r="E875" s="77" t="inlineStr">
        <is>
          <t>Stromsteuer relieved (sec.9(3) 2010; sec.9b 2011+; 0.50 from 2024)</t>
        </is>
      </c>
      <c r="F875" s="77" t="inlineStr">
        <is>
          <t>5 General taxation &amp; levies</t>
        </is>
      </c>
      <c r="G875" s="77" t="inlineStr">
        <is>
          <t>electricity tax</t>
        </is>
      </c>
      <c r="H875" s="77" t="inlineStr">
        <is>
          <t>i (relief = foregone tax, iii)</t>
        </is>
      </c>
      <c r="I875" s="77">
        <f>IF(ISNUMBER(N875),N875*fx_deflator!$J$19*fx_deflator!$M$19,"")</f>
        <v/>
      </c>
      <c r="J875" s="77" t="inlineStr">
        <is>
          <t>StromStG sec.3/sec.9b (BGBl. 2025 I Nr. 340: 0.50 permanent from 2026); gesetze-im-internet.de</t>
        </is>
      </c>
      <c r="K875" s="77" t="inlineStr">
        <is>
          <t>stage4_de r34-35</t>
        </is>
      </c>
      <c r="L875" s="77" t="inlineStr">
        <is>
          <t>2026-07-15</t>
        </is>
      </c>
      <c r="M875" s="77" t="inlineStr">
        <is>
          <t>N</t>
        </is>
      </c>
      <c r="N875" s="77">
        <f>IF(ISNUMBER(stage4_de!R35),stage4_de!R35,"")</f>
        <v/>
      </c>
      <c r="O875" s="77" t="inlineStr">
        <is>
          <t>EUR/MWh nominal</t>
        </is>
      </c>
    </row>
    <row r="876" ht="15" customHeight="1" s="78">
      <c r="A876" s="77" t="inlineStr">
        <is>
          <t>DE</t>
        </is>
      </c>
      <c r="B876" s="77" t="n">
        <v>2024</v>
      </c>
      <c r="C876" s="77" t="inlineStr">
        <is>
          <t>large</t>
        </is>
      </c>
      <c r="D876" s="77" t="inlineStr">
        <is>
          <t>E2</t>
        </is>
      </c>
      <c r="E876" s="77" t="inlineStr">
        <is>
          <t>Konzessionsabgabe (0 via Grenzpreis rule)</t>
        </is>
      </c>
      <c r="F876" s="77" t="inlineStr">
        <is>
          <t>5 General taxation &amp; levies</t>
        </is>
      </c>
      <c r="G876" s="77" t="inlineStr">
        <is>
          <t>concession fee</t>
        </is>
      </c>
      <c r="H876" s="77" t="inlineStr">
        <is>
          <t>i</t>
        </is>
      </c>
      <c r="I876" s="77">
        <f>IF(ISNUMBER(N876),N876*fx_deflator!$J$19*fx_deflator!$M$19,"")</f>
        <v/>
      </c>
      <c r="J876" s="77" t="inlineStr">
        <is>
          <t>KAV sec.2(3)/(4) Grenzpreis rule -&gt; 0 for Sondervertragskunden</t>
        </is>
      </c>
      <c r="K876" s="77" t="inlineStr">
        <is>
          <t>stage4_de r36</t>
        </is>
      </c>
      <c r="L876" s="77" t="inlineStr">
        <is>
          <t>2026-07-15</t>
        </is>
      </c>
      <c r="M876" s="77" t="inlineStr">
        <is>
          <t>N</t>
        </is>
      </c>
      <c r="N876" s="77">
        <f>IF(ISNUMBER(stage4_de!R36),stage4_de!R36*10,"")</f>
        <v/>
      </c>
      <c r="O876" s="77" t="inlineStr">
        <is>
          <t>EUR/MWh nominal</t>
        </is>
      </c>
    </row>
    <row r="877" ht="15" customHeight="1" s="78">
      <c r="A877" s="77" t="inlineStr">
        <is>
          <t>DE</t>
        </is>
      </c>
      <c r="B877" s="77" t="n">
        <v>2025</v>
      </c>
      <c r="C877" s="77" t="inlineStr">
        <is>
          <t>large</t>
        </is>
      </c>
      <c r="D877" s="77" t="inlineStr">
        <is>
          <t>E2</t>
        </is>
      </c>
      <c r="E877" s="77" t="inlineStr">
        <is>
          <t>Wholesale (Phelix base front-year)</t>
        </is>
      </c>
      <c r="F877" s="77" t="inlineStr">
        <is>
          <t>1 Commodity</t>
        </is>
      </c>
      <c r="G877" s="77" t="inlineStr">
        <is>
          <t>wholesale market</t>
        </is>
      </c>
      <c r="H877" s="77" t="inlineStr">
        <is>
          <t>i</t>
        </is>
      </c>
      <c r="I877" s="77">
        <f>IF(ISNUMBER(N877),N877*fx_deflator!$J$20*fx_deflator!$M$20,"")</f>
        <v/>
      </c>
      <c r="J877" s="77" t="inlineStr">
        <is>
          <t>BNetzA Monitoringberichte — Phelix base front-year by trading yr -&gt; delivery yr; 2026 = D29</t>
        </is>
      </c>
      <c r="K877" s="77" t="inlineStr">
        <is>
          <t>stage4_de r7</t>
        </is>
      </c>
      <c r="L877" s="77" t="inlineStr">
        <is>
          <t>2026-07-15</t>
        </is>
      </c>
      <c r="M877" s="77" t="inlineStr">
        <is>
          <t>Y</t>
        </is>
      </c>
      <c r="N877" s="136">
        <f>IF(ISNUMBER(timeseries!S32),timeseries!S32,"")</f>
        <v/>
      </c>
      <c r="O877" s="77" t="inlineStr">
        <is>
          <t>EUR/MWh nominal</t>
        </is>
      </c>
    </row>
    <row r="878" ht="15" customHeight="1" s="78">
      <c r="A878" s="77" t="inlineStr">
        <is>
          <t>DE</t>
        </is>
      </c>
      <c r="B878" s="77" t="n">
        <v>2025</v>
      </c>
      <c r="C878" s="77" t="inlineStr">
        <is>
          <t>large</t>
        </is>
      </c>
      <c r="D878" s="77" t="inlineStr">
        <is>
          <t>E2</t>
        </is>
      </c>
      <c r="E878" s="77" t="inlineStr">
        <is>
          <t>Netzentgelte HoeS after sec.19(2) individual charge (D8 central; band low=10 pct floor, high=full tariff)</t>
        </is>
      </c>
      <c r="F878" s="77" t="inlineStr">
        <is>
          <t>3 Network</t>
        </is>
      </c>
      <c r="G878" s="77" t="inlineStr">
        <is>
          <t>transmission network charge</t>
        </is>
      </c>
      <c r="H878" s="77" t="inlineStr">
        <is>
          <t>i (relief funded via sec.19-Umlage = ii instrument)</t>
        </is>
      </c>
      <c r="I878" s="77">
        <f>IF(ISNUMBER(N878),N878*fx_deflator!$J$20*fx_deflator!$M$20,"")</f>
        <v/>
      </c>
      <c r="J878" s="77" t="inlineStr">
        <is>
          <t>D8 method: published tariff x (1-0.76) — AgNes 68-HS-site avg Bandlast rebate; band never deleted</t>
        </is>
      </c>
      <c r="K878" s="77" t="inlineStr">
        <is>
          <t>stage4_de r11-12; AgNes GBK-25-01-1#3</t>
        </is>
      </c>
      <c r="L878" s="77" t="inlineStr">
        <is>
          <t>2026-07-15</t>
        </is>
      </c>
      <c r="M878" s="77" t="inlineStr">
        <is>
          <t>Y</t>
        </is>
      </c>
      <c r="N878" s="136">
        <f>IF(ISNUMBER(timeseries!S42),timeseries!S42,"")</f>
        <v/>
      </c>
      <c r="O878" s="77" t="inlineStr">
        <is>
          <t>EUR/MWh nominal</t>
        </is>
      </c>
      <c r="P878" s="77" t="inlineStr">
        <is>
          <t>2011=0 (exemption era, D32); NEVER delete the band (timeseries r43-44)</t>
        </is>
      </c>
    </row>
    <row r="879" ht="15" customHeight="1" s="78">
      <c r="A879" s="77" t="inlineStr">
        <is>
          <t>DE</t>
        </is>
      </c>
      <c r="B879" s="77" t="n">
        <v>2025</v>
      </c>
      <c r="C879" s="77" t="inlineStr">
        <is>
          <t>large</t>
        </is>
      </c>
      <c r="D879" s="77" t="inlineStr">
        <is>
          <t>E2</t>
        </is>
      </c>
      <c r="E879" s="77" t="inlineStr">
        <is>
          <t>EEG-Umlage after BesAR (0.05 ct floor era-central)</t>
        </is>
      </c>
      <c r="F879" s="77" t="inlineStr">
        <is>
          <t>2 Gen capital recovery</t>
        </is>
      </c>
      <c r="G879" s="77" t="inlineStr">
        <is>
          <t>renewables levy (Umlage)</t>
        </is>
      </c>
      <c r="H879" s="77" t="inlineStr">
        <is>
          <t>i (relief socialised via Umlage on others = ii)</t>
        </is>
      </c>
      <c r="I879" s="77">
        <f>IF(ISNUMBER(N879),N879*fx_deflator!$J$20*fx_deflator!$M$20,"")</f>
        <v/>
      </c>
      <c r="J879" s="77" t="inlineStr">
        <is>
          <t>EEG 2012 sec.41 / EEG 2014+ sec.64 (BesAR); D24/D25 conventions</t>
        </is>
      </c>
      <c r="K879" s="77" t="inlineStr">
        <is>
          <t>stage4_de r21 + timeseries r45/62</t>
        </is>
      </c>
      <c r="L879" s="77" t="inlineStr">
        <is>
          <t>2026-07-15</t>
        </is>
      </c>
      <c r="M879" s="77" t="inlineStr">
        <is>
          <t>Y</t>
        </is>
      </c>
      <c r="N879" s="136">
        <f>IF(ISNUMBER(timeseries!S45),timeseries!S45,"")</f>
        <v/>
      </c>
      <c r="O879" s="77" t="inlineStr">
        <is>
          <t>EUR/MWh nominal</t>
        </is>
      </c>
    </row>
    <row r="880" ht="15" customHeight="1" s="78">
      <c r="A880" s="77" t="inlineStr">
        <is>
          <t>DE</t>
        </is>
      </c>
      <c r="B880" s="77" t="n">
        <v>2025</v>
      </c>
      <c r="C880" s="77" t="inlineStr">
        <is>
          <t>large</t>
        </is>
      </c>
      <c r="D880" s="77" t="inlineStr">
        <is>
          <t>E2</t>
        </is>
      </c>
      <c r="E880" s="77" t="inlineStr">
        <is>
          <t>KWKG-Umlage (C-prime blend 2016; =E1 other years, D25)</t>
        </is>
      </c>
      <c r="F880" s="77" t="inlineStr">
        <is>
          <t>2 Gen capital recovery</t>
        </is>
      </c>
      <c r="G880" s="77" t="inlineStr">
        <is>
          <t>CHP levy (Umlage)</t>
        </is>
      </c>
      <c r="H880" s="77" t="inlineStr">
        <is>
          <t>i</t>
        </is>
      </c>
      <c r="I880" s="77">
        <f>IF(ISNUMBER(N880),N880*fx_deflator!$J$20*fx_deflator!$M$20,"")</f>
        <v/>
      </c>
      <c r="J880" s="77" t="inlineStr">
        <is>
          <t>netztransparenz Uebersicht KWKG-Aufschlaege 2002-2016 + per-year pages; tranche blends</t>
        </is>
      </c>
      <c r="K880" s="77" t="inlineStr">
        <is>
          <t>stage4_de r22-24</t>
        </is>
      </c>
      <c r="L880" s="77" t="inlineStr">
        <is>
          <t>2026-07-15</t>
        </is>
      </c>
      <c r="M880" s="77" t="inlineStr">
        <is>
          <t>Y</t>
        </is>
      </c>
      <c r="N880" s="136">
        <f>IF(ISNUMBER(timeseries!S47),timeseries!S47,"")</f>
        <v/>
      </c>
      <c r="O880" s="77" t="inlineStr">
        <is>
          <t>EUR/MWh nominal</t>
        </is>
      </c>
    </row>
    <row r="881" ht="15" customHeight="1" s="78">
      <c r="A881" s="77" t="inlineStr">
        <is>
          <t>DE</t>
        </is>
      </c>
      <c r="B881" s="77" t="n">
        <v>2025</v>
      </c>
      <c r="C881" s="77" t="inlineStr">
        <is>
          <t>large</t>
        </is>
      </c>
      <c r="D881" s="77" t="inlineStr">
        <is>
          <t>E2</t>
        </is>
      </c>
      <c r="E881" s="77" t="inlineStr">
        <is>
          <t>sec.19 StromNEV-Umlage (C-prime blend)</t>
        </is>
      </c>
      <c r="F881" s="77" t="inlineStr">
        <is>
          <t>4 System services &amp; balancing</t>
        </is>
      </c>
      <c r="G881" s="77" t="inlineStr">
        <is>
          <t>network levy (Umlage)</t>
        </is>
      </c>
      <c r="H881" s="77" t="inlineStr">
        <is>
          <t>ii (pays for other users net-charge relief)</t>
        </is>
      </c>
      <c r="I881" s="77">
        <f>IF(ISNUMBER(N881),N881*fx_deflator!$J$20*fx_deflator!$M$20,"")</f>
        <v/>
      </c>
      <c r="J881" s="77" t="inlineStr">
        <is>
          <t>netztransparenz per-year Umlagen pages (A-prime/B-prime/C-prime)</t>
        </is>
      </c>
      <c r="K881" s="77" t="inlineStr">
        <is>
          <t>stage4_de r25-27</t>
        </is>
      </c>
      <c r="L881" s="77" t="inlineStr">
        <is>
          <t>2026-07-15</t>
        </is>
      </c>
      <c r="M881" s="77" t="inlineStr">
        <is>
          <t>Y</t>
        </is>
      </c>
      <c r="N881" s="136">
        <f>IF(ISNUMBER(timeseries!S48),timeseries!S48,"")</f>
        <v/>
      </c>
      <c r="O881" s="77" t="inlineStr">
        <is>
          <t>EUR/MWh nominal</t>
        </is>
      </c>
    </row>
    <row r="882" ht="15" customHeight="1" s="78">
      <c r="A882" s="77" t="inlineStr">
        <is>
          <t>DE</t>
        </is>
      </c>
      <c r="B882" s="77" t="n">
        <v>2025</v>
      </c>
      <c r="C882" s="77" t="inlineStr">
        <is>
          <t>large</t>
        </is>
      </c>
      <c r="D882" s="77" t="inlineStr">
        <is>
          <t>E2</t>
        </is>
      </c>
      <c r="E882" s="77" t="inlineStr">
        <is>
          <t>Offshore-Netzumlage (Kat-C blend 2013-18; =E1 2019+, D25)</t>
        </is>
      </c>
      <c r="F882" s="77" t="inlineStr">
        <is>
          <t>2 Gen capital recovery</t>
        </is>
      </c>
      <c r="G882" s="77" t="inlineStr">
        <is>
          <t>offshore grid levy (Umlage)</t>
        </is>
      </c>
      <c r="H882" s="77" t="inlineStr">
        <is>
          <t>i</t>
        </is>
      </c>
      <c r="I882" s="77">
        <f>IF(ISNUMBER(N882),N882*fx_deflator!$J$20*fx_deflator!$M$20,"")</f>
        <v/>
      </c>
      <c r="J882" s="77" t="inlineStr">
        <is>
          <t>netztransparenz Offshore-Umlage per-year pages</t>
        </is>
      </c>
      <c r="K882" s="77" t="inlineStr">
        <is>
          <t>stage4_de r28-30</t>
        </is>
      </c>
      <c r="L882" s="77" t="inlineStr">
        <is>
          <t>2026-07-15</t>
        </is>
      </c>
      <c r="M882" s="77" t="inlineStr">
        <is>
          <t>Y</t>
        </is>
      </c>
      <c r="N882" s="136">
        <f>IF(ISNUMBER(timeseries!S49),timeseries!S49,"")</f>
        <v/>
      </c>
      <c r="O882" s="77" t="inlineStr">
        <is>
          <t>EUR/MWh nominal</t>
        </is>
      </c>
    </row>
    <row r="883" ht="15" customHeight="1" s="78">
      <c r="A883" s="77" t="inlineStr">
        <is>
          <t>DE</t>
        </is>
      </c>
      <c r="B883" s="77" t="n">
        <v>2025</v>
      </c>
      <c r="C883" s="77" t="inlineStr">
        <is>
          <t>large</t>
        </is>
      </c>
      <c r="D883" s="77" t="inlineStr">
        <is>
          <t>E2</t>
        </is>
      </c>
      <c r="E883" s="77" t="inlineStr">
        <is>
          <t>AbLaV-Umlage</t>
        </is>
      </c>
      <c r="F883" s="77" t="inlineStr">
        <is>
          <t>4 System services &amp; balancing</t>
        </is>
      </c>
      <c r="G883" s="77" t="inlineStr">
        <is>
          <t>interruptible-load levy (Umlage)</t>
        </is>
      </c>
      <c r="H883" s="77" t="inlineStr">
        <is>
          <t>i</t>
        </is>
      </c>
      <c r="I883" s="77">
        <f>IF(ISNUMBER(N883),N883*fx_deflator!$J$20*fx_deflator!$M$20,"")</f>
        <v/>
      </c>
      <c r="J883" s="77" t="inlineStr">
        <is>
          <t>netztransparenz AbLaV-Umlage per-year pages (ends 2022)</t>
        </is>
      </c>
      <c r="K883" s="77" t="inlineStr">
        <is>
          <t>stage4_de r31</t>
        </is>
      </c>
      <c r="L883" s="77" t="inlineStr">
        <is>
          <t>2026-07-15</t>
        </is>
      </c>
      <c r="M883" s="77" t="inlineStr">
        <is>
          <t>N</t>
        </is>
      </c>
      <c r="N883" s="136">
        <f>IF(ISNUMBER(timeseries!S39),timeseries!S39,"")</f>
        <v/>
      </c>
      <c r="O883" s="77" t="inlineStr">
        <is>
          <t>EUR/MWh nominal</t>
        </is>
      </c>
    </row>
    <row r="884" ht="15" customHeight="1" s="78">
      <c r="A884" s="77" t="inlineStr">
        <is>
          <t>DE</t>
        </is>
      </c>
      <c r="B884" s="77" t="n">
        <v>2025</v>
      </c>
      <c r="C884" s="77" t="inlineStr">
        <is>
          <t>large</t>
        </is>
      </c>
      <c r="D884" s="77" t="inlineStr">
        <is>
          <t>E2</t>
        </is>
      </c>
      <c r="E884" s="77" t="inlineStr">
        <is>
          <t>Stromsteuer relieved (sec.9(3) 2010; sec.9b 2011+; 0.50 from 2024)</t>
        </is>
      </c>
      <c r="F884" s="77" t="inlineStr">
        <is>
          <t>5 General taxation &amp; levies</t>
        </is>
      </c>
      <c r="G884" s="77" t="inlineStr">
        <is>
          <t>electricity tax</t>
        </is>
      </c>
      <c r="H884" s="77" t="inlineStr">
        <is>
          <t>i (relief = foregone tax, iii)</t>
        </is>
      </c>
      <c r="I884" s="77">
        <f>IF(ISNUMBER(N884),N884*fx_deflator!$J$20*fx_deflator!$M$20,"")</f>
        <v/>
      </c>
      <c r="J884" s="77" t="inlineStr">
        <is>
          <t>StromStG sec.3/sec.9b (BGBl. 2025 I Nr. 340: 0.50 permanent from 2026); gesetze-im-internet.de</t>
        </is>
      </c>
      <c r="K884" s="77" t="inlineStr">
        <is>
          <t>stage4_de r34-35</t>
        </is>
      </c>
      <c r="L884" s="77" t="inlineStr">
        <is>
          <t>2026-07-15</t>
        </is>
      </c>
      <c r="M884" s="77" t="inlineStr">
        <is>
          <t>N</t>
        </is>
      </c>
      <c r="N884" s="77">
        <f>IF(ISNUMBER(stage4_de!S35),stage4_de!S35,"")</f>
        <v/>
      </c>
      <c r="O884" s="77" t="inlineStr">
        <is>
          <t>EUR/MWh nominal</t>
        </is>
      </c>
    </row>
    <row r="885" ht="15" customHeight="1" s="78">
      <c r="A885" s="77" t="inlineStr">
        <is>
          <t>DE</t>
        </is>
      </c>
      <c r="B885" s="77" t="n">
        <v>2025</v>
      </c>
      <c r="C885" s="77" t="inlineStr">
        <is>
          <t>large</t>
        </is>
      </c>
      <c r="D885" s="77" t="inlineStr">
        <is>
          <t>E2</t>
        </is>
      </c>
      <c r="E885" s="77" t="inlineStr">
        <is>
          <t>Konzessionsabgabe (0 via Grenzpreis rule)</t>
        </is>
      </c>
      <c r="F885" s="77" t="inlineStr">
        <is>
          <t>5 General taxation &amp; levies</t>
        </is>
      </c>
      <c r="G885" s="77" t="inlineStr">
        <is>
          <t>concession fee</t>
        </is>
      </c>
      <c r="H885" s="77" t="inlineStr">
        <is>
          <t>i</t>
        </is>
      </c>
      <c r="I885" s="77">
        <f>IF(ISNUMBER(N885),N885*fx_deflator!$J$20*fx_deflator!$M$20,"")</f>
        <v/>
      </c>
      <c r="J885" s="77" t="inlineStr">
        <is>
          <t>KAV sec.2(3)/(4) Grenzpreis rule -&gt; 0 for Sondervertragskunden</t>
        </is>
      </c>
      <c r="K885" s="77" t="inlineStr">
        <is>
          <t>stage4_de r36</t>
        </is>
      </c>
      <c r="L885" s="77" t="inlineStr">
        <is>
          <t>2026-07-15</t>
        </is>
      </c>
      <c r="M885" s="77" t="inlineStr">
        <is>
          <t>N</t>
        </is>
      </c>
      <c r="N885" s="77">
        <f>IF(ISNUMBER(stage4_de!S36),stage4_de!S36*10,"")</f>
        <v/>
      </c>
      <c r="O885" s="77" t="inlineStr">
        <is>
          <t>EUR/MWh nominal</t>
        </is>
      </c>
    </row>
    <row r="886" ht="15" customHeight="1" s="78">
      <c r="A886" s="77" t="inlineStr">
        <is>
          <t>DE</t>
        </is>
      </c>
      <c r="B886" s="77" t="n">
        <v>2010</v>
      </c>
      <c r="C886" s="77" t="inlineStr">
        <is>
          <t>medium</t>
        </is>
      </c>
      <c r="D886" s="77" t="inlineStr">
        <is>
          <t>E1</t>
        </is>
      </c>
      <c r="E886" s="77" t="inlineStr">
        <is>
          <t>Netzentgelte MS (Westnetz; MB bridge 2010-12)</t>
        </is>
      </c>
      <c r="F886" s="77" t="inlineStr">
        <is>
          <t>3 Network</t>
        </is>
      </c>
      <c r="G886" s="77" t="inlineStr">
        <is>
          <t>distribution network charge</t>
        </is>
      </c>
      <c r="H886" s="77" t="inlineStr">
        <is>
          <t>i</t>
        </is>
      </c>
      <c r="I886" s="77">
        <f>IF(ISNUMBER(N886),N886*fx_deflator!$J$5*fx_deflator!$M$5,"")</f>
        <v/>
      </c>
      <c r="J886" s="77" t="inlineStr">
        <is>
          <t>Westnetz Preisblaetter (2013+, Wayback); BNetzA MB national avg bridge 2010-12 (D20)</t>
        </is>
      </c>
      <c r="K886" s="77" t="inlineStr">
        <is>
          <t>stage4_de r15-17</t>
        </is>
      </c>
      <c r="L886" s="77" t="inlineStr">
        <is>
          <t>2026-07-15</t>
        </is>
      </c>
      <c r="M886" s="77" t="inlineStr">
        <is>
          <t>Y</t>
        </is>
      </c>
      <c r="N886" s="136">
        <f>IF(ISNUMBER(timeseries!D58),timeseries!D58,"")</f>
        <v/>
      </c>
      <c r="O886" s="77" t="inlineStr">
        <is>
          <t>EUR/MWh nominal</t>
        </is>
      </c>
      <c r="P886" s="77" t="inlineStr">
        <is>
          <t>no sec.19 relief at 5,000h (fails Satz 2) — E1=E2</t>
        </is>
      </c>
    </row>
    <row r="887" ht="15" customHeight="1" s="78">
      <c r="A887" s="77" t="inlineStr">
        <is>
          <t>DE</t>
        </is>
      </c>
      <c r="B887" s="77" t="n">
        <v>2010</v>
      </c>
      <c r="C887" s="77" t="inlineStr">
        <is>
          <t>medium</t>
        </is>
      </c>
      <c r="D887" s="77" t="inlineStr">
        <is>
          <t>E1</t>
        </is>
      </c>
      <c r="E887" s="77" t="inlineStr">
        <is>
          <t>EEG-Umlage (full)</t>
        </is>
      </c>
      <c r="F887" s="77" t="inlineStr">
        <is>
          <t>2 Gen capital recovery</t>
        </is>
      </c>
      <c r="G887" s="77" t="inlineStr">
        <is>
          <t>renewables levy (Umlage)</t>
        </is>
      </c>
      <c r="H887" s="77" t="inlineStr">
        <is>
          <t>i (0 from 07/2022 — taxpayer, see HATCH iii)</t>
        </is>
      </c>
      <c r="I887" s="77">
        <f>IF(ISNUMBER(N887),N887*fx_deflator!$J$5*fx_deflator!$M$5,"")</f>
        <v/>
      </c>
      <c r="J887" s="77" t="inlineStr">
        <is>
          <t>netztransparenz.de EEG-Umlagen der Vorjahre + per-year pages</t>
        </is>
      </c>
      <c r="K887" s="77" t="inlineStr">
        <is>
          <t>stage4_de r21</t>
        </is>
      </c>
      <c r="L887" s="77" t="inlineStr">
        <is>
          <t>2026-07-15</t>
        </is>
      </c>
      <c r="M887" s="77" t="inlineStr">
        <is>
          <t>N</t>
        </is>
      </c>
      <c r="N887" s="77">
        <f>IF(ISNUMBER(stage4_de!D21),stage4_de!D21*10,"")</f>
        <v/>
      </c>
      <c r="O887" s="77" t="inlineStr">
        <is>
          <t>EUR/MWh nominal</t>
        </is>
      </c>
    </row>
    <row r="888" ht="15" customHeight="1" s="78">
      <c r="A888" s="77" t="inlineStr">
        <is>
          <t>DE</t>
        </is>
      </c>
      <c r="B888" s="77" t="n">
        <v>2010</v>
      </c>
      <c r="C888" s="77" t="inlineStr">
        <is>
          <t>medium</t>
        </is>
      </c>
      <c r="D888" s="77" t="inlineStr">
        <is>
          <t>E1</t>
        </is>
      </c>
      <c r="E888" s="77" t="inlineStr">
        <is>
          <t>KWKG-Umlage (tranche blend at 20 GWh)</t>
        </is>
      </c>
      <c r="F888" s="77" t="inlineStr">
        <is>
          <t>2 Gen capital recovery</t>
        </is>
      </c>
      <c r="G888" s="77" t="inlineStr">
        <is>
          <t>CHP levy (Umlage)</t>
        </is>
      </c>
      <c r="H888" s="77" t="inlineStr">
        <is>
          <t>i</t>
        </is>
      </c>
      <c r="I888" s="77">
        <f>IF(ISNUMBER(N888),N888*fx_deflator!$J$5*fx_deflator!$M$5,"")</f>
        <v/>
      </c>
      <c r="J888" s="77" t="inlineStr">
        <is>
          <t>netztransparenz Uebersicht KWKG-Aufschlaege 2002-2016 + per-year pages; tranche blends</t>
        </is>
      </c>
      <c r="K888" s="77" t="inlineStr">
        <is>
          <t>stage4_de r22-24</t>
        </is>
      </c>
      <c r="L888" s="77" t="inlineStr">
        <is>
          <t>2026-07-15</t>
        </is>
      </c>
      <c r="M888" s="77" t="inlineStr">
        <is>
          <t>Y</t>
        </is>
      </c>
      <c r="N888" s="77">
        <f>(0.1*stage4_de!D22+19.9*stage4_de!D23)/20*10</f>
        <v/>
      </c>
      <c r="O888" s="77" t="inlineStr">
        <is>
          <t>EUR/MWh nominal</t>
        </is>
      </c>
    </row>
    <row r="889" ht="15" customHeight="1" s="78">
      <c r="A889" s="77" t="inlineStr">
        <is>
          <t>DE</t>
        </is>
      </c>
      <c r="B889" s="77" t="n">
        <v>2010</v>
      </c>
      <c r="C889" s="77" t="inlineStr">
        <is>
          <t>medium</t>
        </is>
      </c>
      <c r="D889" s="77" t="inlineStr">
        <is>
          <t>E1</t>
        </is>
      </c>
      <c r="E889" s="77" t="inlineStr">
        <is>
          <t>Stromsteuer (full sec.3)</t>
        </is>
      </c>
      <c r="F889" s="77" t="inlineStr">
        <is>
          <t>5 General taxation &amp; levies</t>
        </is>
      </c>
      <c r="G889" s="77" t="inlineStr">
        <is>
          <t>electricity tax</t>
        </is>
      </c>
      <c r="H889" s="77" t="inlineStr">
        <is>
          <t>i</t>
        </is>
      </c>
      <c r="I889" s="77">
        <f>IF(ISNUMBER(N889),N889*fx_deflator!$J$5*fx_deflator!$M$5,"")</f>
        <v/>
      </c>
      <c r="J889" s="77" t="inlineStr">
        <is>
          <t>StromStG sec.3/sec.9b (BGBl. 2025 I Nr. 340: 0.50 permanent from 2026); gesetze-im-internet.de</t>
        </is>
      </c>
      <c r="K889" s="77" t="inlineStr">
        <is>
          <t>stage4_de r34-35</t>
        </is>
      </c>
      <c r="L889" s="77" t="inlineStr">
        <is>
          <t>2026-07-15</t>
        </is>
      </c>
      <c r="M889" s="77" t="inlineStr">
        <is>
          <t>N</t>
        </is>
      </c>
      <c r="N889" s="77">
        <f>IF(ISNUMBER(stage4_de!D34),stage4_de!D34,"")</f>
        <v/>
      </c>
      <c r="O889" s="77" t="inlineStr">
        <is>
          <t>EUR/MWh nominal</t>
        </is>
      </c>
    </row>
    <row r="890" ht="15" customHeight="1" s="78">
      <c r="A890" s="77" t="inlineStr">
        <is>
          <t>DE</t>
        </is>
      </c>
      <c r="B890" s="77" t="n">
        <v>2010</v>
      </c>
      <c r="C890" s="77" t="inlineStr">
        <is>
          <t>medium</t>
        </is>
      </c>
      <c r="D890" s="77" t="inlineStr">
        <is>
          <t>E1</t>
        </is>
      </c>
      <c r="E890" s="77" t="inlineStr">
        <is>
          <t>Konzessionsabgabe (0 via Grenzpreis)</t>
        </is>
      </c>
      <c r="F890" s="77" t="inlineStr">
        <is>
          <t>5 General taxation &amp; levies</t>
        </is>
      </c>
      <c r="G890" s="77" t="inlineStr">
        <is>
          <t>concession fee</t>
        </is>
      </c>
      <c r="H890" s="77" t="inlineStr">
        <is>
          <t>i</t>
        </is>
      </c>
      <c r="I890" s="77">
        <f>IF(ISNUMBER(N890),N890*fx_deflator!$J$5*fx_deflator!$M$5,"")</f>
        <v/>
      </c>
      <c r="J890" s="77" t="inlineStr">
        <is>
          <t>KAV sec.2(3)/(4) Grenzpreis rule -&gt; 0 for Sondervertragskunden</t>
        </is>
      </c>
      <c r="K890" s="77" t="inlineStr">
        <is>
          <t>stage4_de r36</t>
        </is>
      </c>
      <c r="L890" s="77" t="inlineStr">
        <is>
          <t>2026-07-15</t>
        </is>
      </c>
      <c r="M890" s="77" t="inlineStr">
        <is>
          <t>N</t>
        </is>
      </c>
      <c r="N890" s="77">
        <f>IF(ISNUMBER(stage4_de!D36),stage4_de!D36*10,"")</f>
        <v/>
      </c>
      <c r="O890" s="77" t="inlineStr">
        <is>
          <t>EUR/MWh nominal</t>
        </is>
      </c>
    </row>
    <row r="891" ht="15" customHeight="1" s="78">
      <c r="A891" s="77" t="inlineStr">
        <is>
          <t>DE</t>
        </is>
      </c>
      <c r="B891" s="77" t="n">
        <v>2011</v>
      </c>
      <c r="C891" s="77" t="inlineStr">
        <is>
          <t>medium</t>
        </is>
      </c>
      <c r="D891" s="77" t="inlineStr">
        <is>
          <t>E1</t>
        </is>
      </c>
      <c r="E891" s="77" t="inlineStr">
        <is>
          <t>Wholesale (as large)</t>
        </is>
      </c>
      <c r="F891" s="77" t="inlineStr">
        <is>
          <t>1 Commodity</t>
        </is>
      </c>
      <c r="G891" s="77" t="inlineStr">
        <is>
          <t>wholesale market</t>
        </is>
      </c>
      <c r="H891" s="77" t="inlineStr">
        <is>
          <t>i</t>
        </is>
      </c>
      <c r="I891" s="77">
        <f>IF(ISNUMBER(N891),N891*fx_deflator!$J$6*fx_deflator!$M$6,"")</f>
        <v/>
      </c>
      <c r="J891" s="77" t="inlineStr">
        <is>
          <t>BNetzA Monitoringberichte — Phelix base front-year by trading yr -&gt; delivery yr; 2026 = D29</t>
        </is>
      </c>
      <c r="K891" s="77" t="inlineStr">
        <is>
          <t>stage4_de r7</t>
        </is>
      </c>
      <c r="L891" s="77" t="inlineStr">
        <is>
          <t>2026-07-15</t>
        </is>
      </c>
      <c r="M891" s="77" t="inlineStr">
        <is>
          <t>Y</t>
        </is>
      </c>
      <c r="N891" s="136">
        <f>IF(ISNUMBER(timeseries!E57),timeseries!E57,"")</f>
        <v/>
      </c>
      <c r="O891" s="77" t="inlineStr">
        <is>
          <t>EUR/MWh nominal</t>
        </is>
      </c>
    </row>
    <row r="892" ht="15" customHeight="1" s="78">
      <c r="A892" s="77" t="inlineStr">
        <is>
          <t>DE</t>
        </is>
      </c>
      <c r="B892" s="77" t="n">
        <v>2011</v>
      </c>
      <c r="C892" s="77" t="inlineStr">
        <is>
          <t>medium</t>
        </is>
      </c>
      <c r="D892" s="77" t="inlineStr">
        <is>
          <t>E1</t>
        </is>
      </c>
      <c r="E892" s="77" t="inlineStr">
        <is>
          <t>Netzentgelte MS (Westnetz; MB bridge 2010-12)</t>
        </is>
      </c>
      <c r="F892" s="77" t="inlineStr">
        <is>
          <t>3 Network</t>
        </is>
      </c>
      <c r="G892" s="77" t="inlineStr">
        <is>
          <t>distribution network charge</t>
        </is>
      </c>
      <c r="H892" s="77" t="inlineStr">
        <is>
          <t>i</t>
        </is>
      </c>
      <c r="I892" s="77">
        <f>IF(ISNUMBER(N892),N892*fx_deflator!$J$6*fx_deflator!$M$6,"")</f>
        <v/>
      </c>
      <c r="J892" s="77" t="inlineStr">
        <is>
          <t>Westnetz Preisblaetter (2013+, Wayback); BNetzA MB national avg bridge 2010-12 (D20)</t>
        </is>
      </c>
      <c r="K892" s="77" t="inlineStr">
        <is>
          <t>stage4_de r15-17</t>
        </is>
      </c>
      <c r="L892" s="77" t="inlineStr">
        <is>
          <t>2026-07-15</t>
        </is>
      </c>
      <c r="M892" s="77" t="inlineStr">
        <is>
          <t>Y</t>
        </is>
      </c>
      <c r="N892" s="136">
        <f>IF(ISNUMBER(timeseries!E58),timeseries!E58,"")</f>
        <v/>
      </c>
      <c r="O892" s="77" t="inlineStr">
        <is>
          <t>EUR/MWh nominal</t>
        </is>
      </c>
      <c r="P892" s="77" t="inlineStr">
        <is>
          <t>no sec.19 relief at 5,000h (fails Satz 2) — E1=E2</t>
        </is>
      </c>
    </row>
    <row r="893" ht="15" customHeight="1" s="78">
      <c r="A893" s="77" t="inlineStr">
        <is>
          <t>DE</t>
        </is>
      </c>
      <c r="B893" s="77" t="n">
        <v>2011</v>
      </c>
      <c r="C893" s="77" t="inlineStr">
        <is>
          <t>medium</t>
        </is>
      </c>
      <c r="D893" s="77" t="inlineStr">
        <is>
          <t>E1</t>
        </is>
      </c>
      <c r="E893" s="77" t="inlineStr">
        <is>
          <t>EEG-Umlage (full)</t>
        </is>
      </c>
      <c r="F893" s="77" t="inlineStr">
        <is>
          <t>2 Gen capital recovery</t>
        </is>
      </c>
      <c r="G893" s="77" t="inlineStr">
        <is>
          <t>renewables levy (Umlage)</t>
        </is>
      </c>
      <c r="H893" s="77" t="inlineStr">
        <is>
          <t>i (0 from 07/2022 — taxpayer, see HATCH iii)</t>
        </is>
      </c>
      <c r="I893" s="77">
        <f>IF(ISNUMBER(N893),N893*fx_deflator!$J$6*fx_deflator!$M$6,"")</f>
        <v/>
      </c>
      <c r="J893" s="77" t="inlineStr">
        <is>
          <t>netztransparenz.de EEG-Umlagen der Vorjahre + per-year pages</t>
        </is>
      </c>
      <c r="K893" s="77" t="inlineStr">
        <is>
          <t>stage4_de r21</t>
        </is>
      </c>
      <c r="L893" s="77" t="inlineStr">
        <is>
          <t>2026-07-15</t>
        </is>
      </c>
      <c r="M893" s="77" t="inlineStr">
        <is>
          <t>N</t>
        </is>
      </c>
      <c r="N893" s="77">
        <f>IF(ISNUMBER(stage4_de!E21),stage4_de!E21*10,"")</f>
        <v/>
      </c>
      <c r="O893" s="77" t="inlineStr">
        <is>
          <t>EUR/MWh nominal</t>
        </is>
      </c>
    </row>
    <row r="894" ht="15" customHeight="1" s="78">
      <c r="A894" s="77" t="inlineStr">
        <is>
          <t>DE</t>
        </is>
      </c>
      <c r="B894" s="77" t="n">
        <v>2011</v>
      </c>
      <c r="C894" s="77" t="inlineStr">
        <is>
          <t>medium</t>
        </is>
      </c>
      <c r="D894" s="77" t="inlineStr">
        <is>
          <t>E1</t>
        </is>
      </c>
      <c r="E894" s="77" t="inlineStr">
        <is>
          <t>KWKG-Umlage (tranche blend at 20 GWh)</t>
        </is>
      </c>
      <c r="F894" s="77" t="inlineStr">
        <is>
          <t>2 Gen capital recovery</t>
        </is>
      </c>
      <c r="G894" s="77" t="inlineStr">
        <is>
          <t>CHP levy (Umlage)</t>
        </is>
      </c>
      <c r="H894" s="77" t="inlineStr">
        <is>
          <t>i</t>
        </is>
      </c>
      <c r="I894" s="77">
        <f>IF(ISNUMBER(N894),N894*fx_deflator!$J$6*fx_deflator!$M$6,"")</f>
        <v/>
      </c>
      <c r="J894" s="77" t="inlineStr">
        <is>
          <t>netztransparenz Uebersicht KWKG-Aufschlaege 2002-2016 + per-year pages; tranche blends</t>
        </is>
      </c>
      <c r="K894" s="77" t="inlineStr">
        <is>
          <t>stage4_de r22-24</t>
        </is>
      </c>
      <c r="L894" s="77" t="inlineStr">
        <is>
          <t>2026-07-15</t>
        </is>
      </c>
      <c r="M894" s="77" t="inlineStr">
        <is>
          <t>Y</t>
        </is>
      </c>
      <c r="N894" s="77">
        <f>(0.1*stage4_de!E22+19.9*stage4_de!E23)/20*10</f>
        <v/>
      </c>
      <c r="O894" s="77" t="inlineStr">
        <is>
          <t>EUR/MWh nominal</t>
        </is>
      </c>
    </row>
    <row r="895" ht="15" customHeight="1" s="78">
      <c r="A895" s="77" t="inlineStr">
        <is>
          <t>DE</t>
        </is>
      </c>
      <c r="B895" s="77" t="n">
        <v>2011</v>
      </c>
      <c r="C895" s="77" t="inlineStr">
        <is>
          <t>medium</t>
        </is>
      </c>
      <c r="D895" s="77" t="inlineStr">
        <is>
          <t>E1</t>
        </is>
      </c>
      <c r="E895" s="77" t="inlineStr">
        <is>
          <t>Stromsteuer (full sec.3)</t>
        </is>
      </c>
      <c r="F895" s="77" t="inlineStr">
        <is>
          <t>5 General taxation &amp; levies</t>
        </is>
      </c>
      <c r="G895" s="77" t="inlineStr">
        <is>
          <t>electricity tax</t>
        </is>
      </c>
      <c r="H895" s="77" t="inlineStr">
        <is>
          <t>i</t>
        </is>
      </c>
      <c r="I895" s="77">
        <f>IF(ISNUMBER(N895),N895*fx_deflator!$J$6*fx_deflator!$M$6,"")</f>
        <v/>
      </c>
      <c r="J895" s="77" t="inlineStr">
        <is>
          <t>StromStG sec.3/sec.9b (BGBl. 2025 I Nr. 340: 0.50 permanent from 2026); gesetze-im-internet.de</t>
        </is>
      </c>
      <c r="K895" s="77" t="inlineStr">
        <is>
          <t>stage4_de r34-35</t>
        </is>
      </c>
      <c r="L895" s="77" t="inlineStr">
        <is>
          <t>2026-07-15</t>
        </is>
      </c>
      <c r="M895" s="77" t="inlineStr">
        <is>
          <t>N</t>
        </is>
      </c>
      <c r="N895" s="77">
        <f>IF(ISNUMBER(stage4_de!E34),stage4_de!E34,"")</f>
        <v/>
      </c>
      <c r="O895" s="77" t="inlineStr">
        <is>
          <t>EUR/MWh nominal</t>
        </is>
      </c>
    </row>
    <row r="896" ht="15" customHeight="1" s="78">
      <c r="A896" s="77" t="inlineStr">
        <is>
          <t>DE</t>
        </is>
      </c>
      <c r="B896" s="77" t="n">
        <v>2011</v>
      </c>
      <c r="C896" s="77" t="inlineStr">
        <is>
          <t>medium</t>
        </is>
      </c>
      <c r="D896" s="77" t="inlineStr">
        <is>
          <t>E1</t>
        </is>
      </c>
      <c r="E896" s="77" t="inlineStr">
        <is>
          <t>Konzessionsabgabe (0 via Grenzpreis)</t>
        </is>
      </c>
      <c r="F896" s="77" t="inlineStr">
        <is>
          <t>5 General taxation &amp; levies</t>
        </is>
      </c>
      <c r="G896" s="77" t="inlineStr">
        <is>
          <t>concession fee</t>
        </is>
      </c>
      <c r="H896" s="77" t="inlineStr">
        <is>
          <t>i</t>
        </is>
      </c>
      <c r="I896" s="77">
        <f>IF(ISNUMBER(N896),N896*fx_deflator!$J$6*fx_deflator!$M$6,"")</f>
        <v/>
      </c>
      <c r="J896" s="77" t="inlineStr">
        <is>
          <t>KAV sec.2(3)/(4) Grenzpreis rule -&gt; 0 for Sondervertragskunden</t>
        </is>
      </c>
      <c r="K896" s="77" t="inlineStr">
        <is>
          <t>stage4_de r36</t>
        </is>
      </c>
      <c r="L896" s="77" t="inlineStr">
        <is>
          <t>2026-07-15</t>
        </is>
      </c>
      <c r="M896" s="77" t="inlineStr">
        <is>
          <t>N</t>
        </is>
      </c>
      <c r="N896" s="77">
        <f>IF(ISNUMBER(stage4_de!E36),stage4_de!E36*10,"")</f>
        <v/>
      </c>
      <c r="O896" s="77" t="inlineStr">
        <is>
          <t>EUR/MWh nominal</t>
        </is>
      </c>
    </row>
    <row r="897" ht="15" customHeight="1" s="78">
      <c r="A897" s="77" t="inlineStr">
        <is>
          <t>DE</t>
        </is>
      </c>
      <c r="B897" s="77" t="n">
        <v>2012</v>
      </c>
      <c r="C897" s="77" t="inlineStr">
        <is>
          <t>medium</t>
        </is>
      </c>
      <c r="D897" s="77" t="inlineStr">
        <is>
          <t>E1</t>
        </is>
      </c>
      <c r="E897" s="77" t="inlineStr">
        <is>
          <t>Wholesale (as large)</t>
        </is>
      </c>
      <c r="F897" s="77" t="inlineStr">
        <is>
          <t>1 Commodity</t>
        </is>
      </c>
      <c r="G897" s="77" t="inlineStr">
        <is>
          <t>wholesale market</t>
        </is>
      </c>
      <c r="H897" s="77" t="inlineStr">
        <is>
          <t>i</t>
        </is>
      </c>
      <c r="I897" s="77">
        <f>IF(ISNUMBER(N897),N897*fx_deflator!$J$7*fx_deflator!$M$7,"")</f>
        <v/>
      </c>
      <c r="J897" s="77" t="inlineStr">
        <is>
          <t>BNetzA Monitoringberichte — Phelix base front-year by trading yr -&gt; delivery yr; 2026 = D29</t>
        </is>
      </c>
      <c r="K897" s="77" t="inlineStr">
        <is>
          <t>stage4_de r7</t>
        </is>
      </c>
      <c r="L897" s="77" t="inlineStr">
        <is>
          <t>2026-07-15</t>
        </is>
      </c>
      <c r="M897" s="77" t="inlineStr">
        <is>
          <t>Y</t>
        </is>
      </c>
      <c r="N897" s="136">
        <f>IF(ISNUMBER(timeseries!F57),timeseries!F57,"")</f>
        <v/>
      </c>
      <c r="O897" s="77" t="inlineStr">
        <is>
          <t>EUR/MWh nominal</t>
        </is>
      </c>
    </row>
    <row r="898" ht="15" customHeight="1" s="78">
      <c r="A898" s="77" t="inlineStr">
        <is>
          <t>DE</t>
        </is>
      </c>
      <c r="B898" s="77" t="n">
        <v>2012</v>
      </c>
      <c r="C898" s="77" t="inlineStr">
        <is>
          <t>medium</t>
        </is>
      </c>
      <c r="D898" s="77" t="inlineStr">
        <is>
          <t>E1</t>
        </is>
      </c>
      <c r="E898" s="77" t="inlineStr">
        <is>
          <t>Netzentgelte MS (Westnetz; MB bridge 2010-12)</t>
        </is>
      </c>
      <c r="F898" s="77" t="inlineStr">
        <is>
          <t>3 Network</t>
        </is>
      </c>
      <c r="G898" s="77" t="inlineStr">
        <is>
          <t>distribution network charge</t>
        </is>
      </c>
      <c r="H898" s="77" t="inlineStr">
        <is>
          <t>i</t>
        </is>
      </c>
      <c r="I898" s="77">
        <f>IF(ISNUMBER(N898),N898*fx_deflator!$J$7*fx_deflator!$M$7,"")</f>
        <v/>
      </c>
      <c r="J898" s="77" t="inlineStr">
        <is>
          <t>Westnetz Preisblaetter (2013+, Wayback); BNetzA MB national avg bridge 2010-12 (D20)</t>
        </is>
      </c>
      <c r="K898" s="77" t="inlineStr">
        <is>
          <t>stage4_de r15-17</t>
        </is>
      </c>
      <c r="L898" s="77" t="inlineStr">
        <is>
          <t>2026-07-15</t>
        </is>
      </c>
      <c r="M898" s="77" t="inlineStr">
        <is>
          <t>Y</t>
        </is>
      </c>
      <c r="N898" s="136">
        <f>IF(ISNUMBER(timeseries!F58),timeseries!F58,"")</f>
        <v/>
      </c>
      <c r="O898" s="77" t="inlineStr">
        <is>
          <t>EUR/MWh nominal</t>
        </is>
      </c>
      <c r="P898" s="77" t="inlineStr">
        <is>
          <t>no sec.19 relief at 5,000h (fails Satz 2) — E1=E2</t>
        </is>
      </c>
    </row>
    <row r="899" ht="15" customHeight="1" s="78">
      <c r="A899" s="77" t="inlineStr">
        <is>
          <t>DE</t>
        </is>
      </c>
      <c r="B899" s="77" t="n">
        <v>2012</v>
      </c>
      <c r="C899" s="77" t="inlineStr">
        <is>
          <t>medium</t>
        </is>
      </c>
      <c r="D899" s="77" t="inlineStr">
        <is>
          <t>E1</t>
        </is>
      </c>
      <c r="E899" s="77" t="inlineStr">
        <is>
          <t>EEG-Umlage (full)</t>
        </is>
      </c>
      <c r="F899" s="77" t="inlineStr">
        <is>
          <t>2 Gen capital recovery</t>
        </is>
      </c>
      <c r="G899" s="77" t="inlineStr">
        <is>
          <t>renewables levy (Umlage)</t>
        </is>
      </c>
      <c r="H899" s="77" t="inlineStr">
        <is>
          <t>i (0 from 07/2022 — taxpayer, see HATCH iii)</t>
        </is>
      </c>
      <c r="I899" s="77">
        <f>IF(ISNUMBER(N899),N899*fx_deflator!$J$7*fx_deflator!$M$7,"")</f>
        <v/>
      </c>
      <c r="J899" s="77" t="inlineStr">
        <is>
          <t>netztransparenz.de EEG-Umlagen der Vorjahre + per-year pages</t>
        </is>
      </c>
      <c r="K899" s="77" t="inlineStr">
        <is>
          <t>stage4_de r21</t>
        </is>
      </c>
      <c r="L899" s="77" t="inlineStr">
        <is>
          <t>2026-07-15</t>
        </is>
      </c>
      <c r="M899" s="77" t="inlineStr">
        <is>
          <t>N</t>
        </is>
      </c>
      <c r="N899" s="77">
        <f>IF(ISNUMBER(stage4_de!F21),stage4_de!F21*10,"")</f>
        <v/>
      </c>
      <c r="O899" s="77" t="inlineStr">
        <is>
          <t>EUR/MWh nominal</t>
        </is>
      </c>
    </row>
    <row r="900" ht="15" customHeight="1" s="78">
      <c r="A900" s="77" t="inlineStr">
        <is>
          <t>DE</t>
        </is>
      </c>
      <c r="B900" s="77" t="n">
        <v>2012</v>
      </c>
      <c r="C900" s="77" t="inlineStr">
        <is>
          <t>medium</t>
        </is>
      </c>
      <c r="D900" s="77" t="inlineStr">
        <is>
          <t>E1</t>
        </is>
      </c>
      <c r="E900" s="77" t="inlineStr">
        <is>
          <t>KWKG-Umlage (tranche blend at 20 GWh)</t>
        </is>
      </c>
      <c r="F900" s="77" t="inlineStr">
        <is>
          <t>2 Gen capital recovery</t>
        </is>
      </c>
      <c r="G900" s="77" t="inlineStr">
        <is>
          <t>CHP levy (Umlage)</t>
        </is>
      </c>
      <c r="H900" s="77" t="inlineStr">
        <is>
          <t>i</t>
        </is>
      </c>
      <c r="I900" s="77">
        <f>IF(ISNUMBER(N900),N900*fx_deflator!$J$7*fx_deflator!$M$7,"")</f>
        <v/>
      </c>
      <c r="J900" s="77" t="inlineStr">
        <is>
          <t>netztransparenz Uebersicht KWKG-Aufschlaege 2002-2016 + per-year pages; tranche blends</t>
        </is>
      </c>
      <c r="K900" s="77" t="inlineStr">
        <is>
          <t>stage4_de r22-24</t>
        </is>
      </c>
      <c r="L900" s="77" t="inlineStr">
        <is>
          <t>2026-07-15</t>
        </is>
      </c>
      <c r="M900" s="77" t="inlineStr">
        <is>
          <t>Y</t>
        </is>
      </c>
      <c r="N900" s="77">
        <f>(0.1*stage4_de!F22+19.9*stage4_de!F23)/20*10</f>
        <v/>
      </c>
      <c r="O900" s="77" t="inlineStr">
        <is>
          <t>EUR/MWh nominal</t>
        </is>
      </c>
    </row>
    <row r="901" ht="15" customHeight="1" s="78">
      <c r="A901" s="77" t="inlineStr">
        <is>
          <t>DE</t>
        </is>
      </c>
      <c r="B901" s="77" t="n">
        <v>2012</v>
      </c>
      <c r="C901" s="77" t="inlineStr">
        <is>
          <t>medium</t>
        </is>
      </c>
      <c r="D901" s="77" t="inlineStr">
        <is>
          <t>E1</t>
        </is>
      </c>
      <c r="E901" s="77" t="inlineStr">
        <is>
          <t>sec.19 StromNEV-Umlage (blend at 20 GWh)</t>
        </is>
      </c>
      <c r="F901" s="77" t="inlineStr">
        <is>
          <t>4 System services &amp; balancing</t>
        </is>
      </c>
      <c r="G901" s="77" t="inlineStr">
        <is>
          <t>network levy (Umlage)</t>
        </is>
      </c>
      <c r="H901" s="77" t="inlineStr">
        <is>
          <t>ii (pays for other users relief)</t>
        </is>
      </c>
      <c r="I901" s="77">
        <f>IF(ISNUMBER(N901),N901*fx_deflator!$J$7*fx_deflator!$M$7,"")</f>
        <v/>
      </c>
      <c r="J901" s="77" t="inlineStr">
        <is>
          <t>netztransparenz per-year Umlagen pages (A-prime/B-prime/C-prime)</t>
        </is>
      </c>
      <c r="K901" s="77" t="inlineStr">
        <is>
          <t>stage4_de r25-27</t>
        </is>
      </c>
      <c r="L901" s="77" t="inlineStr">
        <is>
          <t>2026-07-15</t>
        </is>
      </c>
      <c r="M901" s="77" t="inlineStr">
        <is>
          <t>Y</t>
        </is>
      </c>
      <c r="N901" s="77">
        <f>(1*stage4_de!F25+19*stage4_de!F26)/20*10</f>
        <v/>
      </c>
      <c r="O901" s="77" t="inlineStr">
        <is>
          <t>EUR/MWh nominal</t>
        </is>
      </c>
    </row>
    <row r="902" ht="15" customHeight="1" s="78">
      <c r="A902" s="77" t="inlineStr">
        <is>
          <t>DE</t>
        </is>
      </c>
      <c r="B902" s="77" t="n">
        <v>2012</v>
      </c>
      <c r="C902" s="77" t="inlineStr">
        <is>
          <t>medium</t>
        </is>
      </c>
      <c r="D902" s="77" t="inlineStr">
        <is>
          <t>E1</t>
        </is>
      </c>
      <c r="E902" s="77" t="inlineStr">
        <is>
          <t>Stromsteuer (full sec.3)</t>
        </is>
      </c>
      <c r="F902" s="77" t="inlineStr">
        <is>
          <t>5 General taxation &amp; levies</t>
        </is>
      </c>
      <c r="G902" s="77" t="inlineStr">
        <is>
          <t>electricity tax</t>
        </is>
      </c>
      <c r="H902" s="77" t="inlineStr">
        <is>
          <t>i</t>
        </is>
      </c>
      <c r="I902" s="77">
        <f>IF(ISNUMBER(N902),N902*fx_deflator!$J$7*fx_deflator!$M$7,"")</f>
        <v/>
      </c>
      <c r="J902" s="77" t="inlineStr">
        <is>
          <t>StromStG sec.3/sec.9b (BGBl. 2025 I Nr. 340: 0.50 permanent from 2026); gesetze-im-internet.de</t>
        </is>
      </c>
      <c r="K902" s="77" t="inlineStr">
        <is>
          <t>stage4_de r34-35</t>
        </is>
      </c>
      <c r="L902" s="77" t="inlineStr">
        <is>
          <t>2026-07-15</t>
        </is>
      </c>
      <c r="M902" s="77" t="inlineStr">
        <is>
          <t>N</t>
        </is>
      </c>
      <c r="N902" s="77">
        <f>IF(ISNUMBER(stage4_de!F34),stage4_de!F34,"")</f>
        <v/>
      </c>
      <c r="O902" s="77" t="inlineStr">
        <is>
          <t>EUR/MWh nominal</t>
        </is>
      </c>
    </row>
    <row r="903" ht="15" customHeight="1" s="78">
      <c r="A903" s="77" t="inlineStr">
        <is>
          <t>DE</t>
        </is>
      </c>
      <c r="B903" s="77" t="n">
        <v>2012</v>
      </c>
      <c r="C903" s="77" t="inlineStr">
        <is>
          <t>medium</t>
        </is>
      </c>
      <c r="D903" s="77" t="inlineStr">
        <is>
          <t>E1</t>
        </is>
      </c>
      <c r="E903" s="77" t="inlineStr">
        <is>
          <t>Konzessionsabgabe (0 via Grenzpreis)</t>
        </is>
      </c>
      <c r="F903" s="77" t="inlineStr">
        <is>
          <t>5 General taxation &amp; levies</t>
        </is>
      </c>
      <c r="G903" s="77" t="inlineStr">
        <is>
          <t>concession fee</t>
        </is>
      </c>
      <c r="H903" s="77" t="inlineStr">
        <is>
          <t>i</t>
        </is>
      </c>
      <c r="I903" s="77">
        <f>IF(ISNUMBER(N903),N903*fx_deflator!$J$7*fx_deflator!$M$7,"")</f>
        <v/>
      </c>
      <c r="J903" s="77" t="inlineStr">
        <is>
          <t>KAV sec.2(3)/(4) Grenzpreis rule -&gt; 0 for Sondervertragskunden</t>
        </is>
      </c>
      <c r="K903" s="77" t="inlineStr">
        <is>
          <t>stage4_de r36</t>
        </is>
      </c>
      <c r="L903" s="77" t="inlineStr">
        <is>
          <t>2026-07-15</t>
        </is>
      </c>
      <c r="M903" s="77" t="inlineStr">
        <is>
          <t>N</t>
        </is>
      </c>
      <c r="N903" s="77">
        <f>IF(ISNUMBER(stage4_de!F36),stage4_de!F36*10,"")</f>
        <v/>
      </c>
      <c r="O903" s="77" t="inlineStr">
        <is>
          <t>EUR/MWh nominal</t>
        </is>
      </c>
    </row>
    <row r="904" ht="15" customHeight="1" s="78">
      <c r="A904" s="77" t="inlineStr">
        <is>
          <t>DE</t>
        </is>
      </c>
      <c r="B904" s="77" t="n">
        <v>2013</v>
      </c>
      <c r="C904" s="77" t="inlineStr">
        <is>
          <t>medium</t>
        </is>
      </c>
      <c r="D904" s="77" t="inlineStr">
        <is>
          <t>E1</t>
        </is>
      </c>
      <c r="E904" s="77" t="inlineStr">
        <is>
          <t>Wholesale (as large)</t>
        </is>
      </c>
      <c r="F904" s="77" t="inlineStr">
        <is>
          <t>1 Commodity</t>
        </is>
      </c>
      <c r="G904" s="77" t="inlineStr">
        <is>
          <t>wholesale market</t>
        </is>
      </c>
      <c r="H904" s="77" t="inlineStr">
        <is>
          <t>i</t>
        </is>
      </c>
      <c r="I904" s="77">
        <f>IF(ISNUMBER(N904),N904*fx_deflator!$J$8*fx_deflator!$M$8,"")</f>
        <v/>
      </c>
      <c r="J904" s="77" t="inlineStr">
        <is>
          <t>BNetzA Monitoringberichte — Phelix base front-year by trading yr -&gt; delivery yr; 2026 = D29</t>
        </is>
      </c>
      <c r="K904" s="77" t="inlineStr">
        <is>
          <t>stage4_de r7</t>
        </is>
      </c>
      <c r="L904" s="77" t="inlineStr">
        <is>
          <t>2026-07-15</t>
        </is>
      </c>
      <c r="M904" s="77" t="inlineStr">
        <is>
          <t>Y</t>
        </is>
      </c>
      <c r="N904" s="136">
        <f>IF(ISNUMBER(timeseries!G57),timeseries!G57,"")</f>
        <v/>
      </c>
      <c r="O904" s="77" t="inlineStr">
        <is>
          <t>EUR/MWh nominal</t>
        </is>
      </c>
    </row>
    <row r="905" ht="15" customHeight="1" s="78">
      <c r="A905" s="77" t="inlineStr">
        <is>
          <t>DE</t>
        </is>
      </c>
      <c r="B905" s="77" t="n">
        <v>2013</v>
      </c>
      <c r="C905" s="77" t="inlineStr">
        <is>
          <t>medium</t>
        </is>
      </c>
      <c r="D905" s="77" t="inlineStr">
        <is>
          <t>E1</t>
        </is>
      </c>
      <c r="E905" s="77" t="inlineStr">
        <is>
          <t>Netzentgelte MS (Westnetz; MB bridge 2010-12)</t>
        </is>
      </c>
      <c r="F905" s="77" t="inlineStr">
        <is>
          <t>3 Network</t>
        </is>
      </c>
      <c r="G905" s="77" t="inlineStr">
        <is>
          <t>distribution network charge</t>
        </is>
      </c>
      <c r="H905" s="77" t="inlineStr">
        <is>
          <t>i</t>
        </is>
      </c>
      <c r="I905" s="77">
        <f>IF(ISNUMBER(N905),N905*fx_deflator!$J$8*fx_deflator!$M$8,"")</f>
        <v/>
      </c>
      <c r="J905" s="77" t="inlineStr">
        <is>
          <t>Westnetz Preisblaetter (2013+, Wayback); BNetzA MB national avg bridge 2010-12 (D20)</t>
        </is>
      </c>
      <c r="K905" s="77" t="inlineStr">
        <is>
          <t>stage4_de r15-17</t>
        </is>
      </c>
      <c r="L905" s="77" t="inlineStr">
        <is>
          <t>2026-07-15</t>
        </is>
      </c>
      <c r="M905" s="77" t="inlineStr">
        <is>
          <t>Y</t>
        </is>
      </c>
      <c r="N905" s="136">
        <f>IF(ISNUMBER(timeseries!G58),timeseries!G58,"")</f>
        <v/>
      </c>
      <c r="O905" s="77" t="inlineStr">
        <is>
          <t>EUR/MWh nominal</t>
        </is>
      </c>
      <c r="P905" s="77" t="inlineStr">
        <is>
          <t>no sec.19 relief at 5,000h (fails Satz 2) — E1=E2</t>
        </is>
      </c>
    </row>
    <row r="906" ht="15" customHeight="1" s="78">
      <c r="A906" s="77" t="inlineStr">
        <is>
          <t>DE</t>
        </is>
      </c>
      <c r="B906" s="77" t="n">
        <v>2013</v>
      </c>
      <c r="C906" s="77" t="inlineStr">
        <is>
          <t>medium</t>
        </is>
      </c>
      <c r="D906" s="77" t="inlineStr">
        <is>
          <t>E1</t>
        </is>
      </c>
      <c r="E906" s="77" t="inlineStr">
        <is>
          <t>EEG-Umlage (full)</t>
        </is>
      </c>
      <c r="F906" s="77" t="inlineStr">
        <is>
          <t>2 Gen capital recovery</t>
        </is>
      </c>
      <c r="G906" s="77" t="inlineStr">
        <is>
          <t>renewables levy (Umlage)</t>
        </is>
      </c>
      <c r="H906" s="77" t="inlineStr">
        <is>
          <t>i (0 from 07/2022 — taxpayer, see HATCH iii)</t>
        </is>
      </c>
      <c r="I906" s="77">
        <f>IF(ISNUMBER(N906),N906*fx_deflator!$J$8*fx_deflator!$M$8,"")</f>
        <v/>
      </c>
      <c r="J906" s="77" t="inlineStr">
        <is>
          <t>netztransparenz.de EEG-Umlagen der Vorjahre + per-year pages</t>
        </is>
      </c>
      <c r="K906" s="77" t="inlineStr">
        <is>
          <t>stage4_de r21</t>
        </is>
      </c>
      <c r="L906" s="77" t="inlineStr">
        <is>
          <t>2026-07-15</t>
        </is>
      </c>
      <c r="M906" s="77" t="inlineStr">
        <is>
          <t>N</t>
        </is>
      </c>
      <c r="N906" s="77">
        <f>IF(ISNUMBER(stage4_de!G21),stage4_de!G21*10,"")</f>
        <v/>
      </c>
      <c r="O906" s="77" t="inlineStr">
        <is>
          <t>EUR/MWh nominal</t>
        </is>
      </c>
    </row>
    <row r="907" ht="15" customHeight="1" s="78">
      <c r="A907" s="77" t="inlineStr">
        <is>
          <t>DE</t>
        </is>
      </c>
      <c r="B907" s="77" t="n">
        <v>2013</v>
      </c>
      <c r="C907" s="77" t="inlineStr">
        <is>
          <t>medium</t>
        </is>
      </c>
      <c r="D907" s="77" t="inlineStr">
        <is>
          <t>E1</t>
        </is>
      </c>
      <c r="E907" s="77" t="inlineStr">
        <is>
          <t>KWKG-Umlage (tranche blend at 20 GWh)</t>
        </is>
      </c>
      <c r="F907" s="77" t="inlineStr">
        <is>
          <t>2 Gen capital recovery</t>
        </is>
      </c>
      <c r="G907" s="77" t="inlineStr">
        <is>
          <t>CHP levy (Umlage)</t>
        </is>
      </c>
      <c r="H907" s="77" t="inlineStr">
        <is>
          <t>i</t>
        </is>
      </c>
      <c r="I907" s="77">
        <f>IF(ISNUMBER(N907),N907*fx_deflator!$J$8*fx_deflator!$M$8,"")</f>
        <v/>
      </c>
      <c r="J907" s="77" t="inlineStr">
        <is>
          <t>netztransparenz Uebersicht KWKG-Aufschlaege 2002-2016 + per-year pages; tranche blends</t>
        </is>
      </c>
      <c r="K907" s="77" t="inlineStr">
        <is>
          <t>stage4_de r22-24</t>
        </is>
      </c>
      <c r="L907" s="77" t="inlineStr">
        <is>
          <t>2026-07-15</t>
        </is>
      </c>
      <c r="M907" s="77" t="inlineStr">
        <is>
          <t>Y</t>
        </is>
      </c>
      <c r="N907" s="77">
        <f>(0.1*stage4_de!G22+19.9*stage4_de!G23)/20*10</f>
        <v/>
      </c>
      <c r="O907" s="77" t="inlineStr">
        <is>
          <t>EUR/MWh nominal</t>
        </is>
      </c>
    </row>
    <row r="908" ht="15" customHeight="1" s="78">
      <c r="A908" s="77" t="inlineStr">
        <is>
          <t>DE</t>
        </is>
      </c>
      <c r="B908" s="77" t="n">
        <v>2013</v>
      </c>
      <c r="C908" s="77" t="inlineStr">
        <is>
          <t>medium</t>
        </is>
      </c>
      <c r="D908" s="77" t="inlineStr">
        <is>
          <t>E1</t>
        </is>
      </c>
      <c r="E908" s="77" t="inlineStr">
        <is>
          <t>sec.19 StromNEV-Umlage (blend at 20 GWh)</t>
        </is>
      </c>
      <c r="F908" s="77" t="inlineStr">
        <is>
          <t>4 System services &amp; balancing</t>
        </is>
      </c>
      <c r="G908" s="77" t="inlineStr">
        <is>
          <t>network levy (Umlage)</t>
        </is>
      </c>
      <c r="H908" s="77" t="inlineStr">
        <is>
          <t>ii (pays for other users relief)</t>
        </is>
      </c>
      <c r="I908" s="77">
        <f>IF(ISNUMBER(N908),N908*fx_deflator!$J$8*fx_deflator!$M$8,"")</f>
        <v/>
      </c>
      <c r="J908" s="77" t="inlineStr">
        <is>
          <t>netztransparenz per-year Umlagen pages (A-prime/B-prime/C-prime)</t>
        </is>
      </c>
      <c r="K908" s="77" t="inlineStr">
        <is>
          <t>stage4_de r25-27</t>
        </is>
      </c>
      <c r="L908" s="77" t="inlineStr">
        <is>
          <t>2026-07-15</t>
        </is>
      </c>
      <c r="M908" s="77" t="inlineStr">
        <is>
          <t>Y</t>
        </is>
      </c>
      <c r="N908" s="77">
        <f>(1*stage4_de!G25+19*stage4_de!G26)/20*10</f>
        <v/>
      </c>
      <c r="O908" s="77" t="inlineStr">
        <is>
          <t>EUR/MWh nominal</t>
        </is>
      </c>
    </row>
    <row r="909" ht="15" customHeight="1" s="78">
      <c r="A909" s="77" t="inlineStr">
        <is>
          <t>DE</t>
        </is>
      </c>
      <c r="B909" s="77" t="n">
        <v>2013</v>
      </c>
      <c r="C909" s="77" t="inlineStr">
        <is>
          <t>medium</t>
        </is>
      </c>
      <c r="D909" s="77" t="inlineStr">
        <is>
          <t>E1</t>
        </is>
      </c>
      <c r="E909" s="77" t="inlineStr">
        <is>
          <t>Offshore-Netzumlage (blend at 20 GWh to 2018)</t>
        </is>
      </c>
      <c r="F909" s="77" t="inlineStr">
        <is>
          <t>2 Gen capital recovery</t>
        </is>
      </c>
      <c r="G909" s="77" t="inlineStr">
        <is>
          <t>offshore grid levy (Umlage)</t>
        </is>
      </c>
      <c r="H909" s="77" t="inlineStr">
        <is>
          <t>i</t>
        </is>
      </c>
      <c r="I909" s="77">
        <f>IF(ISNUMBER(N909),N909*fx_deflator!$J$8*fx_deflator!$M$8,"")</f>
        <v/>
      </c>
      <c r="J909" s="77" t="inlineStr">
        <is>
          <t>netztransparenz Offshore-Umlage per-year pages</t>
        </is>
      </c>
      <c r="K909" s="77" t="inlineStr">
        <is>
          <t>stage4_de r28-30</t>
        </is>
      </c>
      <c r="L909" s="77" t="inlineStr">
        <is>
          <t>2026-07-15</t>
        </is>
      </c>
      <c r="M909" s="77" t="inlineStr">
        <is>
          <t>Y</t>
        </is>
      </c>
      <c r="N909" s="77">
        <f>(1*stage4_de!G28+19*stage4_de!G29)/20*10</f>
        <v/>
      </c>
      <c r="O909" s="77" t="inlineStr">
        <is>
          <t>EUR/MWh nominal</t>
        </is>
      </c>
    </row>
    <row r="910" ht="15" customHeight="1" s="78">
      <c r="A910" s="77" t="inlineStr">
        <is>
          <t>DE</t>
        </is>
      </c>
      <c r="B910" s="77" t="n">
        <v>2013</v>
      </c>
      <c r="C910" s="77" t="inlineStr">
        <is>
          <t>medium</t>
        </is>
      </c>
      <c r="D910" s="77" t="inlineStr">
        <is>
          <t>E1</t>
        </is>
      </c>
      <c r="E910" s="77" t="inlineStr">
        <is>
          <t>Stromsteuer (full sec.3)</t>
        </is>
      </c>
      <c r="F910" s="77" t="inlineStr">
        <is>
          <t>5 General taxation &amp; levies</t>
        </is>
      </c>
      <c r="G910" s="77" t="inlineStr">
        <is>
          <t>electricity tax</t>
        </is>
      </c>
      <c r="H910" s="77" t="inlineStr">
        <is>
          <t>i</t>
        </is>
      </c>
      <c r="I910" s="77">
        <f>IF(ISNUMBER(N910),N910*fx_deflator!$J$8*fx_deflator!$M$8,"")</f>
        <v/>
      </c>
      <c r="J910" s="77" t="inlineStr">
        <is>
          <t>StromStG sec.3/sec.9b (BGBl. 2025 I Nr. 340: 0.50 permanent from 2026); gesetze-im-internet.de</t>
        </is>
      </c>
      <c r="K910" s="77" t="inlineStr">
        <is>
          <t>stage4_de r34-35</t>
        </is>
      </c>
      <c r="L910" s="77" t="inlineStr">
        <is>
          <t>2026-07-15</t>
        </is>
      </c>
      <c r="M910" s="77" t="inlineStr">
        <is>
          <t>N</t>
        </is>
      </c>
      <c r="N910" s="77">
        <f>IF(ISNUMBER(stage4_de!G34),stage4_de!G34,"")</f>
        <v/>
      </c>
      <c r="O910" s="77" t="inlineStr">
        <is>
          <t>EUR/MWh nominal</t>
        </is>
      </c>
    </row>
    <row r="911" ht="15" customHeight="1" s="78">
      <c r="A911" s="77" t="inlineStr">
        <is>
          <t>DE</t>
        </is>
      </c>
      <c r="B911" s="77" t="n">
        <v>2013</v>
      </c>
      <c r="C911" s="77" t="inlineStr">
        <is>
          <t>medium</t>
        </is>
      </c>
      <c r="D911" s="77" t="inlineStr">
        <is>
          <t>E1</t>
        </is>
      </c>
      <c r="E911" s="77" t="inlineStr">
        <is>
          <t>Konzessionsabgabe (0 via Grenzpreis)</t>
        </is>
      </c>
      <c r="F911" s="77" t="inlineStr">
        <is>
          <t>5 General taxation &amp; levies</t>
        </is>
      </c>
      <c r="G911" s="77" t="inlineStr">
        <is>
          <t>concession fee</t>
        </is>
      </c>
      <c r="H911" s="77" t="inlineStr">
        <is>
          <t>i</t>
        </is>
      </c>
      <c r="I911" s="77">
        <f>IF(ISNUMBER(N911),N911*fx_deflator!$J$8*fx_deflator!$M$8,"")</f>
        <v/>
      </c>
      <c r="J911" s="77" t="inlineStr">
        <is>
          <t>KAV sec.2(3)/(4) Grenzpreis rule -&gt; 0 for Sondervertragskunden</t>
        </is>
      </c>
      <c r="K911" s="77" t="inlineStr">
        <is>
          <t>stage4_de r36</t>
        </is>
      </c>
      <c r="L911" s="77" t="inlineStr">
        <is>
          <t>2026-07-15</t>
        </is>
      </c>
      <c r="M911" s="77" t="inlineStr">
        <is>
          <t>N</t>
        </is>
      </c>
      <c r="N911" s="77">
        <f>IF(ISNUMBER(stage4_de!G36),stage4_de!G36*10,"")</f>
        <v/>
      </c>
      <c r="O911" s="77" t="inlineStr">
        <is>
          <t>EUR/MWh nominal</t>
        </is>
      </c>
    </row>
    <row r="912" ht="15" customHeight="1" s="78">
      <c r="A912" s="77" t="inlineStr">
        <is>
          <t>DE</t>
        </is>
      </c>
      <c r="B912" s="77" t="n">
        <v>2014</v>
      </c>
      <c r="C912" s="77" t="inlineStr">
        <is>
          <t>medium</t>
        </is>
      </c>
      <c r="D912" s="77" t="inlineStr">
        <is>
          <t>E1</t>
        </is>
      </c>
      <c r="E912" s="77" t="inlineStr">
        <is>
          <t>Wholesale (as large)</t>
        </is>
      </c>
      <c r="F912" s="77" t="inlineStr">
        <is>
          <t>1 Commodity</t>
        </is>
      </c>
      <c r="G912" s="77" t="inlineStr">
        <is>
          <t>wholesale market</t>
        </is>
      </c>
      <c r="H912" s="77" t="inlineStr">
        <is>
          <t>i</t>
        </is>
      </c>
      <c r="I912" s="77">
        <f>IF(ISNUMBER(N912),N912*fx_deflator!$J$9*fx_deflator!$M$9,"")</f>
        <v/>
      </c>
      <c r="J912" s="77" t="inlineStr">
        <is>
          <t>BNetzA Monitoringberichte — Phelix base front-year by trading yr -&gt; delivery yr; 2026 = D29</t>
        </is>
      </c>
      <c r="K912" s="77" t="inlineStr">
        <is>
          <t>stage4_de r7</t>
        </is>
      </c>
      <c r="L912" s="77" t="inlineStr">
        <is>
          <t>2026-07-15</t>
        </is>
      </c>
      <c r="M912" s="77" t="inlineStr">
        <is>
          <t>Y</t>
        </is>
      </c>
      <c r="N912" s="136">
        <f>IF(ISNUMBER(timeseries!H57),timeseries!H57,"")</f>
        <v/>
      </c>
      <c r="O912" s="77" t="inlineStr">
        <is>
          <t>EUR/MWh nominal</t>
        </is>
      </c>
    </row>
    <row r="913" ht="15" customHeight="1" s="78">
      <c r="A913" s="77" t="inlineStr">
        <is>
          <t>DE</t>
        </is>
      </c>
      <c r="B913" s="77" t="n">
        <v>2014</v>
      </c>
      <c r="C913" s="77" t="inlineStr">
        <is>
          <t>medium</t>
        </is>
      </c>
      <c r="D913" s="77" t="inlineStr">
        <is>
          <t>E1</t>
        </is>
      </c>
      <c r="E913" s="77" t="inlineStr">
        <is>
          <t>Netzentgelte MS (Westnetz; MB bridge 2010-12)</t>
        </is>
      </c>
      <c r="F913" s="77" t="inlineStr">
        <is>
          <t>3 Network</t>
        </is>
      </c>
      <c r="G913" s="77" t="inlineStr">
        <is>
          <t>distribution network charge</t>
        </is>
      </c>
      <c r="H913" s="77" t="inlineStr">
        <is>
          <t>i</t>
        </is>
      </c>
      <c r="I913" s="77">
        <f>IF(ISNUMBER(N913),N913*fx_deflator!$J$9*fx_deflator!$M$9,"")</f>
        <v/>
      </c>
      <c r="J913" s="77" t="inlineStr">
        <is>
          <t>Westnetz Preisblaetter (2013+, Wayback); BNetzA MB national avg bridge 2010-12 (D20)</t>
        </is>
      </c>
      <c r="K913" s="77" t="inlineStr">
        <is>
          <t>stage4_de r15-17</t>
        </is>
      </c>
      <c r="L913" s="77" t="inlineStr">
        <is>
          <t>2026-07-15</t>
        </is>
      </c>
      <c r="M913" s="77" t="inlineStr">
        <is>
          <t>Y</t>
        </is>
      </c>
      <c r="N913" s="136">
        <f>IF(ISNUMBER(timeseries!H58),timeseries!H58,"")</f>
        <v/>
      </c>
      <c r="O913" s="77" t="inlineStr">
        <is>
          <t>EUR/MWh nominal</t>
        </is>
      </c>
      <c r="P913" s="77" t="inlineStr">
        <is>
          <t>no sec.19 relief at 5,000h (fails Satz 2) — E1=E2</t>
        </is>
      </c>
    </row>
    <row r="914" ht="15" customHeight="1" s="78">
      <c r="A914" s="77" t="inlineStr">
        <is>
          <t>DE</t>
        </is>
      </c>
      <c r="B914" s="77" t="n">
        <v>2014</v>
      </c>
      <c r="C914" s="77" t="inlineStr">
        <is>
          <t>medium</t>
        </is>
      </c>
      <c r="D914" s="77" t="inlineStr">
        <is>
          <t>E1</t>
        </is>
      </c>
      <c r="E914" s="77" t="inlineStr">
        <is>
          <t>EEG-Umlage (full)</t>
        </is>
      </c>
      <c r="F914" s="77" t="inlineStr">
        <is>
          <t>2 Gen capital recovery</t>
        </is>
      </c>
      <c r="G914" s="77" t="inlineStr">
        <is>
          <t>renewables levy (Umlage)</t>
        </is>
      </c>
      <c r="H914" s="77" t="inlineStr">
        <is>
          <t>i (0 from 07/2022 — taxpayer, see HATCH iii)</t>
        </is>
      </c>
      <c r="I914" s="77">
        <f>IF(ISNUMBER(N914),N914*fx_deflator!$J$9*fx_deflator!$M$9,"")</f>
        <v/>
      </c>
      <c r="J914" s="77" t="inlineStr">
        <is>
          <t>netztransparenz.de EEG-Umlagen der Vorjahre + per-year pages</t>
        </is>
      </c>
      <c r="K914" s="77" t="inlineStr">
        <is>
          <t>stage4_de r21</t>
        </is>
      </c>
      <c r="L914" s="77" t="inlineStr">
        <is>
          <t>2026-07-15</t>
        </is>
      </c>
      <c r="M914" s="77" t="inlineStr">
        <is>
          <t>N</t>
        </is>
      </c>
      <c r="N914" s="77">
        <f>IF(ISNUMBER(stage4_de!H21),stage4_de!H21*10,"")</f>
        <v/>
      </c>
      <c r="O914" s="77" t="inlineStr">
        <is>
          <t>EUR/MWh nominal</t>
        </is>
      </c>
    </row>
    <row r="915" ht="15" customHeight="1" s="78">
      <c r="A915" s="77" t="inlineStr">
        <is>
          <t>DE</t>
        </is>
      </c>
      <c r="B915" s="77" t="n">
        <v>2014</v>
      </c>
      <c r="C915" s="77" t="inlineStr">
        <is>
          <t>medium</t>
        </is>
      </c>
      <c r="D915" s="77" t="inlineStr">
        <is>
          <t>E1</t>
        </is>
      </c>
      <c r="E915" s="77" t="inlineStr">
        <is>
          <t>KWKG-Umlage (tranche blend at 20 GWh)</t>
        </is>
      </c>
      <c r="F915" s="77" t="inlineStr">
        <is>
          <t>2 Gen capital recovery</t>
        </is>
      </c>
      <c r="G915" s="77" t="inlineStr">
        <is>
          <t>CHP levy (Umlage)</t>
        </is>
      </c>
      <c r="H915" s="77" t="inlineStr">
        <is>
          <t>i</t>
        </is>
      </c>
      <c r="I915" s="77">
        <f>IF(ISNUMBER(N915),N915*fx_deflator!$J$9*fx_deflator!$M$9,"")</f>
        <v/>
      </c>
      <c r="J915" s="77" t="inlineStr">
        <is>
          <t>netztransparenz Uebersicht KWKG-Aufschlaege 2002-2016 + per-year pages; tranche blends</t>
        </is>
      </c>
      <c r="K915" s="77" t="inlineStr">
        <is>
          <t>stage4_de r22-24</t>
        </is>
      </c>
      <c r="L915" s="77" t="inlineStr">
        <is>
          <t>2026-07-15</t>
        </is>
      </c>
      <c r="M915" s="77" t="inlineStr">
        <is>
          <t>Y</t>
        </is>
      </c>
      <c r="N915" s="77">
        <f>(0.1*stage4_de!H22+19.9*stage4_de!H23)/20*10</f>
        <v/>
      </c>
      <c r="O915" s="77" t="inlineStr">
        <is>
          <t>EUR/MWh nominal</t>
        </is>
      </c>
    </row>
    <row r="916" ht="15" customHeight="1" s="78">
      <c r="A916" s="77" t="inlineStr">
        <is>
          <t>DE</t>
        </is>
      </c>
      <c r="B916" s="77" t="n">
        <v>2014</v>
      </c>
      <c r="C916" s="77" t="inlineStr">
        <is>
          <t>medium</t>
        </is>
      </c>
      <c r="D916" s="77" t="inlineStr">
        <is>
          <t>E1</t>
        </is>
      </c>
      <c r="E916" s="77" t="inlineStr">
        <is>
          <t>sec.19 StromNEV-Umlage (blend at 20 GWh)</t>
        </is>
      </c>
      <c r="F916" s="77" t="inlineStr">
        <is>
          <t>4 System services &amp; balancing</t>
        </is>
      </c>
      <c r="G916" s="77" t="inlineStr">
        <is>
          <t>network levy (Umlage)</t>
        </is>
      </c>
      <c r="H916" s="77" t="inlineStr">
        <is>
          <t>ii (pays for other users relief)</t>
        </is>
      </c>
      <c r="I916" s="77">
        <f>IF(ISNUMBER(N916),N916*fx_deflator!$J$9*fx_deflator!$M$9,"")</f>
        <v/>
      </c>
      <c r="J916" s="77" t="inlineStr">
        <is>
          <t>netztransparenz per-year Umlagen pages (A-prime/B-prime/C-prime)</t>
        </is>
      </c>
      <c r="K916" s="77" t="inlineStr">
        <is>
          <t>stage4_de r25-27</t>
        </is>
      </c>
      <c r="L916" s="77" t="inlineStr">
        <is>
          <t>2026-07-15</t>
        </is>
      </c>
      <c r="M916" s="77" t="inlineStr">
        <is>
          <t>Y</t>
        </is>
      </c>
      <c r="N916" s="77">
        <f>(1*stage4_de!H25+19*stage4_de!H26)/20*10</f>
        <v/>
      </c>
      <c r="O916" s="77" t="inlineStr">
        <is>
          <t>EUR/MWh nominal</t>
        </is>
      </c>
    </row>
    <row r="917" ht="15" customHeight="1" s="78">
      <c r="A917" s="77" t="inlineStr">
        <is>
          <t>DE</t>
        </is>
      </c>
      <c r="B917" s="77" t="n">
        <v>2014</v>
      </c>
      <c r="C917" s="77" t="inlineStr">
        <is>
          <t>medium</t>
        </is>
      </c>
      <c r="D917" s="77" t="inlineStr">
        <is>
          <t>E1</t>
        </is>
      </c>
      <c r="E917" s="77" t="inlineStr">
        <is>
          <t>Offshore-Netzumlage (blend at 20 GWh to 2018)</t>
        </is>
      </c>
      <c r="F917" s="77" t="inlineStr">
        <is>
          <t>2 Gen capital recovery</t>
        </is>
      </c>
      <c r="G917" s="77" t="inlineStr">
        <is>
          <t>offshore grid levy (Umlage)</t>
        </is>
      </c>
      <c r="H917" s="77" t="inlineStr">
        <is>
          <t>i</t>
        </is>
      </c>
      <c r="I917" s="77">
        <f>IF(ISNUMBER(N917),N917*fx_deflator!$J$9*fx_deflator!$M$9,"")</f>
        <v/>
      </c>
      <c r="J917" s="77" t="inlineStr">
        <is>
          <t>netztransparenz Offshore-Umlage per-year pages</t>
        </is>
      </c>
      <c r="K917" s="77" t="inlineStr">
        <is>
          <t>stage4_de r28-30</t>
        </is>
      </c>
      <c r="L917" s="77" t="inlineStr">
        <is>
          <t>2026-07-15</t>
        </is>
      </c>
      <c r="M917" s="77" t="inlineStr">
        <is>
          <t>Y</t>
        </is>
      </c>
      <c r="N917" s="77">
        <f>(1*stage4_de!H28+19*stage4_de!H29)/20*10</f>
        <v/>
      </c>
      <c r="O917" s="77" t="inlineStr">
        <is>
          <t>EUR/MWh nominal</t>
        </is>
      </c>
    </row>
    <row r="918" ht="15" customHeight="1" s="78">
      <c r="A918" s="77" t="inlineStr">
        <is>
          <t>DE</t>
        </is>
      </c>
      <c r="B918" s="77" t="n">
        <v>2014</v>
      </c>
      <c r="C918" s="77" t="inlineStr">
        <is>
          <t>medium</t>
        </is>
      </c>
      <c r="D918" s="77" t="inlineStr">
        <is>
          <t>E1</t>
        </is>
      </c>
      <c r="E918" s="77" t="inlineStr">
        <is>
          <t>AbLaV-Umlage</t>
        </is>
      </c>
      <c r="F918" s="77" t="inlineStr">
        <is>
          <t>4 System services &amp; balancing</t>
        </is>
      </c>
      <c r="G918" s="77" t="inlineStr">
        <is>
          <t>interruptible-load levy (Umlage)</t>
        </is>
      </c>
      <c r="H918" s="77" t="inlineStr">
        <is>
          <t>i</t>
        </is>
      </c>
      <c r="I918" s="77">
        <f>IF(ISNUMBER(N918),N918*fx_deflator!$J$9*fx_deflator!$M$9,"")</f>
        <v/>
      </c>
      <c r="J918" s="77" t="inlineStr">
        <is>
          <t>netztransparenz AbLaV-Umlage per-year pages (ends 2022)</t>
        </is>
      </c>
      <c r="K918" s="77" t="inlineStr">
        <is>
          <t>stage4_de r31</t>
        </is>
      </c>
      <c r="L918" s="77" t="inlineStr">
        <is>
          <t>2026-07-15</t>
        </is>
      </c>
      <c r="M918" s="77" t="inlineStr">
        <is>
          <t>N</t>
        </is>
      </c>
      <c r="N918" s="77">
        <f>IF(ISNUMBER(stage4_de!H31),stage4_de!H31*10,"")</f>
        <v/>
      </c>
      <c r="O918" s="77" t="inlineStr">
        <is>
          <t>EUR/MWh nominal</t>
        </is>
      </c>
    </row>
    <row r="919" ht="15" customHeight="1" s="78">
      <c r="A919" s="77" t="inlineStr">
        <is>
          <t>DE</t>
        </is>
      </c>
      <c r="B919" s="77" t="n">
        <v>2014</v>
      </c>
      <c r="C919" s="77" t="inlineStr">
        <is>
          <t>medium</t>
        </is>
      </c>
      <c r="D919" s="77" t="inlineStr">
        <is>
          <t>E1</t>
        </is>
      </c>
      <c r="E919" s="77" t="inlineStr">
        <is>
          <t>Stromsteuer (full sec.3)</t>
        </is>
      </c>
      <c r="F919" s="77" t="inlineStr">
        <is>
          <t>5 General taxation &amp; levies</t>
        </is>
      </c>
      <c r="G919" s="77" t="inlineStr">
        <is>
          <t>electricity tax</t>
        </is>
      </c>
      <c r="H919" s="77" t="inlineStr">
        <is>
          <t>i</t>
        </is>
      </c>
      <c r="I919" s="77">
        <f>IF(ISNUMBER(N919),N919*fx_deflator!$J$9*fx_deflator!$M$9,"")</f>
        <v/>
      </c>
      <c r="J919" s="77" t="inlineStr">
        <is>
          <t>StromStG sec.3/sec.9b (BGBl. 2025 I Nr. 340: 0.50 permanent from 2026); gesetze-im-internet.de</t>
        </is>
      </c>
      <c r="K919" s="77" t="inlineStr">
        <is>
          <t>stage4_de r34-35</t>
        </is>
      </c>
      <c r="L919" s="77" t="inlineStr">
        <is>
          <t>2026-07-15</t>
        </is>
      </c>
      <c r="M919" s="77" t="inlineStr">
        <is>
          <t>N</t>
        </is>
      </c>
      <c r="N919" s="77">
        <f>IF(ISNUMBER(stage4_de!H34),stage4_de!H34,"")</f>
        <v/>
      </c>
      <c r="O919" s="77" t="inlineStr">
        <is>
          <t>EUR/MWh nominal</t>
        </is>
      </c>
    </row>
    <row r="920" ht="15" customHeight="1" s="78">
      <c r="A920" s="77" t="inlineStr">
        <is>
          <t>DE</t>
        </is>
      </c>
      <c r="B920" s="77" t="n">
        <v>2014</v>
      </c>
      <c r="C920" s="77" t="inlineStr">
        <is>
          <t>medium</t>
        </is>
      </c>
      <c r="D920" s="77" t="inlineStr">
        <is>
          <t>E1</t>
        </is>
      </c>
      <c r="E920" s="77" t="inlineStr">
        <is>
          <t>Konzessionsabgabe (0 via Grenzpreis)</t>
        </is>
      </c>
      <c r="F920" s="77" t="inlineStr">
        <is>
          <t>5 General taxation &amp; levies</t>
        </is>
      </c>
      <c r="G920" s="77" t="inlineStr">
        <is>
          <t>concession fee</t>
        </is>
      </c>
      <c r="H920" s="77" t="inlineStr">
        <is>
          <t>i</t>
        </is>
      </c>
      <c r="I920" s="77">
        <f>IF(ISNUMBER(N920),N920*fx_deflator!$J$9*fx_deflator!$M$9,"")</f>
        <v/>
      </c>
      <c r="J920" s="77" t="inlineStr">
        <is>
          <t>KAV sec.2(3)/(4) Grenzpreis rule -&gt; 0 for Sondervertragskunden</t>
        </is>
      </c>
      <c r="K920" s="77" t="inlineStr">
        <is>
          <t>stage4_de r36</t>
        </is>
      </c>
      <c r="L920" s="77" t="inlineStr">
        <is>
          <t>2026-07-15</t>
        </is>
      </c>
      <c r="M920" s="77" t="inlineStr">
        <is>
          <t>N</t>
        </is>
      </c>
      <c r="N920" s="77">
        <f>IF(ISNUMBER(stage4_de!H36),stage4_de!H36*10,"")</f>
        <v/>
      </c>
      <c r="O920" s="77" t="inlineStr">
        <is>
          <t>EUR/MWh nominal</t>
        </is>
      </c>
    </row>
    <row r="921" ht="15" customHeight="1" s="78">
      <c r="A921" s="77" t="inlineStr">
        <is>
          <t>DE</t>
        </is>
      </c>
      <c r="B921" s="77" t="n">
        <v>2015</v>
      </c>
      <c r="C921" s="77" t="inlineStr">
        <is>
          <t>medium</t>
        </is>
      </c>
      <c r="D921" s="77" t="inlineStr">
        <is>
          <t>E1</t>
        </is>
      </c>
      <c r="E921" s="77" t="inlineStr">
        <is>
          <t>Wholesale (as large)</t>
        </is>
      </c>
      <c r="F921" s="77" t="inlineStr">
        <is>
          <t>1 Commodity</t>
        </is>
      </c>
      <c r="G921" s="77" t="inlineStr">
        <is>
          <t>wholesale market</t>
        </is>
      </c>
      <c r="H921" s="77" t="inlineStr">
        <is>
          <t>i</t>
        </is>
      </c>
      <c r="I921" s="77">
        <f>IF(ISNUMBER(N921),N921*fx_deflator!$J$10*fx_deflator!$M$10,"")</f>
        <v/>
      </c>
      <c r="J921" s="77" t="inlineStr">
        <is>
          <t>BNetzA Monitoringberichte — Phelix base front-year by trading yr -&gt; delivery yr; 2026 = D29</t>
        </is>
      </c>
      <c r="K921" s="77" t="inlineStr">
        <is>
          <t>stage4_de r7</t>
        </is>
      </c>
      <c r="L921" s="77" t="inlineStr">
        <is>
          <t>2026-07-15</t>
        </is>
      </c>
      <c r="M921" s="77" t="inlineStr">
        <is>
          <t>Y</t>
        </is>
      </c>
      <c r="N921" s="136">
        <f>IF(ISNUMBER(timeseries!I57),timeseries!I57,"")</f>
        <v/>
      </c>
      <c r="O921" s="77" t="inlineStr">
        <is>
          <t>EUR/MWh nominal</t>
        </is>
      </c>
    </row>
    <row r="922" ht="15" customHeight="1" s="78">
      <c r="A922" s="77" t="inlineStr">
        <is>
          <t>DE</t>
        </is>
      </c>
      <c r="B922" s="77" t="n">
        <v>2015</v>
      </c>
      <c r="C922" s="77" t="inlineStr">
        <is>
          <t>medium</t>
        </is>
      </c>
      <c r="D922" s="77" t="inlineStr">
        <is>
          <t>E1</t>
        </is>
      </c>
      <c r="E922" s="77" t="inlineStr">
        <is>
          <t>Netzentgelte MS (Westnetz; MB bridge 2010-12)</t>
        </is>
      </c>
      <c r="F922" s="77" t="inlineStr">
        <is>
          <t>3 Network</t>
        </is>
      </c>
      <c r="G922" s="77" t="inlineStr">
        <is>
          <t>distribution network charge</t>
        </is>
      </c>
      <c r="H922" s="77" t="inlineStr">
        <is>
          <t>i</t>
        </is>
      </c>
      <c r="I922" s="77">
        <f>IF(ISNUMBER(N922),N922*fx_deflator!$J$10*fx_deflator!$M$10,"")</f>
        <v/>
      </c>
      <c r="J922" s="77" t="inlineStr">
        <is>
          <t>Westnetz Preisblaetter (2013+, Wayback); BNetzA MB national avg bridge 2010-12 (D20)</t>
        </is>
      </c>
      <c r="K922" s="77" t="inlineStr">
        <is>
          <t>stage4_de r15-17</t>
        </is>
      </c>
      <c r="L922" s="77" t="inlineStr">
        <is>
          <t>2026-07-15</t>
        </is>
      </c>
      <c r="M922" s="77" t="inlineStr">
        <is>
          <t>Y</t>
        </is>
      </c>
      <c r="N922" s="136">
        <f>IF(ISNUMBER(timeseries!I58),timeseries!I58,"")</f>
        <v/>
      </c>
      <c r="O922" s="77" t="inlineStr">
        <is>
          <t>EUR/MWh nominal</t>
        </is>
      </c>
      <c r="P922" s="77" t="inlineStr">
        <is>
          <t>no sec.19 relief at 5,000h (fails Satz 2) — E1=E2</t>
        </is>
      </c>
    </row>
    <row r="923" ht="15" customHeight="1" s="78">
      <c r="A923" s="77" t="inlineStr">
        <is>
          <t>DE</t>
        </is>
      </c>
      <c r="B923" s="77" t="n">
        <v>2015</v>
      </c>
      <c r="C923" s="77" t="inlineStr">
        <is>
          <t>medium</t>
        </is>
      </c>
      <c r="D923" s="77" t="inlineStr">
        <is>
          <t>E1</t>
        </is>
      </c>
      <c r="E923" s="77" t="inlineStr">
        <is>
          <t>EEG-Umlage (full)</t>
        </is>
      </c>
      <c r="F923" s="77" t="inlineStr">
        <is>
          <t>2 Gen capital recovery</t>
        </is>
      </c>
      <c r="G923" s="77" t="inlineStr">
        <is>
          <t>renewables levy (Umlage)</t>
        </is>
      </c>
      <c r="H923" s="77" t="inlineStr">
        <is>
          <t>i (0 from 07/2022 — taxpayer, see HATCH iii)</t>
        </is>
      </c>
      <c r="I923" s="77">
        <f>IF(ISNUMBER(N923),N923*fx_deflator!$J$10*fx_deflator!$M$10,"")</f>
        <v/>
      </c>
      <c r="J923" s="77" t="inlineStr">
        <is>
          <t>netztransparenz.de EEG-Umlagen der Vorjahre + per-year pages</t>
        </is>
      </c>
      <c r="K923" s="77" t="inlineStr">
        <is>
          <t>stage4_de r21</t>
        </is>
      </c>
      <c r="L923" s="77" t="inlineStr">
        <is>
          <t>2026-07-15</t>
        </is>
      </c>
      <c r="M923" s="77" t="inlineStr">
        <is>
          <t>N</t>
        </is>
      </c>
      <c r="N923" s="77">
        <f>IF(ISNUMBER(stage4_de!I21),stage4_de!I21*10,"")</f>
        <v/>
      </c>
      <c r="O923" s="77" t="inlineStr">
        <is>
          <t>EUR/MWh nominal</t>
        </is>
      </c>
    </row>
    <row r="924" ht="15" customHeight="1" s="78">
      <c r="A924" s="77" t="inlineStr">
        <is>
          <t>DE</t>
        </is>
      </c>
      <c r="B924" s="77" t="n">
        <v>2015</v>
      </c>
      <c r="C924" s="77" t="inlineStr">
        <is>
          <t>medium</t>
        </is>
      </c>
      <c r="D924" s="77" t="inlineStr">
        <is>
          <t>E1</t>
        </is>
      </c>
      <c r="E924" s="77" t="inlineStr">
        <is>
          <t>KWKG-Umlage (tranche blend at 20 GWh)</t>
        </is>
      </c>
      <c r="F924" s="77" t="inlineStr">
        <is>
          <t>2 Gen capital recovery</t>
        </is>
      </c>
      <c r="G924" s="77" t="inlineStr">
        <is>
          <t>CHP levy (Umlage)</t>
        </is>
      </c>
      <c r="H924" s="77" t="inlineStr">
        <is>
          <t>i</t>
        </is>
      </c>
      <c r="I924" s="77">
        <f>IF(ISNUMBER(N924),N924*fx_deflator!$J$10*fx_deflator!$M$10,"")</f>
        <v/>
      </c>
      <c r="J924" s="77" t="inlineStr">
        <is>
          <t>netztransparenz Uebersicht KWKG-Aufschlaege 2002-2016 + per-year pages; tranche blends</t>
        </is>
      </c>
      <c r="K924" s="77" t="inlineStr">
        <is>
          <t>stage4_de r22-24</t>
        </is>
      </c>
      <c r="L924" s="77" t="inlineStr">
        <is>
          <t>2026-07-15</t>
        </is>
      </c>
      <c r="M924" s="77" t="inlineStr">
        <is>
          <t>Y</t>
        </is>
      </c>
      <c r="N924" s="77">
        <f>(0.1*stage4_de!I22+19.9*stage4_de!I23)/20*10</f>
        <v/>
      </c>
      <c r="O924" s="77" t="inlineStr">
        <is>
          <t>EUR/MWh nominal</t>
        </is>
      </c>
    </row>
    <row r="925" ht="15" customHeight="1" s="78">
      <c r="A925" s="77" t="inlineStr">
        <is>
          <t>DE</t>
        </is>
      </c>
      <c r="B925" s="77" t="n">
        <v>2015</v>
      </c>
      <c r="C925" s="77" t="inlineStr">
        <is>
          <t>medium</t>
        </is>
      </c>
      <c r="D925" s="77" t="inlineStr">
        <is>
          <t>E1</t>
        </is>
      </c>
      <c r="E925" s="77" t="inlineStr">
        <is>
          <t>sec.19 StromNEV-Umlage (blend at 20 GWh)</t>
        </is>
      </c>
      <c r="F925" s="77" t="inlineStr">
        <is>
          <t>4 System services &amp; balancing</t>
        </is>
      </c>
      <c r="G925" s="77" t="inlineStr">
        <is>
          <t>network levy (Umlage)</t>
        </is>
      </c>
      <c r="H925" s="77" t="inlineStr">
        <is>
          <t>ii (pays for other users relief)</t>
        </is>
      </c>
      <c r="I925" s="77">
        <f>IF(ISNUMBER(N925),N925*fx_deflator!$J$10*fx_deflator!$M$10,"")</f>
        <v/>
      </c>
      <c r="J925" s="77" t="inlineStr">
        <is>
          <t>netztransparenz per-year Umlagen pages (A-prime/B-prime/C-prime)</t>
        </is>
      </c>
      <c r="K925" s="77" t="inlineStr">
        <is>
          <t>stage4_de r25-27</t>
        </is>
      </c>
      <c r="L925" s="77" t="inlineStr">
        <is>
          <t>2026-07-15</t>
        </is>
      </c>
      <c r="M925" s="77" t="inlineStr">
        <is>
          <t>Y</t>
        </is>
      </c>
      <c r="N925" s="77">
        <f>(1*stage4_de!I25+19*stage4_de!I26)/20*10</f>
        <v/>
      </c>
      <c r="O925" s="77" t="inlineStr">
        <is>
          <t>EUR/MWh nominal</t>
        </is>
      </c>
    </row>
    <row r="926" ht="15" customHeight="1" s="78">
      <c r="A926" s="77" t="inlineStr">
        <is>
          <t>DE</t>
        </is>
      </c>
      <c r="B926" s="77" t="n">
        <v>2015</v>
      </c>
      <c r="C926" s="77" t="inlineStr">
        <is>
          <t>medium</t>
        </is>
      </c>
      <c r="D926" s="77" t="inlineStr">
        <is>
          <t>E1</t>
        </is>
      </c>
      <c r="E926" s="77" t="inlineStr">
        <is>
          <t>Offshore-Netzumlage (blend at 20 GWh to 2018)</t>
        </is>
      </c>
      <c r="F926" s="77" t="inlineStr">
        <is>
          <t>2 Gen capital recovery</t>
        </is>
      </c>
      <c r="G926" s="77" t="inlineStr">
        <is>
          <t>offshore grid levy (Umlage)</t>
        </is>
      </c>
      <c r="H926" s="77" t="inlineStr">
        <is>
          <t>i</t>
        </is>
      </c>
      <c r="I926" s="77">
        <f>IF(ISNUMBER(N926),N926*fx_deflator!$J$10*fx_deflator!$M$10,"")</f>
        <v/>
      </c>
      <c r="J926" s="77" t="inlineStr">
        <is>
          <t>netztransparenz Offshore-Umlage per-year pages</t>
        </is>
      </c>
      <c r="K926" s="77" t="inlineStr">
        <is>
          <t>stage4_de r28-30</t>
        </is>
      </c>
      <c r="L926" s="77" t="inlineStr">
        <is>
          <t>2026-07-15</t>
        </is>
      </c>
      <c r="M926" s="77" t="inlineStr">
        <is>
          <t>Y</t>
        </is>
      </c>
      <c r="N926" s="77">
        <f>(1*stage4_de!I28+19*stage4_de!I29)/20*10</f>
        <v/>
      </c>
      <c r="O926" s="77" t="inlineStr">
        <is>
          <t>EUR/MWh nominal</t>
        </is>
      </c>
    </row>
    <row r="927" ht="15" customHeight="1" s="78">
      <c r="A927" s="77" t="inlineStr">
        <is>
          <t>DE</t>
        </is>
      </c>
      <c r="B927" s="77" t="n">
        <v>2015</v>
      </c>
      <c r="C927" s="77" t="inlineStr">
        <is>
          <t>medium</t>
        </is>
      </c>
      <c r="D927" s="77" t="inlineStr">
        <is>
          <t>E1</t>
        </is>
      </c>
      <c r="E927" s="77" t="inlineStr">
        <is>
          <t>AbLaV-Umlage</t>
        </is>
      </c>
      <c r="F927" s="77" t="inlineStr">
        <is>
          <t>4 System services &amp; balancing</t>
        </is>
      </c>
      <c r="G927" s="77" t="inlineStr">
        <is>
          <t>interruptible-load levy (Umlage)</t>
        </is>
      </c>
      <c r="H927" s="77" t="inlineStr">
        <is>
          <t>i</t>
        </is>
      </c>
      <c r="I927" s="77">
        <f>IF(ISNUMBER(N927),N927*fx_deflator!$J$10*fx_deflator!$M$10,"")</f>
        <v/>
      </c>
      <c r="J927" s="77" t="inlineStr">
        <is>
          <t>netztransparenz AbLaV-Umlage per-year pages (ends 2022)</t>
        </is>
      </c>
      <c r="K927" s="77" t="inlineStr">
        <is>
          <t>stage4_de r31</t>
        </is>
      </c>
      <c r="L927" s="77" t="inlineStr">
        <is>
          <t>2026-07-15</t>
        </is>
      </c>
      <c r="M927" s="77" t="inlineStr">
        <is>
          <t>N</t>
        </is>
      </c>
      <c r="N927" s="77">
        <f>IF(ISNUMBER(stage4_de!I31),stage4_de!I31*10,"")</f>
        <v/>
      </c>
      <c r="O927" s="77" t="inlineStr">
        <is>
          <t>EUR/MWh nominal</t>
        </is>
      </c>
    </row>
    <row r="928" ht="15" customHeight="1" s="78">
      <c r="A928" s="77" t="inlineStr">
        <is>
          <t>DE</t>
        </is>
      </c>
      <c r="B928" s="77" t="n">
        <v>2015</v>
      </c>
      <c r="C928" s="77" t="inlineStr">
        <is>
          <t>medium</t>
        </is>
      </c>
      <c r="D928" s="77" t="inlineStr">
        <is>
          <t>E1</t>
        </is>
      </c>
      <c r="E928" s="77" t="inlineStr">
        <is>
          <t>Stromsteuer (full sec.3)</t>
        </is>
      </c>
      <c r="F928" s="77" t="inlineStr">
        <is>
          <t>5 General taxation &amp; levies</t>
        </is>
      </c>
      <c r="G928" s="77" t="inlineStr">
        <is>
          <t>electricity tax</t>
        </is>
      </c>
      <c r="H928" s="77" t="inlineStr">
        <is>
          <t>i</t>
        </is>
      </c>
      <c r="I928" s="77">
        <f>IF(ISNUMBER(N928),N928*fx_deflator!$J$10*fx_deflator!$M$10,"")</f>
        <v/>
      </c>
      <c r="J928" s="77" t="inlineStr">
        <is>
          <t>StromStG sec.3/sec.9b (BGBl. 2025 I Nr. 340: 0.50 permanent from 2026); gesetze-im-internet.de</t>
        </is>
      </c>
      <c r="K928" s="77" t="inlineStr">
        <is>
          <t>stage4_de r34-35</t>
        </is>
      </c>
      <c r="L928" s="77" t="inlineStr">
        <is>
          <t>2026-07-15</t>
        </is>
      </c>
      <c r="M928" s="77" t="inlineStr">
        <is>
          <t>N</t>
        </is>
      </c>
      <c r="N928" s="77">
        <f>IF(ISNUMBER(stage4_de!I34),stage4_de!I34,"")</f>
        <v/>
      </c>
      <c r="O928" s="77" t="inlineStr">
        <is>
          <t>EUR/MWh nominal</t>
        </is>
      </c>
    </row>
    <row r="929" ht="15" customHeight="1" s="78">
      <c r="A929" s="77" t="inlineStr">
        <is>
          <t>DE</t>
        </is>
      </c>
      <c r="B929" s="77" t="n">
        <v>2015</v>
      </c>
      <c r="C929" s="77" t="inlineStr">
        <is>
          <t>medium</t>
        </is>
      </c>
      <c r="D929" s="77" t="inlineStr">
        <is>
          <t>E1</t>
        </is>
      </c>
      <c r="E929" s="77" t="inlineStr">
        <is>
          <t>Konzessionsabgabe (0 via Grenzpreis)</t>
        </is>
      </c>
      <c r="F929" s="77" t="inlineStr">
        <is>
          <t>5 General taxation &amp; levies</t>
        </is>
      </c>
      <c r="G929" s="77" t="inlineStr">
        <is>
          <t>concession fee</t>
        </is>
      </c>
      <c r="H929" s="77" t="inlineStr">
        <is>
          <t>i</t>
        </is>
      </c>
      <c r="I929" s="77">
        <f>IF(ISNUMBER(N929),N929*fx_deflator!$J$10*fx_deflator!$M$10,"")</f>
        <v/>
      </c>
      <c r="J929" s="77" t="inlineStr">
        <is>
          <t>KAV sec.2(3)/(4) Grenzpreis rule -&gt; 0 for Sondervertragskunden</t>
        </is>
      </c>
      <c r="K929" s="77" t="inlineStr">
        <is>
          <t>stage4_de r36</t>
        </is>
      </c>
      <c r="L929" s="77" t="inlineStr">
        <is>
          <t>2026-07-15</t>
        </is>
      </c>
      <c r="M929" s="77" t="inlineStr">
        <is>
          <t>N</t>
        </is>
      </c>
      <c r="N929" s="77">
        <f>IF(ISNUMBER(stage4_de!I36),stage4_de!I36*10,"")</f>
        <v/>
      </c>
      <c r="O929" s="77" t="inlineStr">
        <is>
          <t>EUR/MWh nominal</t>
        </is>
      </c>
    </row>
    <row r="930" ht="15" customHeight="1" s="78">
      <c r="A930" s="77" t="inlineStr">
        <is>
          <t>DE</t>
        </is>
      </c>
      <c r="B930" s="77" t="n">
        <v>2016</v>
      </c>
      <c r="C930" s="77" t="inlineStr">
        <is>
          <t>medium</t>
        </is>
      </c>
      <c r="D930" s="77" t="inlineStr">
        <is>
          <t>E1</t>
        </is>
      </c>
      <c r="E930" s="77" t="inlineStr">
        <is>
          <t>Wholesale (as large)</t>
        </is>
      </c>
      <c r="F930" s="77" t="inlineStr">
        <is>
          <t>1 Commodity</t>
        </is>
      </c>
      <c r="G930" s="77" t="inlineStr">
        <is>
          <t>wholesale market</t>
        </is>
      </c>
      <c r="H930" s="77" t="inlineStr">
        <is>
          <t>i</t>
        </is>
      </c>
      <c r="I930" s="77">
        <f>IF(ISNUMBER(N930),N930*fx_deflator!$J$11*fx_deflator!$M$11,"")</f>
        <v/>
      </c>
      <c r="J930" s="77" t="inlineStr">
        <is>
          <t>BNetzA Monitoringberichte — Phelix base front-year by trading yr -&gt; delivery yr; 2026 = D29</t>
        </is>
      </c>
      <c r="K930" s="77" t="inlineStr">
        <is>
          <t>stage4_de r7</t>
        </is>
      </c>
      <c r="L930" s="77" t="inlineStr">
        <is>
          <t>2026-07-15</t>
        </is>
      </c>
      <c r="M930" s="77" t="inlineStr">
        <is>
          <t>Y</t>
        </is>
      </c>
      <c r="N930" s="136">
        <f>IF(ISNUMBER(timeseries!J57),timeseries!J57,"")</f>
        <v/>
      </c>
      <c r="O930" s="77" t="inlineStr">
        <is>
          <t>EUR/MWh nominal</t>
        </is>
      </c>
    </row>
    <row r="931" ht="15" customHeight="1" s="78">
      <c r="A931" s="77" t="inlineStr">
        <is>
          <t>DE</t>
        </is>
      </c>
      <c r="B931" s="77" t="n">
        <v>2016</v>
      </c>
      <c r="C931" s="77" t="inlineStr">
        <is>
          <t>medium</t>
        </is>
      </c>
      <c r="D931" s="77" t="inlineStr">
        <is>
          <t>E1</t>
        </is>
      </c>
      <c r="E931" s="77" t="inlineStr">
        <is>
          <t>Netzentgelte MS (Westnetz; MB bridge 2010-12)</t>
        </is>
      </c>
      <c r="F931" s="77" t="inlineStr">
        <is>
          <t>3 Network</t>
        </is>
      </c>
      <c r="G931" s="77" t="inlineStr">
        <is>
          <t>distribution network charge</t>
        </is>
      </c>
      <c r="H931" s="77" t="inlineStr">
        <is>
          <t>i</t>
        </is>
      </c>
      <c r="I931" s="77">
        <f>IF(ISNUMBER(N931),N931*fx_deflator!$J$11*fx_deflator!$M$11,"")</f>
        <v/>
      </c>
      <c r="J931" s="77" t="inlineStr">
        <is>
          <t>Westnetz Preisblaetter (2013+, Wayback); BNetzA MB national avg bridge 2010-12 (D20)</t>
        </is>
      </c>
      <c r="K931" s="77" t="inlineStr">
        <is>
          <t>stage4_de r15-17</t>
        </is>
      </c>
      <c r="L931" s="77" t="inlineStr">
        <is>
          <t>2026-07-15</t>
        </is>
      </c>
      <c r="M931" s="77" t="inlineStr">
        <is>
          <t>Y</t>
        </is>
      </c>
      <c r="N931" s="136">
        <f>IF(ISNUMBER(timeseries!J58),timeseries!J58,"")</f>
        <v/>
      </c>
      <c r="O931" s="77" t="inlineStr">
        <is>
          <t>EUR/MWh nominal</t>
        </is>
      </c>
      <c r="P931" s="77" t="inlineStr">
        <is>
          <t>no sec.19 relief at 5,000h (fails Satz 2) — E1=E2</t>
        </is>
      </c>
    </row>
    <row r="932" ht="15" customHeight="1" s="78">
      <c r="A932" s="77" t="inlineStr">
        <is>
          <t>DE</t>
        </is>
      </c>
      <c r="B932" s="77" t="n">
        <v>2016</v>
      </c>
      <c r="C932" s="77" t="inlineStr">
        <is>
          <t>medium</t>
        </is>
      </c>
      <c r="D932" s="77" t="inlineStr">
        <is>
          <t>E1</t>
        </is>
      </c>
      <c r="E932" s="77" t="inlineStr">
        <is>
          <t>EEG-Umlage (full)</t>
        </is>
      </c>
      <c r="F932" s="77" t="inlineStr">
        <is>
          <t>2 Gen capital recovery</t>
        </is>
      </c>
      <c r="G932" s="77" t="inlineStr">
        <is>
          <t>renewables levy (Umlage)</t>
        </is>
      </c>
      <c r="H932" s="77" t="inlineStr">
        <is>
          <t>i (0 from 07/2022 — taxpayer, see HATCH iii)</t>
        </is>
      </c>
      <c r="I932" s="77">
        <f>IF(ISNUMBER(N932),N932*fx_deflator!$J$11*fx_deflator!$M$11,"")</f>
        <v/>
      </c>
      <c r="J932" s="77" t="inlineStr">
        <is>
          <t>netztransparenz.de EEG-Umlagen der Vorjahre + per-year pages</t>
        </is>
      </c>
      <c r="K932" s="77" t="inlineStr">
        <is>
          <t>stage4_de r21</t>
        </is>
      </c>
      <c r="L932" s="77" t="inlineStr">
        <is>
          <t>2026-07-15</t>
        </is>
      </c>
      <c r="M932" s="77" t="inlineStr">
        <is>
          <t>N</t>
        </is>
      </c>
      <c r="N932" s="77">
        <f>IF(ISNUMBER(stage4_de!J21),stage4_de!J21*10,"")</f>
        <v/>
      </c>
      <c r="O932" s="77" t="inlineStr">
        <is>
          <t>EUR/MWh nominal</t>
        </is>
      </c>
    </row>
    <row r="933" ht="15" customHeight="1" s="78">
      <c r="A933" s="77" t="inlineStr">
        <is>
          <t>DE</t>
        </is>
      </c>
      <c r="B933" s="77" t="n">
        <v>2016</v>
      </c>
      <c r="C933" s="77" t="inlineStr">
        <is>
          <t>medium</t>
        </is>
      </c>
      <c r="D933" s="77" t="inlineStr">
        <is>
          <t>E1</t>
        </is>
      </c>
      <c r="E933" s="77" t="inlineStr">
        <is>
          <t>KWKG-Umlage (tranche blend at 20 GWh)</t>
        </is>
      </c>
      <c r="F933" s="77" t="inlineStr">
        <is>
          <t>2 Gen capital recovery</t>
        </is>
      </c>
      <c r="G933" s="77" t="inlineStr">
        <is>
          <t>CHP levy (Umlage)</t>
        </is>
      </c>
      <c r="H933" s="77" t="inlineStr">
        <is>
          <t>i</t>
        </is>
      </c>
      <c r="I933" s="77">
        <f>IF(ISNUMBER(N933),N933*fx_deflator!$J$11*fx_deflator!$M$11,"")</f>
        <v/>
      </c>
      <c r="J933" s="77" t="inlineStr">
        <is>
          <t>netztransparenz Uebersicht KWKG-Aufschlaege 2002-2016 + per-year pages; tranche blends</t>
        </is>
      </c>
      <c r="K933" s="77" t="inlineStr">
        <is>
          <t>stage4_de r22-24</t>
        </is>
      </c>
      <c r="L933" s="77" t="inlineStr">
        <is>
          <t>2026-07-15</t>
        </is>
      </c>
      <c r="M933" s="77" t="inlineStr">
        <is>
          <t>Y</t>
        </is>
      </c>
      <c r="N933" s="77">
        <f>(1*stage4_de!J22+19*stage4_de!J23)/20*10</f>
        <v/>
      </c>
      <c r="O933" s="77" t="inlineStr">
        <is>
          <t>EUR/MWh nominal</t>
        </is>
      </c>
    </row>
    <row r="934" ht="15" customHeight="1" s="78">
      <c r="A934" s="77" t="inlineStr">
        <is>
          <t>DE</t>
        </is>
      </c>
      <c r="B934" s="77" t="n">
        <v>2016</v>
      </c>
      <c r="C934" s="77" t="inlineStr">
        <is>
          <t>medium</t>
        </is>
      </c>
      <c r="D934" s="77" t="inlineStr">
        <is>
          <t>E1</t>
        </is>
      </c>
      <c r="E934" s="77" t="inlineStr">
        <is>
          <t>sec.19 StromNEV-Umlage (blend at 20 GWh)</t>
        </is>
      </c>
      <c r="F934" s="77" t="inlineStr">
        <is>
          <t>4 System services &amp; balancing</t>
        </is>
      </c>
      <c r="G934" s="77" t="inlineStr">
        <is>
          <t>network levy (Umlage)</t>
        </is>
      </c>
      <c r="H934" s="77" t="inlineStr">
        <is>
          <t>ii (pays for other users relief)</t>
        </is>
      </c>
      <c r="I934" s="77">
        <f>IF(ISNUMBER(N934),N934*fx_deflator!$J$11*fx_deflator!$M$11,"")</f>
        <v/>
      </c>
      <c r="J934" s="77" t="inlineStr">
        <is>
          <t>netztransparenz per-year Umlagen pages (A-prime/B-prime/C-prime)</t>
        </is>
      </c>
      <c r="K934" s="77" t="inlineStr">
        <is>
          <t>stage4_de r25-27</t>
        </is>
      </c>
      <c r="L934" s="77" t="inlineStr">
        <is>
          <t>2026-07-15</t>
        </is>
      </c>
      <c r="M934" s="77" t="inlineStr">
        <is>
          <t>Y</t>
        </is>
      </c>
      <c r="N934" s="77">
        <f>(1*stage4_de!J25+19*stage4_de!J26)/20*10</f>
        <v/>
      </c>
      <c r="O934" s="77" t="inlineStr">
        <is>
          <t>EUR/MWh nominal</t>
        </is>
      </c>
    </row>
    <row r="935" ht="15" customHeight="1" s="78">
      <c r="A935" s="77" t="inlineStr">
        <is>
          <t>DE</t>
        </is>
      </c>
      <c r="B935" s="77" t="n">
        <v>2016</v>
      </c>
      <c r="C935" s="77" t="inlineStr">
        <is>
          <t>medium</t>
        </is>
      </c>
      <c r="D935" s="77" t="inlineStr">
        <is>
          <t>E1</t>
        </is>
      </c>
      <c r="E935" s="77" t="inlineStr">
        <is>
          <t>Offshore-Netzumlage (blend at 20 GWh to 2018)</t>
        </is>
      </c>
      <c r="F935" s="77" t="inlineStr">
        <is>
          <t>2 Gen capital recovery</t>
        </is>
      </c>
      <c r="G935" s="77" t="inlineStr">
        <is>
          <t>offshore grid levy (Umlage)</t>
        </is>
      </c>
      <c r="H935" s="77" t="inlineStr">
        <is>
          <t>i</t>
        </is>
      </c>
      <c r="I935" s="77">
        <f>IF(ISNUMBER(N935),N935*fx_deflator!$J$11*fx_deflator!$M$11,"")</f>
        <v/>
      </c>
      <c r="J935" s="77" t="inlineStr">
        <is>
          <t>netztransparenz Offshore-Umlage per-year pages</t>
        </is>
      </c>
      <c r="K935" s="77" t="inlineStr">
        <is>
          <t>stage4_de r28-30</t>
        </is>
      </c>
      <c r="L935" s="77" t="inlineStr">
        <is>
          <t>2026-07-15</t>
        </is>
      </c>
      <c r="M935" s="77" t="inlineStr">
        <is>
          <t>Y</t>
        </is>
      </c>
      <c r="N935" s="77">
        <f>(1*stage4_de!J28+19*stage4_de!J29)/20*10</f>
        <v/>
      </c>
      <c r="O935" s="77" t="inlineStr">
        <is>
          <t>EUR/MWh nominal</t>
        </is>
      </c>
    </row>
    <row r="936" ht="15" customHeight="1" s="78">
      <c r="A936" s="77" t="inlineStr">
        <is>
          <t>DE</t>
        </is>
      </c>
      <c r="B936" s="77" t="n">
        <v>2016</v>
      </c>
      <c r="C936" s="77" t="inlineStr">
        <is>
          <t>medium</t>
        </is>
      </c>
      <c r="D936" s="77" t="inlineStr">
        <is>
          <t>E1</t>
        </is>
      </c>
      <c r="E936" s="77" t="inlineStr">
        <is>
          <t>AbLaV-Umlage</t>
        </is>
      </c>
      <c r="F936" s="77" t="inlineStr">
        <is>
          <t>4 System services &amp; balancing</t>
        </is>
      </c>
      <c r="G936" s="77" t="inlineStr">
        <is>
          <t>interruptible-load levy (Umlage)</t>
        </is>
      </c>
      <c r="H936" s="77" t="inlineStr">
        <is>
          <t>i</t>
        </is>
      </c>
      <c r="I936" s="77">
        <f>IF(ISNUMBER(N936),N936*fx_deflator!$J$11*fx_deflator!$M$11,"")</f>
        <v/>
      </c>
      <c r="J936" s="77" t="inlineStr">
        <is>
          <t>netztransparenz AbLaV-Umlage per-year pages (ends 2022)</t>
        </is>
      </c>
      <c r="K936" s="77" t="inlineStr">
        <is>
          <t>stage4_de r31</t>
        </is>
      </c>
      <c r="L936" s="77" t="inlineStr">
        <is>
          <t>2026-07-15</t>
        </is>
      </c>
      <c r="M936" s="77" t="inlineStr">
        <is>
          <t>N</t>
        </is>
      </c>
      <c r="N936" s="77">
        <f>IF(ISNUMBER(stage4_de!J31),stage4_de!J31*10,"")</f>
        <v/>
      </c>
      <c r="O936" s="77" t="inlineStr">
        <is>
          <t>EUR/MWh nominal</t>
        </is>
      </c>
    </row>
    <row r="937" ht="15" customHeight="1" s="78">
      <c r="A937" s="77" t="inlineStr">
        <is>
          <t>DE</t>
        </is>
      </c>
      <c r="B937" s="77" t="n">
        <v>2016</v>
      </c>
      <c r="C937" s="77" t="inlineStr">
        <is>
          <t>medium</t>
        </is>
      </c>
      <c r="D937" s="77" t="inlineStr">
        <is>
          <t>E1</t>
        </is>
      </c>
      <c r="E937" s="77" t="inlineStr">
        <is>
          <t>Stromsteuer (full sec.3)</t>
        </is>
      </c>
      <c r="F937" s="77" t="inlineStr">
        <is>
          <t>5 General taxation &amp; levies</t>
        </is>
      </c>
      <c r="G937" s="77" t="inlineStr">
        <is>
          <t>electricity tax</t>
        </is>
      </c>
      <c r="H937" s="77" t="inlineStr">
        <is>
          <t>i</t>
        </is>
      </c>
      <c r="I937" s="77">
        <f>IF(ISNUMBER(N937),N937*fx_deflator!$J$11*fx_deflator!$M$11,"")</f>
        <v/>
      </c>
      <c r="J937" s="77" t="inlineStr">
        <is>
          <t>StromStG sec.3/sec.9b (BGBl. 2025 I Nr. 340: 0.50 permanent from 2026); gesetze-im-internet.de</t>
        </is>
      </c>
      <c r="K937" s="77" t="inlineStr">
        <is>
          <t>stage4_de r34-35</t>
        </is>
      </c>
      <c r="L937" s="77" t="inlineStr">
        <is>
          <t>2026-07-15</t>
        </is>
      </c>
      <c r="M937" s="77" t="inlineStr">
        <is>
          <t>N</t>
        </is>
      </c>
      <c r="N937" s="77">
        <f>IF(ISNUMBER(stage4_de!J34),stage4_de!J34,"")</f>
        <v/>
      </c>
      <c r="O937" s="77" t="inlineStr">
        <is>
          <t>EUR/MWh nominal</t>
        </is>
      </c>
    </row>
    <row r="938" ht="15" customHeight="1" s="78">
      <c r="A938" s="77" t="inlineStr">
        <is>
          <t>DE</t>
        </is>
      </c>
      <c r="B938" s="77" t="n">
        <v>2016</v>
      </c>
      <c r="C938" s="77" t="inlineStr">
        <is>
          <t>medium</t>
        </is>
      </c>
      <c r="D938" s="77" t="inlineStr">
        <is>
          <t>E1</t>
        </is>
      </c>
      <c r="E938" s="77" t="inlineStr">
        <is>
          <t>Konzessionsabgabe (0 via Grenzpreis)</t>
        </is>
      </c>
      <c r="F938" s="77" t="inlineStr">
        <is>
          <t>5 General taxation &amp; levies</t>
        </is>
      </c>
      <c r="G938" s="77" t="inlineStr">
        <is>
          <t>concession fee</t>
        </is>
      </c>
      <c r="H938" s="77" t="inlineStr">
        <is>
          <t>i</t>
        </is>
      </c>
      <c r="I938" s="77">
        <f>IF(ISNUMBER(N938),N938*fx_deflator!$J$11*fx_deflator!$M$11,"")</f>
        <v/>
      </c>
      <c r="J938" s="77" t="inlineStr">
        <is>
          <t>KAV sec.2(3)/(4) Grenzpreis rule -&gt; 0 for Sondervertragskunden</t>
        </is>
      </c>
      <c r="K938" s="77" t="inlineStr">
        <is>
          <t>stage4_de r36</t>
        </is>
      </c>
      <c r="L938" s="77" t="inlineStr">
        <is>
          <t>2026-07-15</t>
        </is>
      </c>
      <c r="M938" s="77" t="inlineStr">
        <is>
          <t>N</t>
        </is>
      </c>
      <c r="N938" s="77">
        <f>IF(ISNUMBER(stage4_de!J36),stage4_de!J36*10,"")</f>
        <v/>
      </c>
      <c r="O938" s="77" t="inlineStr">
        <is>
          <t>EUR/MWh nominal</t>
        </is>
      </c>
    </row>
    <row r="939" ht="15" customHeight="1" s="78">
      <c r="A939" s="77" t="inlineStr">
        <is>
          <t>DE</t>
        </is>
      </c>
      <c r="B939" s="77" t="n">
        <v>2017</v>
      </c>
      <c r="C939" s="77" t="inlineStr">
        <is>
          <t>medium</t>
        </is>
      </c>
      <c r="D939" s="77" t="inlineStr">
        <is>
          <t>E1</t>
        </is>
      </c>
      <c r="E939" s="77" t="inlineStr">
        <is>
          <t>Wholesale (as large)</t>
        </is>
      </c>
      <c r="F939" s="77" t="inlineStr">
        <is>
          <t>1 Commodity</t>
        </is>
      </c>
      <c r="G939" s="77" t="inlineStr">
        <is>
          <t>wholesale market</t>
        </is>
      </c>
      <c r="H939" s="77" t="inlineStr">
        <is>
          <t>i</t>
        </is>
      </c>
      <c r="I939" s="77">
        <f>IF(ISNUMBER(N939),N939*fx_deflator!$J$12*fx_deflator!$M$12,"")</f>
        <v/>
      </c>
      <c r="J939" s="77" t="inlineStr">
        <is>
          <t>BNetzA Monitoringberichte — Phelix base front-year by trading yr -&gt; delivery yr; 2026 = D29</t>
        </is>
      </c>
      <c r="K939" s="77" t="inlineStr">
        <is>
          <t>stage4_de r7</t>
        </is>
      </c>
      <c r="L939" s="77" t="inlineStr">
        <is>
          <t>2026-07-15</t>
        </is>
      </c>
      <c r="M939" s="77" t="inlineStr">
        <is>
          <t>Y</t>
        </is>
      </c>
      <c r="N939" s="136">
        <f>IF(ISNUMBER(timeseries!K57),timeseries!K57,"")</f>
        <v/>
      </c>
      <c r="O939" s="77" t="inlineStr">
        <is>
          <t>EUR/MWh nominal</t>
        </is>
      </c>
    </row>
    <row r="940" ht="15" customHeight="1" s="78">
      <c r="A940" s="77" t="inlineStr">
        <is>
          <t>DE</t>
        </is>
      </c>
      <c r="B940" s="77" t="n">
        <v>2017</v>
      </c>
      <c r="C940" s="77" t="inlineStr">
        <is>
          <t>medium</t>
        </is>
      </c>
      <c r="D940" s="77" t="inlineStr">
        <is>
          <t>E1</t>
        </is>
      </c>
      <c r="E940" s="77" t="inlineStr">
        <is>
          <t>Netzentgelte MS (Westnetz; MB bridge 2010-12)</t>
        </is>
      </c>
      <c r="F940" s="77" t="inlineStr">
        <is>
          <t>3 Network</t>
        </is>
      </c>
      <c r="G940" s="77" t="inlineStr">
        <is>
          <t>distribution network charge</t>
        </is>
      </c>
      <c r="H940" s="77" t="inlineStr">
        <is>
          <t>i</t>
        </is>
      </c>
      <c r="I940" s="77">
        <f>IF(ISNUMBER(N940),N940*fx_deflator!$J$12*fx_deflator!$M$12,"")</f>
        <v/>
      </c>
      <c r="J940" s="77" t="inlineStr">
        <is>
          <t>Westnetz Preisblaetter (2013+, Wayback); BNetzA MB national avg bridge 2010-12 (D20)</t>
        </is>
      </c>
      <c r="K940" s="77" t="inlineStr">
        <is>
          <t>stage4_de r15-17</t>
        </is>
      </c>
      <c r="L940" s="77" t="inlineStr">
        <is>
          <t>2026-07-15</t>
        </is>
      </c>
      <c r="M940" s="77" t="inlineStr">
        <is>
          <t>Y</t>
        </is>
      </c>
      <c r="N940" s="136">
        <f>IF(ISNUMBER(timeseries!K58),timeseries!K58,"")</f>
        <v/>
      </c>
      <c r="O940" s="77" t="inlineStr">
        <is>
          <t>EUR/MWh nominal</t>
        </is>
      </c>
      <c r="P940" s="77" t="inlineStr">
        <is>
          <t>no sec.19 relief at 5,000h (fails Satz 2) — E1=E2</t>
        </is>
      </c>
    </row>
    <row r="941" ht="15" customHeight="1" s="78">
      <c r="A941" s="77" t="inlineStr">
        <is>
          <t>DE</t>
        </is>
      </c>
      <c r="B941" s="77" t="n">
        <v>2017</v>
      </c>
      <c r="C941" s="77" t="inlineStr">
        <is>
          <t>medium</t>
        </is>
      </c>
      <c r="D941" s="77" t="inlineStr">
        <is>
          <t>E1</t>
        </is>
      </c>
      <c r="E941" s="77" t="inlineStr">
        <is>
          <t>EEG-Umlage (full)</t>
        </is>
      </c>
      <c r="F941" s="77" t="inlineStr">
        <is>
          <t>2 Gen capital recovery</t>
        </is>
      </c>
      <c r="G941" s="77" t="inlineStr">
        <is>
          <t>renewables levy (Umlage)</t>
        </is>
      </c>
      <c r="H941" s="77" t="inlineStr">
        <is>
          <t>i (0 from 07/2022 — taxpayer, see HATCH iii)</t>
        </is>
      </c>
      <c r="I941" s="77">
        <f>IF(ISNUMBER(N941),N941*fx_deflator!$J$12*fx_deflator!$M$12,"")</f>
        <v/>
      </c>
      <c r="J941" s="77" t="inlineStr">
        <is>
          <t>netztransparenz.de EEG-Umlagen der Vorjahre + per-year pages</t>
        </is>
      </c>
      <c r="K941" s="77" t="inlineStr">
        <is>
          <t>stage4_de r21</t>
        </is>
      </c>
      <c r="L941" s="77" t="inlineStr">
        <is>
          <t>2026-07-15</t>
        </is>
      </c>
      <c r="M941" s="77" t="inlineStr">
        <is>
          <t>N</t>
        </is>
      </c>
      <c r="N941" s="77">
        <f>IF(ISNUMBER(stage4_de!K21),stage4_de!K21*10,"")</f>
        <v/>
      </c>
      <c r="O941" s="77" t="inlineStr">
        <is>
          <t>EUR/MWh nominal</t>
        </is>
      </c>
    </row>
    <row r="942" ht="15" customHeight="1" s="78">
      <c r="A942" s="77" t="inlineStr">
        <is>
          <t>DE</t>
        </is>
      </c>
      <c r="B942" s="77" t="n">
        <v>2017</v>
      </c>
      <c r="C942" s="77" t="inlineStr">
        <is>
          <t>medium</t>
        </is>
      </c>
      <c r="D942" s="77" t="inlineStr">
        <is>
          <t>E1</t>
        </is>
      </c>
      <c r="E942" s="77" t="inlineStr">
        <is>
          <t>KWKG-Umlage (tranche blend at 20 GWh)</t>
        </is>
      </c>
      <c r="F942" s="77" t="inlineStr">
        <is>
          <t>2 Gen capital recovery</t>
        </is>
      </c>
      <c r="G942" s="77" t="inlineStr">
        <is>
          <t>CHP levy (Umlage)</t>
        </is>
      </c>
      <c r="H942" s="77" t="inlineStr">
        <is>
          <t>i</t>
        </is>
      </c>
      <c r="I942" s="77">
        <f>IF(ISNUMBER(N942),N942*fx_deflator!$J$12*fx_deflator!$M$12,"")</f>
        <v/>
      </c>
      <c r="J942" s="77" t="inlineStr">
        <is>
          <t>netztransparenz Uebersicht KWKG-Aufschlaege 2002-2016 + per-year pages; tranche blends</t>
        </is>
      </c>
      <c r="K942" s="77" t="inlineStr">
        <is>
          <t>stage4_de r22-24</t>
        </is>
      </c>
      <c r="L942" s="77" t="inlineStr">
        <is>
          <t>2026-07-15</t>
        </is>
      </c>
      <c r="M942" s="77" t="inlineStr">
        <is>
          <t>Y</t>
        </is>
      </c>
      <c r="N942" s="77">
        <f>stage4_de!K22*10</f>
        <v/>
      </c>
      <c r="O942" s="77" t="inlineStr">
        <is>
          <t>EUR/MWh nominal</t>
        </is>
      </c>
    </row>
    <row r="943" ht="15" customHeight="1" s="78">
      <c r="A943" s="77" t="inlineStr">
        <is>
          <t>DE</t>
        </is>
      </c>
      <c r="B943" s="77" t="n">
        <v>2017</v>
      </c>
      <c r="C943" s="77" t="inlineStr">
        <is>
          <t>medium</t>
        </is>
      </c>
      <c r="D943" s="77" t="inlineStr">
        <is>
          <t>E1</t>
        </is>
      </c>
      <c r="E943" s="77" t="inlineStr">
        <is>
          <t>sec.19 StromNEV-Umlage (blend at 20 GWh)</t>
        </is>
      </c>
      <c r="F943" s="77" t="inlineStr">
        <is>
          <t>4 System services &amp; balancing</t>
        </is>
      </c>
      <c r="G943" s="77" t="inlineStr">
        <is>
          <t>network levy (Umlage)</t>
        </is>
      </c>
      <c r="H943" s="77" t="inlineStr">
        <is>
          <t>ii (pays for other users relief)</t>
        </is>
      </c>
      <c r="I943" s="77">
        <f>IF(ISNUMBER(N943),N943*fx_deflator!$J$12*fx_deflator!$M$12,"")</f>
        <v/>
      </c>
      <c r="J943" s="77" t="inlineStr">
        <is>
          <t>netztransparenz per-year Umlagen pages (A-prime/B-prime/C-prime)</t>
        </is>
      </c>
      <c r="K943" s="77" t="inlineStr">
        <is>
          <t>stage4_de r25-27</t>
        </is>
      </c>
      <c r="L943" s="77" t="inlineStr">
        <is>
          <t>2026-07-15</t>
        </is>
      </c>
      <c r="M943" s="77" t="inlineStr">
        <is>
          <t>Y</t>
        </is>
      </c>
      <c r="N943" s="77">
        <f>(1*stage4_de!K25+19*stage4_de!K26)/20*10</f>
        <v/>
      </c>
      <c r="O943" s="77" t="inlineStr">
        <is>
          <t>EUR/MWh nominal</t>
        </is>
      </c>
    </row>
    <row r="944" ht="15" customHeight="1" s="78">
      <c r="A944" s="77" t="inlineStr">
        <is>
          <t>DE</t>
        </is>
      </c>
      <c r="B944" s="77" t="n">
        <v>2017</v>
      </c>
      <c r="C944" s="77" t="inlineStr">
        <is>
          <t>medium</t>
        </is>
      </c>
      <c r="D944" s="77" t="inlineStr">
        <is>
          <t>E1</t>
        </is>
      </c>
      <c r="E944" s="77" t="inlineStr">
        <is>
          <t>Offshore-Netzumlage (blend at 20 GWh to 2018)</t>
        </is>
      </c>
      <c r="F944" s="77" t="inlineStr">
        <is>
          <t>2 Gen capital recovery</t>
        </is>
      </c>
      <c r="G944" s="77" t="inlineStr">
        <is>
          <t>offshore grid levy (Umlage)</t>
        </is>
      </c>
      <c r="H944" s="77" t="inlineStr">
        <is>
          <t>i</t>
        </is>
      </c>
      <c r="I944" s="77">
        <f>IF(ISNUMBER(N944),N944*fx_deflator!$J$12*fx_deflator!$M$12,"")</f>
        <v/>
      </c>
      <c r="J944" s="77" t="inlineStr">
        <is>
          <t>netztransparenz Offshore-Umlage per-year pages</t>
        </is>
      </c>
      <c r="K944" s="77" t="inlineStr">
        <is>
          <t>stage4_de r28-30</t>
        </is>
      </c>
      <c r="L944" s="77" t="inlineStr">
        <is>
          <t>2026-07-15</t>
        </is>
      </c>
      <c r="M944" s="77" t="inlineStr">
        <is>
          <t>Y</t>
        </is>
      </c>
      <c r="N944" s="77">
        <f>(1*stage4_de!K28+19*stage4_de!K29)/20*10</f>
        <v/>
      </c>
      <c r="O944" s="77" t="inlineStr">
        <is>
          <t>EUR/MWh nominal</t>
        </is>
      </c>
    </row>
    <row r="945" ht="15" customHeight="1" s="78">
      <c r="A945" s="77" t="inlineStr">
        <is>
          <t>DE</t>
        </is>
      </c>
      <c r="B945" s="77" t="n">
        <v>2017</v>
      </c>
      <c r="C945" s="77" t="inlineStr">
        <is>
          <t>medium</t>
        </is>
      </c>
      <c r="D945" s="77" t="inlineStr">
        <is>
          <t>E1</t>
        </is>
      </c>
      <c r="E945" s="77" t="inlineStr">
        <is>
          <t>AbLaV-Umlage</t>
        </is>
      </c>
      <c r="F945" s="77" t="inlineStr">
        <is>
          <t>4 System services &amp; balancing</t>
        </is>
      </c>
      <c r="G945" s="77" t="inlineStr">
        <is>
          <t>interruptible-load levy (Umlage)</t>
        </is>
      </c>
      <c r="H945" s="77" t="inlineStr">
        <is>
          <t>i</t>
        </is>
      </c>
      <c r="I945" s="77">
        <f>IF(ISNUMBER(N945),N945*fx_deflator!$J$12*fx_deflator!$M$12,"")</f>
        <v/>
      </c>
      <c r="J945" s="77" t="inlineStr">
        <is>
          <t>netztransparenz AbLaV-Umlage per-year pages (ends 2022)</t>
        </is>
      </c>
      <c r="K945" s="77" t="inlineStr">
        <is>
          <t>stage4_de r31</t>
        </is>
      </c>
      <c r="L945" s="77" t="inlineStr">
        <is>
          <t>2026-07-15</t>
        </is>
      </c>
      <c r="M945" s="77" t="inlineStr">
        <is>
          <t>N</t>
        </is>
      </c>
      <c r="N945" s="77">
        <f>IF(ISNUMBER(stage4_de!K31),stage4_de!K31*10,"")</f>
        <v/>
      </c>
      <c r="O945" s="77" t="inlineStr">
        <is>
          <t>EUR/MWh nominal</t>
        </is>
      </c>
    </row>
    <row r="946" ht="15" customHeight="1" s="78">
      <c r="A946" s="77" t="inlineStr">
        <is>
          <t>DE</t>
        </is>
      </c>
      <c r="B946" s="77" t="n">
        <v>2017</v>
      </c>
      <c r="C946" s="77" t="inlineStr">
        <is>
          <t>medium</t>
        </is>
      </c>
      <c r="D946" s="77" t="inlineStr">
        <is>
          <t>E1</t>
        </is>
      </c>
      <c r="E946" s="77" t="inlineStr">
        <is>
          <t>Stromsteuer (full sec.3)</t>
        </is>
      </c>
      <c r="F946" s="77" t="inlineStr">
        <is>
          <t>5 General taxation &amp; levies</t>
        </is>
      </c>
      <c r="G946" s="77" t="inlineStr">
        <is>
          <t>electricity tax</t>
        </is>
      </c>
      <c r="H946" s="77" t="inlineStr">
        <is>
          <t>i</t>
        </is>
      </c>
      <c r="I946" s="77">
        <f>IF(ISNUMBER(N946),N946*fx_deflator!$J$12*fx_deflator!$M$12,"")</f>
        <v/>
      </c>
      <c r="J946" s="77" t="inlineStr">
        <is>
          <t>StromStG sec.3/sec.9b (BGBl. 2025 I Nr. 340: 0.50 permanent from 2026); gesetze-im-internet.de</t>
        </is>
      </c>
      <c r="K946" s="77" t="inlineStr">
        <is>
          <t>stage4_de r34-35</t>
        </is>
      </c>
      <c r="L946" s="77" t="inlineStr">
        <is>
          <t>2026-07-15</t>
        </is>
      </c>
      <c r="M946" s="77" t="inlineStr">
        <is>
          <t>N</t>
        </is>
      </c>
      <c r="N946" s="77">
        <f>IF(ISNUMBER(stage4_de!K34),stage4_de!K34,"")</f>
        <v/>
      </c>
      <c r="O946" s="77" t="inlineStr">
        <is>
          <t>EUR/MWh nominal</t>
        </is>
      </c>
    </row>
    <row r="947" ht="15" customHeight="1" s="78">
      <c r="A947" s="77" t="inlineStr">
        <is>
          <t>DE</t>
        </is>
      </c>
      <c r="B947" s="77" t="n">
        <v>2017</v>
      </c>
      <c r="C947" s="77" t="inlineStr">
        <is>
          <t>medium</t>
        </is>
      </c>
      <c r="D947" s="77" t="inlineStr">
        <is>
          <t>E1</t>
        </is>
      </c>
      <c r="E947" s="77" t="inlineStr">
        <is>
          <t>Konzessionsabgabe (0 via Grenzpreis)</t>
        </is>
      </c>
      <c r="F947" s="77" t="inlineStr">
        <is>
          <t>5 General taxation &amp; levies</t>
        </is>
      </c>
      <c r="G947" s="77" t="inlineStr">
        <is>
          <t>concession fee</t>
        </is>
      </c>
      <c r="H947" s="77" t="inlineStr">
        <is>
          <t>i</t>
        </is>
      </c>
      <c r="I947" s="77">
        <f>IF(ISNUMBER(N947),N947*fx_deflator!$J$12*fx_deflator!$M$12,"")</f>
        <v/>
      </c>
      <c r="J947" s="77" t="inlineStr">
        <is>
          <t>KAV sec.2(3)/(4) Grenzpreis rule -&gt; 0 for Sondervertragskunden</t>
        </is>
      </c>
      <c r="K947" s="77" t="inlineStr">
        <is>
          <t>stage4_de r36</t>
        </is>
      </c>
      <c r="L947" s="77" t="inlineStr">
        <is>
          <t>2026-07-15</t>
        </is>
      </c>
      <c r="M947" s="77" t="inlineStr">
        <is>
          <t>N</t>
        </is>
      </c>
      <c r="N947" s="77">
        <f>IF(ISNUMBER(stage4_de!K36),stage4_de!K36*10,"")</f>
        <v/>
      </c>
      <c r="O947" s="77" t="inlineStr">
        <is>
          <t>EUR/MWh nominal</t>
        </is>
      </c>
    </row>
    <row r="948" ht="15" customHeight="1" s="78">
      <c r="A948" s="77" t="inlineStr">
        <is>
          <t>DE</t>
        </is>
      </c>
      <c r="B948" s="77" t="n">
        <v>2018</v>
      </c>
      <c r="C948" s="77" t="inlineStr">
        <is>
          <t>medium</t>
        </is>
      </c>
      <c r="D948" s="77" t="inlineStr">
        <is>
          <t>E1</t>
        </is>
      </c>
      <c r="E948" s="77" t="inlineStr">
        <is>
          <t>Wholesale (as large)</t>
        </is>
      </c>
      <c r="F948" s="77" t="inlineStr">
        <is>
          <t>1 Commodity</t>
        </is>
      </c>
      <c r="G948" s="77" t="inlineStr">
        <is>
          <t>wholesale market</t>
        </is>
      </c>
      <c r="H948" s="77" t="inlineStr">
        <is>
          <t>i</t>
        </is>
      </c>
      <c r="I948" s="77">
        <f>IF(ISNUMBER(N948),N948*fx_deflator!$J$13*fx_deflator!$M$13,"")</f>
        <v/>
      </c>
      <c r="J948" s="77" t="inlineStr">
        <is>
          <t>BNetzA Monitoringberichte — Phelix base front-year by trading yr -&gt; delivery yr; 2026 = D29</t>
        </is>
      </c>
      <c r="K948" s="77" t="inlineStr">
        <is>
          <t>stage4_de r7</t>
        </is>
      </c>
      <c r="L948" s="77" t="inlineStr">
        <is>
          <t>2026-07-15</t>
        </is>
      </c>
      <c r="M948" s="77" t="inlineStr">
        <is>
          <t>Y</t>
        </is>
      </c>
      <c r="N948" s="136">
        <f>IF(ISNUMBER(timeseries!L57),timeseries!L57,"")</f>
        <v/>
      </c>
      <c r="O948" s="77" t="inlineStr">
        <is>
          <t>EUR/MWh nominal</t>
        </is>
      </c>
    </row>
    <row r="949" ht="15" customHeight="1" s="78">
      <c r="A949" s="77" t="inlineStr">
        <is>
          <t>DE</t>
        </is>
      </c>
      <c r="B949" s="77" t="n">
        <v>2018</v>
      </c>
      <c r="C949" s="77" t="inlineStr">
        <is>
          <t>medium</t>
        </is>
      </c>
      <c r="D949" s="77" t="inlineStr">
        <is>
          <t>E1</t>
        </is>
      </c>
      <c r="E949" s="77" t="inlineStr">
        <is>
          <t>Netzentgelte MS (Westnetz; MB bridge 2010-12)</t>
        </is>
      </c>
      <c r="F949" s="77" t="inlineStr">
        <is>
          <t>3 Network</t>
        </is>
      </c>
      <c r="G949" s="77" t="inlineStr">
        <is>
          <t>distribution network charge</t>
        </is>
      </c>
      <c r="H949" s="77" t="inlineStr">
        <is>
          <t>i</t>
        </is>
      </c>
      <c r="I949" s="77">
        <f>IF(ISNUMBER(N949),N949*fx_deflator!$J$13*fx_deflator!$M$13,"")</f>
        <v/>
      </c>
      <c r="J949" s="77" t="inlineStr">
        <is>
          <t>Westnetz Preisblaetter (2013+, Wayback); BNetzA MB national avg bridge 2010-12 (D20)</t>
        </is>
      </c>
      <c r="K949" s="77" t="inlineStr">
        <is>
          <t>stage4_de r15-17</t>
        </is>
      </c>
      <c r="L949" s="77" t="inlineStr">
        <is>
          <t>2026-07-15</t>
        </is>
      </c>
      <c r="M949" s="77" t="inlineStr">
        <is>
          <t>Y</t>
        </is>
      </c>
      <c r="N949" s="136">
        <f>IF(ISNUMBER(timeseries!L58),timeseries!L58,"")</f>
        <v/>
      </c>
      <c r="O949" s="77" t="inlineStr">
        <is>
          <t>EUR/MWh nominal</t>
        </is>
      </c>
      <c r="P949" s="77" t="inlineStr">
        <is>
          <t>no sec.19 relief at 5,000h (fails Satz 2) — E1=E2</t>
        </is>
      </c>
    </row>
    <row r="950" ht="15" customHeight="1" s="78">
      <c r="A950" s="77" t="inlineStr">
        <is>
          <t>DE</t>
        </is>
      </c>
      <c r="B950" s="77" t="n">
        <v>2018</v>
      </c>
      <c r="C950" s="77" t="inlineStr">
        <is>
          <t>medium</t>
        </is>
      </c>
      <c r="D950" s="77" t="inlineStr">
        <is>
          <t>E1</t>
        </is>
      </c>
      <c r="E950" s="77" t="inlineStr">
        <is>
          <t>EEG-Umlage (full)</t>
        </is>
      </c>
      <c r="F950" s="77" t="inlineStr">
        <is>
          <t>2 Gen capital recovery</t>
        </is>
      </c>
      <c r="G950" s="77" t="inlineStr">
        <is>
          <t>renewables levy (Umlage)</t>
        </is>
      </c>
      <c r="H950" s="77" t="inlineStr">
        <is>
          <t>i (0 from 07/2022 — taxpayer, see HATCH iii)</t>
        </is>
      </c>
      <c r="I950" s="77">
        <f>IF(ISNUMBER(N950),N950*fx_deflator!$J$13*fx_deflator!$M$13,"")</f>
        <v/>
      </c>
      <c r="J950" s="77" t="inlineStr">
        <is>
          <t>netztransparenz.de EEG-Umlagen der Vorjahre + per-year pages</t>
        </is>
      </c>
      <c r="K950" s="77" t="inlineStr">
        <is>
          <t>stage4_de r21</t>
        </is>
      </c>
      <c r="L950" s="77" t="inlineStr">
        <is>
          <t>2026-07-15</t>
        </is>
      </c>
      <c r="M950" s="77" t="inlineStr">
        <is>
          <t>N</t>
        </is>
      </c>
      <c r="N950" s="77">
        <f>IF(ISNUMBER(stage4_de!L21),stage4_de!L21*10,"")</f>
        <v/>
      </c>
      <c r="O950" s="77" t="inlineStr">
        <is>
          <t>EUR/MWh nominal</t>
        </is>
      </c>
    </row>
    <row r="951" ht="15" customHeight="1" s="78">
      <c r="A951" s="77" t="inlineStr">
        <is>
          <t>DE</t>
        </is>
      </c>
      <c r="B951" s="77" t="n">
        <v>2018</v>
      </c>
      <c r="C951" s="77" t="inlineStr">
        <is>
          <t>medium</t>
        </is>
      </c>
      <c r="D951" s="77" t="inlineStr">
        <is>
          <t>E1</t>
        </is>
      </c>
      <c r="E951" s="77" t="inlineStr">
        <is>
          <t>KWKG-Umlage (tranche blend at 20 GWh)</t>
        </is>
      </c>
      <c r="F951" s="77" t="inlineStr">
        <is>
          <t>2 Gen capital recovery</t>
        </is>
      </c>
      <c r="G951" s="77" t="inlineStr">
        <is>
          <t>CHP levy (Umlage)</t>
        </is>
      </c>
      <c r="H951" s="77" t="inlineStr">
        <is>
          <t>i</t>
        </is>
      </c>
      <c r="I951" s="77">
        <f>IF(ISNUMBER(N951),N951*fx_deflator!$J$13*fx_deflator!$M$13,"")</f>
        <v/>
      </c>
      <c r="J951" s="77" t="inlineStr">
        <is>
          <t>netztransparenz Uebersicht KWKG-Aufschlaege 2002-2016 + per-year pages; tranche blends</t>
        </is>
      </c>
      <c r="K951" s="77" t="inlineStr">
        <is>
          <t>stage4_de r22-24</t>
        </is>
      </c>
      <c r="L951" s="77" t="inlineStr">
        <is>
          <t>2026-07-15</t>
        </is>
      </c>
      <c r="M951" s="77" t="inlineStr">
        <is>
          <t>Y</t>
        </is>
      </c>
      <c r="N951" s="77">
        <f>stage4_de!L22*10</f>
        <v/>
      </c>
      <c r="O951" s="77" t="inlineStr">
        <is>
          <t>EUR/MWh nominal</t>
        </is>
      </c>
    </row>
    <row r="952" ht="15" customHeight="1" s="78">
      <c r="A952" s="77" t="inlineStr">
        <is>
          <t>DE</t>
        </is>
      </c>
      <c r="B952" s="77" t="n">
        <v>2018</v>
      </c>
      <c r="C952" s="77" t="inlineStr">
        <is>
          <t>medium</t>
        </is>
      </c>
      <c r="D952" s="77" t="inlineStr">
        <is>
          <t>E1</t>
        </is>
      </c>
      <c r="E952" s="77" t="inlineStr">
        <is>
          <t>sec.19 StromNEV-Umlage (blend at 20 GWh)</t>
        </is>
      </c>
      <c r="F952" s="77" t="inlineStr">
        <is>
          <t>4 System services &amp; balancing</t>
        </is>
      </c>
      <c r="G952" s="77" t="inlineStr">
        <is>
          <t>network levy (Umlage)</t>
        </is>
      </c>
      <c r="H952" s="77" t="inlineStr">
        <is>
          <t>ii (pays for other users relief)</t>
        </is>
      </c>
      <c r="I952" s="77">
        <f>IF(ISNUMBER(N952),N952*fx_deflator!$J$13*fx_deflator!$M$13,"")</f>
        <v/>
      </c>
      <c r="J952" s="77" t="inlineStr">
        <is>
          <t>netztransparenz per-year Umlagen pages (A-prime/B-prime/C-prime)</t>
        </is>
      </c>
      <c r="K952" s="77" t="inlineStr">
        <is>
          <t>stage4_de r25-27</t>
        </is>
      </c>
      <c r="L952" s="77" t="inlineStr">
        <is>
          <t>2026-07-15</t>
        </is>
      </c>
      <c r="M952" s="77" t="inlineStr">
        <is>
          <t>Y</t>
        </is>
      </c>
      <c r="N952" s="77">
        <f>(1*stage4_de!L25+19*stage4_de!L26)/20*10</f>
        <v/>
      </c>
      <c r="O952" s="77" t="inlineStr">
        <is>
          <t>EUR/MWh nominal</t>
        </is>
      </c>
    </row>
    <row r="953" ht="15" customHeight="1" s="78">
      <c r="A953" s="77" t="inlineStr">
        <is>
          <t>DE</t>
        </is>
      </c>
      <c r="B953" s="77" t="n">
        <v>2018</v>
      </c>
      <c r="C953" s="77" t="inlineStr">
        <is>
          <t>medium</t>
        </is>
      </c>
      <c r="D953" s="77" t="inlineStr">
        <is>
          <t>E1</t>
        </is>
      </c>
      <c r="E953" s="77" t="inlineStr">
        <is>
          <t>Offshore-Netzumlage (blend at 20 GWh to 2018)</t>
        </is>
      </c>
      <c r="F953" s="77" t="inlineStr">
        <is>
          <t>2 Gen capital recovery</t>
        </is>
      </c>
      <c r="G953" s="77" t="inlineStr">
        <is>
          <t>offshore grid levy (Umlage)</t>
        </is>
      </c>
      <c r="H953" s="77" t="inlineStr">
        <is>
          <t>i</t>
        </is>
      </c>
      <c r="I953" s="77">
        <f>IF(ISNUMBER(N953),N953*fx_deflator!$J$13*fx_deflator!$M$13,"")</f>
        <v/>
      </c>
      <c r="J953" s="77" t="inlineStr">
        <is>
          <t>netztransparenz Offshore-Umlage per-year pages</t>
        </is>
      </c>
      <c r="K953" s="77" t="inlineStr">
        <is>
          <t>stage4_de r28-30</t>
        </is>
      </c>
      <c r="L953" s="77" t="inlineStr">
        <is>
          <t>2026-07-15</t>
        </is>
      </c>
      <c r="M953" s="77" t="inlineStr">
        <is>
          <t>Y</t>
        </is>
      </c>
      <c r="N953" s="77">
        <f>(1*stage4_de!L28+19*stage4_de!L29)/20*10</f>
        <v/>
      </c>
      <c r="O953" s="77" t="inlineStr">
        <is>
          <t>EUR/MWh nominal</t>
        </is>
      </c>
    </row>
    <row r="954" ht="15" customHeight="1" s="78">
      <c r="A954" s="77" t="inlineStr">
        <is>
          <t>DE</t>
        </is>
      </c>
      <c r="B954" s="77" t="n">
        <v>2018</v>
      </c>
      <c r="C954" s="77" t="inlineStr">
        <is>
          <t>medium</t>
        </is>
      </c>
      <c r="D954" s="77" t="inlineStr">
        <is>
          <t>E1</t>
        </is>
      </c>
      <c r="E954" s="77" t="inlineStr">
        <is>
          <t>AbLaV-Umlage</t>
        </is>
      </c>
      <c r="F954" s="77" t="inlineStr">
        <is>
          <t>4 System services &amp; balancing</t>
        </is>
      </c>
      <c r="G954" s="77" t="inlineStr">
        <is>
          <t>interruptible-load levy (Umlage)</t>
        </is>
      </c>
      <c r="H954" s="77" t="inlineStr">
        <is>
          <t>i</t>
        </is>
      </c>
      <c r="I954" s="77">
        <f>IF(ISNUMBER(N954),N954*fx_deflator!$J$13*fx_deflator!$M$13,"")</f>
        <v/>
      </c>
      <c r="J954" s="77" t="inlineStr">
        <is>
          <t>netztransparenz AbLaV-Umlage per-year pages (ends 2022)</t>
        </is>
      </c>
      <c r="K954" s="77" t="inlineStr">
        <is>
          <t>stage4_de r31</t>
        </is>
      </c>
      <c r="L954" s="77" t="inlineStr">
        <is>
          <t>2026-07-15</t>
        </is>
      </c>
      <c r="M954" s="77" t="inlineStr">
        <is>
          <t>N</t>
        </is>
      </c>
      <c r="N954" s="77">
        <f>IF(ISNUMBER(stage4_de!L31),stage4_de!L31*10,"")</f>
        <v/>
      </c>
      <c r="O954" s="77" t="inlineStr">
        <is>
          <t>EUR/MWh nominal</t>
        </is>
      </c>
    </row>
    <row r="955" ht="15" customHeight="1" s="78">
      <c r="A955" s="77" t="inlineStr">
        <is>
          <t>DE</t>
        </is>
      </c>
      <c r="B955" s="77" t="n">
        <v>2018</v>
      </c>
      <c r="C955" s="77" t="inlineStr">
        <is>
          <t>medium</t>
        </is>
      </c>
      <c r="D955" s="77" t="inlineStr">
        <is>
          <t>E1</t>
        </is>
      </c>
      <c r="E955" s="77" t="inlineStr">
        <is>
          <t>Stromsteuer (full sec.3)</t>
        </is>
      </c>
      <c r="F955" s="77" t="inlineStr">
        <is>
          <t>5 General taxation &amp; levies</t>
        </is>
      </c>
      <c r="G955" s="77" t="inlineStr">
        <is>
          <t>electricity tax</t>
        </is>
      </c>
      <c r="H955" s="77" t="inlineStr">
        <is>
          <t>i</t>
        </is>
      </c>
      <c r="I955" s="77">
        <f>IF(ISNUMBER(N955),N955*fx_deflator!$J$13*fx_deflator!$M$13,"")</f>
        <v/>
      </c>
      <c r="J955" s="77" t="inlineStr">
        <is>
          <t>StromStG sec.3/sec.9b (BGBl. 2025 I Nr. 340: 0.50 permanent from 2026); gesetze-im-internet.de</t>
        </is>
      </c>
      <c r="K955" s="77" t="inlineStr">
        <is>
          <t>stage4_de r34-35</t>
        </is>
      </c>
      <c r="L955" s="77" t="inlineStr">
        <is>
          <t>2026-07-15</t>
        </is>
      </c>
      <c r="M955" s="77" t="inlineStr">
        <is>
          <t>N</t>
        </is>
      </c>
      <c r="N955" s="77">
        <f>IF(ISNUMBER(stage4_de!L34),stage4_de!L34,"")</f>
        <v/>
      </c>
      <c r="O955" s="77" t="inlineStr">
        <is>
          <t>EUR/MWh nominal</t>
        </is>
      </c>
    </row>
    <row r="956" ht="15" customHeight="1" s="78">
      <c r="A956" s="77" t="inlineStr">
        <is>
          <t>DE</t>
        </is>
      </c>
      <c r="B956" s="77" t="n">
        <v>2018</v>
      </c>
      <c r="C956" s="77" t="inlineStr">
        <is>
          <t>medium</t>
        </is>
      </c>
      <c r="D956" s="77" t="inlineStr">
        <is>
          <t>E1</t>
        </is>
      </c>
      <c r="E956" s="77" t="inlineStr">
        <is>
          <t>Konzessionsabgabe (0 via Grenzpreis)</t>
        </is>
      </c>
      <c r="F956" s="77" t="inlineStr">
        <is>
          <t>5 General taxation &amp; levies</t>
        </is>
      </c>
      <c r="G956" s="77" t="inlineStr">
        <is>
          <t>concession fee</t>
        </is>
      </c>
      <c r="H956" s="77" t="inlineStr">
        <is>
          <t>i</t>
        </is>
      </c>
      <c r="I956" s="77">
        <f>IF(ISNUMBER(N956),N956*fx_deflator!$J$13*fx_deflator!$M$13,"")</f>
        <v/>
      </c>
      <c r="J956" s="77" t="inlineStr">
        <is>
          <t>KAV sec.2(3)/(4) Grenzpreis rule -&gt; 0 for Sondervertragskunden</t>
        </is>
      </c>
      <c r="K956" s="77" t="inlineStr">
        <is>
          <t>stage4_de r36</t>
        </is>
      </c>
      <c r="L956" s="77" t="inlineStr">
        <is>
          <t>2026-07-15</t>
        </is>
      </c>
      <c r="M956" s="77" t="inlineStr">
        <is>
          <t>N</t>
        </is>
      </c>
      <c r="N956" s="77">
        <f>IF(ISNUMBER(stage4_de!L36),stage4_de!L36*10,"")</f>
        <v/>
      </c>
      <c r="O956" s="77" t="inlineStr">
        <is>
          <t>EUR/MWh nominal</t>
        </is>
      </c>
    </row>
    <row r="957" ht="15" customHeight="1" s="78">
      <c r="A957" s="77" t="inlineStr">
        <is>
          <t>DE</t>
        </is>
      </c>
      <c r="B957" s="77" t="n">
        <v>2019</v>
      </c>
      <c r="C957" s="77" t="inlineStr">
        <is>
          <t>medium</t>
        </is>
      </c>
      <c r="D957" s="77" t="inlineStr">
        <is>
          <t>E1</t>
        </is>
      </c>
      <c r="E957" s="77" t="inlineStr">
        <is>
          <t>Wholesale (as large)</t>
        </is>
      </c>
      <c r="F957" s="77" t="inlineStr">
        <is>
          <t>1 Commodity</t>
        </is>
      </c>
      <c r="G957" s="77" t="inlineStr">
        <is>
          <t>wholesale market</t>
        </is>
      </c>
      <c r="H957" s="77" t="inlineStr">
        <is>
          <t>i</t>
        </is>
      </c>
      <c r="I957" s="77">
        <f>IF(ISNUMBER(N957),N957*fx_deflator!$J$14*fx_deflator!$M$14,"")</f>
        <v/>
      </c>
      <c r="J957" s="77" t="inlineStr">
        <is>
          <t>BNetzA Monitoringberichte — Phelix base front-year by trading yr -&gt; delivery yr; 2026 = D29</t>
        </is>
      </c>
      <c r="K957" s="77" t="inlineStr">
        <is>
          <t>stage4_de r7</t>
        </is>
      </c>
      <c r="L957" s="77" t="inlineStr">
        <is>
          <t>2026-07-15</t>
        </is>
      </c>
      <c r="M957" s="77" t="inlineStr">
        <is>
          <t>Y</t>
        </is>
      </c>
      <c r="N957" s="136">
        <f>IF(ISNUMBER(timeseries!M57),timeseries!M57,"")</f>
        <v/>
      </c>
      <c r="O957" s="77" t="inlineStr">
        <is>
          <t>EUR/MWh nominal</t>
        </is>
      </c>
    </row>
    <row r="958" ht="15" customHeight="1" s="78">
      <c r="A958" s="77" t="inlineStr">
        <is>
          <t>DE</t>
        </is>
      </c>
      <c r="B958" s="77" t="n">
        <v>2019</v>
      </c>
      <c r="C958" s="77" t="inlineStr">
        <is>
          <t>medium</t>
        </is>
      </c>
      <c r="D958" s="77" t="inlineStr">
        <is>
          <t>E1</t>
        </is>
      </c>
      <c r="E958" s="77" t="inlineStr">
        <is>
          <t>Netzentgelte MS (Westnetz; MB bridge 2010-12)</t>
        </is>
      </c>
      <c r="F958" s="77" t="inlineStr">
        <is>
          <t>3 Network</t>
        </is>
      </c>
      <c r="G958" s="77" t="inlineStr">
        <is>
          <t>distribution network charge</t>
        </is>
      </c>
      <c r="H958" s="77" t="inlineStr">
        <is>
          <t>i</t>
        </is>
      </c>
      <c r="I958" s="77">
        <f>IF(ISNUMBER(N958),N958*fx_deflator!$J$14*fx_deflator!$M$14,"")</f>
        <v/>
      </c>
      <c r="J958" s="77" t="inlineStr">
        <is>
          <t>Westnetz Preisblaetter (2013+, Wayback); BNetzA MB national avg bridge 2010-12 (D20)</t>
        </is>
      </c>
      <c r="K958" s="77" t="inlineStr">
        <is>
          <t>stage4_de r15-17</t>
        </is>
      </c>
      <c r="L958" s="77" t="inlineStr">
        <is>
          <t>2026-07-15</t>
        </is>
      </c>
      <c r="M958" s="77" t="inlineStr">
        <is>
          <t>Y</t>
        </is>
      </c>
      <c r="N958" s="136">
        <f>IF(ISNUMBER(timeseries!M58),timeseries!M58,"")</f>
        <v/>
      </c>
      <c r="O958" s="77" t="inlineStr">
        <is>
          <t>EUR/MWh nominal</t>
        </is>
      </c>
      <c r="P958" s="77" t="inlineStr">
        <is>
          <t>no sec.19 relief at 5,000h (fails Satz 2) — E1=E2</t>
        </is>
      </c>
    </row>
    <row r="959" ht="15" customHeight="1" s="78">
      <c r="A959" s="77" t="inlineStr">
        <is>
          <t>DE</t>
        </is>
      </c>
      <c r="B959" s="77" t="n">
        <v>2019</v>
      </c>
      <c r="C959" s="77" t="inlineStr">
        <is>
          <t>medium</t>
        </is>
      </c>
      <c r="D959" s="77" t="inlineStr">
        <is>
          <t>E1</t>
        </is>
      </c>
      <c r="E959" s="77" t="inlineStr">
        <is>
          <t>EEG-Umlage (full)</t>
        </is>
      </c>
      <c r="F959" s="77" t="inlineStr">
        <is>
          <t>2 Gen capital recovery</t>
        </is>
      </c>
      <c r="G959" s="77" t="inlineStr">
        <is>
          <t>renewables levy (Umlage)</t>
        </is>
      </c>
      <c r="H959" s="77" t="inlineStr">
        <is>
          <t>i (0 from 07/2022 — taxpayer, see HATCH iii)</t>
        </is>
      </c>
      <c r="I959" s="77">
        <f>IF(ISNUMBER(N959),N959*fx_deflator!$J$14*fx_deflator!$M$14,"")</f>
        <v/>
      </c>
      <c r="J959" s="77" t="inlineStr">
        <is>
          <t>netztransparenz.de EEG-Umlagen der Vorjahre + per-year pages</t>
        </is>
      </c>
      <c r="K959" s="77" t="inlineStr">
        <is>
          <t>stage4_de r21</t>
        </is>
      </c>
      <c r="L959" s="77" t="inlineStr">
        <is>
          <t>2026-07-15</t>
        </is>
      </c>
      <c r="M959" s="77" t="inlineStr">
        <is>
          <t>N</t>
        </is>
      </c>
      <c r="N959" s="77">
        <f>IF(ISNUMBER(stage4_de!M21),stage4_de!M21*10,"")</f>
        <v/>
      </c>
      <c r="O959" s="77" t="inlineStr">
        <is>
          <t>EUR/MWh nominal</t>
        </is>
      </c>
    </row>
    <row r="960" ht="15" customHeight="1" s="78">
      <c r="A960" s="77" t="inlineStr">
        <is>
          <t>DE</t>
        </is>
      </c>
      <c r="B960" s="77" t="n">
        <v>2019</v>
      </c>
      <c r="C960" s="77" t="inlineStr">
        <is>
          <t>medium</t>
        </is>
      </c>
      <c r="D960" s="77" t="inlineStr">
        <is>
          <t>E1</t>
        </is>
      </c>
      <c r="E960" s="77" t="inlineStr">
        <is>
          <t>KWKG-Umlage (tranche blend at 20 GWh)</t>
        </is>
      </c>
      <c r="F960" s="77" t="inlineStr">
        <is>
          <t>2 Gen capital recovery</t>
        </is>
      </c>
      <c r="G960" s="77" t="inlineStr">
        <is>
          <t>CHP levy (Umlage)</t>
        </is>
      </c>
      <c r="H960" s="77" t="inlineStr">
        <is>
          <t>i</t>
        </is>
      </c>
      <c r="I960" s="77">
        <f>IF(ISNUMBER(N960),N960*fx_deflator!$J$14*fx_deflator!$M$14,"")</f>
        <v/>
      </c>
      <c r="J960" s="77" t="inlineStr">
        <is>
          <t>netztransparenz Uebersicht KWKG-Aufschlaege 2002-2016 + per-year pages; tranche blends</t>
        </is>
      </c>
      <c r="K960" s="77" t="inlineStr">
        <is>
          <t>stage4_de r22-24</t>
        </is>
      </c>
      <c r="L960" s="77" t="inlineStr">
        <is>
          <t>2026-07-15</t>
        </is>
      </c>
      <c r="M960" s="77" t="inlineStr">
        <is>
          <t>Y</t>
        </is>
      </c>
      <c r="N960" s="77">
        <f>stage4_de!M22*10</f>
        <v/>
      </c>
      <c r="O960" s="77" t="inlineStr">
        <is>
          <t>EUR/MWh nominal</t>
        </is>
      </c>
    </row>
    <row r="961" ht="15" customHeight="1" s="78">
      <c r="A961" s="77" t="inlineStr">
        <is>
          <t>DE</t>
        </is>
      </c>
      <c r="B961" s="77" t="n">
        <v>2019</v>
      </c>
      <c r="C961" s="77" t="inlineStr">
        <is>
          <t>medium</t>
        </is>
      </c>
      <c r="D961" s="77" t="inlineStr">
        <is>
          <t>E1</t>
        </is>
      </c>
      <c r="E961" s="77" t="inlineStr">
        <is>
          <t>sec.19 StromNEV-Umlage (blend at 20 GWh)</t>
        </is>
      </c>
      <c r="F961" s="77" t="inlineStr">
        <is>
          <t>4 System services &amp; balancing</t>
        </is>
      </c>
      <c r="G961" s="77" t="inlineStr">
        <is>
          <t>network levy (Umlage)</t>
        </is>
      </c>
      <c r="H961" s="77" t="inlineStr">
        <is>
          <t>ii (pays for other users relief)</t>
        </is>
      </c>
      <c r="I961" s="77">
        <f>IF(ISNUMBER(N961),N961*fx_deflator!$J$14*fx_deflator!$M$14,"")</f>
        <v/>
      </c>
      <c r="J961" s="77" t="inlineStr">
        <is>
          <t>netztransparenz per-year Umlagen pages (A-prime/B-prime/C-prime)</t>
        </is>
      </c>
      <c r="K961" s="77" t="inlineStr">
        <is>
          <t>stage4_de r25-27</t>
        </is>
      </c>
      <c r="L961" s="77" t="inlineStr">
        <is>
          <t>2026-07-15</t>
        </is>
      </c>
      <c r="M961" s="77" t="inlineStr">
        <is>
          <t>Y</t>
        </is>
      </c>
      <c r="N961" s="77">
        <f>(1*stage4_de!M25+19*stage4_de!M26)/20*10</f>
        <v/>
      </c>
      <c r="O961" s="77" t="inlineStr">
        <is>
          <t>EUR/MWh nominal</t>
        </is>
      </c>
    </row>
    <row r="962" ht="15" customHeight="1" s="78">
      <c r="A962" s="77" t="inlineStr">
        <is>
          <t>DE</t>
        </is>
      </c>
      <c r="B962" s="77" t="n">
        <v>2019</v>
      </c>
      <c r="C962" s="77" t="inlineStr">
        <is>
          <t>medium</t>
        </is>
      </c>
      <c r="D962" s="77" t="inlineStr">
        <is>
          <t>E1</t>
        </is>
      </c>
      <c r="E962" s="77" t="inlineStr">
        <is>
          <t>Offshore-Netzumlage (blend at 20 GWh to 2018)</t>
        </is>
      </c>
      <c r="F962" s="77" t="inlineStr">
        <is>
          <t>2 Gen capital recovery</t>
        </is>
      </c>
      <c r="G962" s="77" t="inlineStr">
        <is>
          <t>offshore grid levy (Umlage)</t>
        </is>
      </c>
      <c r="H962" s="77" t="inlineStr">
        <is>
          <t>i</t>
        </is>
      </c>
      <c r="I962" s="77">
        <f>IF(ISNUMBER(N962),N962*fx_deflator!$J$14*fx_deflator!$M$14,"")</f>
        <v/>
      </c>
      <c r="J962" s="77" t="inlineStr">
        <is>
          <t>netztransparenz Offshore-Umlage per-year pages</t>
        </is>
      </c>
      <c r="K962" s="77" t="inlineStr">
        <is>
          <t>stage4_de r28-30</t>
        </is>
      </c>
      <c r="L962" s="77" t="inlineStr">
        <is>
          <t>2026-07-15</t>
        </is>
      </c>
      <c r="M962" s="77" t="inlineStr">
        <is>
          <t>Y</t>
        </is>
      </c>
      <c r="N962" s="77">
        <f>stage4_de!M28*10</f>
        <v/>
      </c>
      <c r="O962" s="77" t="inlineStr">
        <is>
          <t>EUR/MWh nominal</t>
        </is>
      </c>
    </row>
    <row r="963" ht="15" customHeight="1" s="78">
      <c r="A963" s="77" t="inlineStr">
        <is>
          <t>DE</t>
        </is>
      </c>
      <c r="B963" s="77" t="n">
        <v>2019</v>
      </c>
      <c r="C963" s="77" t="inlineStr">
        <is>
          <t>medium</t>
        </is>
      </c>
      <c r="D963" s="77" t="inlineStr">
        <is>
          <t>E1</t>
        </is>
      </c>
      <c r="E963" s="77" t="inlineStr">
        <is>
          <t>AbLaV-Umlage</t>
        </is>
      </c>
      <c r="F963" s="77" t="inlineStr">
        <is>
          <t>4 System services &amp; balancing</t>
        </is>
      </c>
      <c r="G963" s="77" t="inlineStr">
        <is>
          <t>interruptible-load levy (Umlage)</t>
        </is>
      </c>
      <c r="H963" s="77" t="inlineStr">
        <is>
          <t>i</t>
        </is>
      </c>
      <c r="I963" s="77">
        <f>IF(ISNUMBER(N963),N963*fx_deflator!$J$14*fx_deflator!$M$14,"")</f>
        <v/>
      </c>
      <c r="J963" s="77" t="inlineStr">
        <is>
          <t>netztransparenz AbLaV-Umlage per-year pages (ends 2022)</t>
        </is>
      </c>
      <c r="K963" s="77" t="inlineStr">
        <is>
          <t>stage4_de r31</t>
        </is>
      </c>
      <c r="L963" s="77" t="inlineStr">
        <is>
          <t>2026-07-15</t>
        </is>
      </c>
      <c r="M963" s="77" t="inlineStr">
        <is>
          <t>N</t>
        </is>
      </c>
      <c r="N963" s="77">
        <f>IF(ISNUMBER(stage4_de!M31),stage4_de!M31*10,"")</f>
        <v/>
      </c>
      <c r="O963" s="77" t="inlineStr">
        <is>
          <t>EUR/MWh nominal</t>
        </is>
      </c>
    </row>
    <row r="964" ht="15" customHeight="1" s="78">
      <c r="A964" s="77" t="inlineStr">
        <is>
          <t>DE</t>
        </is>
      </c>
      <c r="B964" s="77" t="n">
        <v>2019</v>
      </c>
      <c r="C964" s="77" t="inlineStr">
        <is>
          <t>medium</t>
        </is>
      </c>
      <c r="D964" s="77" t="inlineStr">
        <is>
          <t>E1</t>
        </is>
      </c>
      <c r="E964" s="77" t="inlineStr">
        <is>
          <t>Stromsteuer (full sec.3)</t>
        </is>
      </c>
      <c r="F964" s="77" t="inlineStr">
        <is>
          <t>5 General taxation &amp; levies</t>
        </is>
      </c>
      <c r="G964" s="77" t="inlineStr">
        <is>
          <t>electricity tax</t>
        </is>
      </c>
      <c r="H964" s="77" t="inlineStr">
        <is>
          <t>i</t>
        </is>
      </c>
      <c r="I964" s="77">
        <f>IF(ISNUMBER(N964),N964*fx_deflator!$J$14*fx_deflator!$M$14,"")</f>
        <v/>
      </c>
      <c r="J964" s="77" t="inlineStr">
        <is>
          <t>StromStG sec.3/sec.9b (BGBl. 2025 I Nr. 340: 0.50 permanent from 2026); gesetze-im-internet.de</t>
        </is>
      </c>
      <c r="K964" s="77" t="inlineStr">
        <is>
          <t>stage4_de r34-35</t>
        </is>
      </c>
      <c r="L964" s="77" t="inlineStr">
        <is>
          <t>2026-07-15</t>
        </is>
      </c>
      <c r="M964" s="77" t="inlineStr">
        <is>
          <t>N</t>
        </is>
      </c>
      <c r="N964" s="77">
        <f>IF(ISNUMBER(stage4_de!M34),stage4_de!M34,"")</f>
        <v/>
      </c>
      <c r="O964" s="77" t="inlineStr">
        <is>
          <t>EUR/MWh nominal</t>
        </is>
      </c>
    </row>
    <row r="965" ht="15" customHeight="1" s="78">
      <c r="A965" s="77" t="inlineStr">
        <is>
          <t>DE</t>
        </is>
      </c>
      <c r="B965" s="77" t="n">
        <v>2019</v>
      </c>
      <c r="C965" s="77" t="inlineStr">
        <is>
          <t>medium</t>
        </is>
      </c>
      <c r="D965" s="77" t="inlineStr">
        <is>
          <t>E1</t>
        </is>
      </c>
      <c r="E965" s="77" t="inlineStr">
        <is>
          <t>Konzessionsabgabe (0 via Grenzpreis)</t>
        </is>
      </c>
      <c r="F965" s="77" t="inlineStr">
        <is>
          <t>5 General taxation &amp; levies</t>
        </is>
      </c>
      <c r="G965" s="77" t="inlineStr">
        <is>
          <t>concession fee</t>
        </is>
      </c>
      <c r="H965" s="77" t="inlineStr">
        <is>
          <t>i</t>
        </is>
      </c>
      <c r="I965" s="77">
        <f>IF(ISNUMBER(N965),N965*fx_deflator!$J$14*fx_deflator!$M$14,"")</f>
        <v/>
      </c>
      <c r="J965" s="77" t="inlineStr">
        <is>
          <t>KAV sec.2(3)/(4) Grenzpreis rule -&gt; 0 for Sondervertragskunden</t>
        </is>
      </c>
      <c r="K965" s="77" t="inlineStr">
        <is>
          <t>stage4_de r36</t>
        </is>
      </c>
      <c r="L965" s="77" t="inlineStr">
        <is>
          <t>2026-07-15</t>
        </is>
      </c>
      <c r="M965" s="77" t="inlineStr">
        <is>
          <t>N</t>
        </is>
      </c>
      <c r="N965" s="77">
        <f>IF(ISNUMBER(stage4_de!M36),stage4_de!M36*10,"")</f>
        <v/>
      </c>
      <c r="O965" s="77" t="inlineStr">
        <is>
          <t>EUR/MWh nominal</t>
        </is>
      </c>
    </row>
    <row r="966" ht="15" customHeight="1" s="78">
      <c r="A966" s="77" t="inlineStr">
        <is>
          <t>DE</t>
        </is>
      </c>
      <c r="B966" s="77" t="n">
        <v>2020</v>
      </c>
      <c r="C966" s="77" t="inlineStr">
        <is>
          <t>medium</t>
        </is>
      </c>
      <c r="D966" s="77" t="inlineStr">
        <is>
          <t>E1</t>
        </is>
      </c>
      <c r="E966" s="77" t="inlineStr">
        <is>
          <t>Wholesale (as large)</t>
        </is>
      </c>
      <c r="F966" s="77" t="inlineStr">
        <is>
          <t>1 Commodity</t>
        </is>
      </c>
      <c r="G966" s="77" t="inlineStr">
        <is>
          <t>wholesale market</t>
        </is>
      </c>
      <c r="H966" s="77" t="inlineStr">
        <is>
          <t>i</t>
        </is>
      </c>
      <c r="I966" s="77">
        <f>IF(ISNUMBER(N966),N966*fx_deflator!$J$15*fx_deflator!$M$15,"")</f>
        <v/>
      </c>
      <c r="J966" s="77" t="inlineStr">
        <is>
          <t>BNetzA Monitoringberichte — Phelix base front-year by trading yr -&gt; delivery yr; 2026 = D29</t>
        </is>
      </c>
      <c r="K966" s="77" t="inlineStr">
        <is>
          <t>stage4_de r7</t>
        </is>
      </c>
      <c r="L966" s="77" t="inlineStr">
        <is>
          <t>2026-07-15</t>
        </is>
      </c>
      <c r="M966" s="77" t="inlineStr">
        <is>
          <t>Y</t>
        </is>
      </c>
      <c r="N966" s="136">
        <f>IF(ISNUMBER(timeseries!N57),timeseries!N57,"")</f>
        <v/>
      </c>
      <c r="O966" s="77" t="inlineStr">
        <is>
          <t>EUR/MWh nominal</t>
        </is>
      </c>
    </row>
    <row r="967" ht="15" customHeight="1" s="78">
      <c r="A967" s="77" t="inlineStr">
        <is>
          <t>DE</t>
        </is>
      </c>
      <c r="B967" s="77" t="n">
        <v>2020</v>
      </c>
      <c r="C967" s="77" t="inlineStr">
        <is>
          <t>medium</t>
        </is>
      </c>
      <c r="D967" s="77" t="inlineStr">
        <is>
          <t>E1</t>
        </is>
      </c>
      <c r="E967" s="77" t="inlineStr">
        <is>
          <t>Netzentgelte MS (Westnetz; MB bridge 2010-12)</t>
        </is>
      </c>
      <c r="F967" s="77" t="inlineStr">
        <is>
          <t>3 Network</t>
        </is>
      </c>
      <c r="G967" s="77" t="inlineStr">
        <is>
          <t>distribution network charge</t>
        </is>
      </c>
      <c r="H967" s="77" t="inlineStr">
        <is>
          <t>i</t>
        </is>
      </c>
      <c r="I967" s="77">
        <f>IF(ISNUMBER(N967),N967*fx_deflator!$J$15*fx_deflator!$M$15,"")</f>
        <v/>
      </c>
      <c r="J967" s="77" t="inlineStr">
        <is>
          <t>Westnetz Preisblaetter (2013+, Wayback); BNetzA MB national avg bridge 2010-12 (D20)</t>
        </is>
      </c>
      <c r="K967" s="77" t="inlineStr">
        <is>
          <t>stage4_de r15-17</t>
        </is>
      </c>
      <c r="L967" s="77" t="inlineStr">
        <is>
          <t>2026-07-15</t>
        </is>
      </c>
      <c r="M967" s="77" t="inlineStr">
        <is>
          <t>Y</t>
        </is>
      </c>
      <c r="N967" s="136">
        <f>IF(ISNUMBER(timeseries!N58),timeseries!N58,"")</f>
        <v/>
      </c>
      <c r="O967" s="77" t="inlineStr">
        <is>
          <t>EUR/MWh nominal</t>
        </is>
      </c>
      <c r="P967" s="77" t="inlineStr">
        <is>
          <t>no sec.19 relief at 5,000h (fails Satz 2) — E1=E2</t>
        </is>
      </c>
    </row>
    <row r="968" ht="15" customHeight="1" s="78">
      <c r="A968" s="77" t="inlineStr">
        <is>
          <t>DE</t>
        </is>
      </c>
      <c r="B968" s="77" t="n">
        <v>2020</v>
      </c>
      <c r="C968" s="77" t="inlineStr">
        <is>
          <t>medium</t>
        </is>
      </c>
      <c r="D968" s="77" t="inlineStr">
        <is>
          <t>E1</t>
        </is>
      </c>
      <c r="E968" s="77" t="inlineStr">
        <is>
          <t>EEG-Umlage (full)</t>
        </is>
      </c>
      <c r="F968" s="77" t="inlineStr">
        <is>
          <t>2 Gen capital recovery</t>
        </is>
      </c>
      <c r="G968" s="77" t="inlineStr">
        <is>
          <t>renewables levy (Umlage)</t>
        </is>
      </c>
      <c r="H968" s="77" t="inlineStr">
        <is>
          <t>i (0 from 07/2022 — taxpayer, see HATCH iii)</t>
        </is>
      </c>
      <c r="I968" s="77">
        <f>IF(ISNUMBER(N968),N968*fx_deflator!$J$15*fx_deflator!$M$15,"")</f>
        <v/>
      </c>
      <c r="J968" s="77" t="inlineStr">
        <is>
          <t>netztransparenz.de EEG-Umlagen der Vorjahre + per-year pages</t>
        </is>
      </c>
      <c r="K968" s="77" t="inlineStr">
        <is>
          <t>stage4_de r21</t>
        </is>
      </c>
      <c r="L968" s="77" t="inlineStr">
        <is>
          <t>2026-07-15</t>
        </is>
      </c>
      <c r="M968" s="77" t="inlineStr">
        <is>
          <t>N</t>
        </is>
      </c>
      <c r="N968" s="77">
        <f>IF(ISNUMBER(stage4_de!N21),stage4_de!N21*10,"")</f>
        <v/>
      </c>
      <c r="O968" s="77" t="inlineStr">
        <is>
          <t>EUR/MWh nominal</t>
        </is>
      </c>
    </row>
    <row r="969" ht="15" customHeight="1" s="78">
      <c r="A969" s="77" t="inlineStr">
        <is>
          <t>DE</t>
        </is>
      </c>
      <c r="B969" s="77" t="n">
        <v>2020</v>
      </c>
      <c r="C969" s="77" t="inlineStr">
        <is>
          <t>medium</t>
        </is>
      </c>
      <c r="D969" s="77" t="inlineStr">
        <is>
          <t>E1</t>
        </is>
      </c>
      <c r="E969" s="77" t="inlineStr">
        <is>
          <t>KWKG-Umlage (tranche blend at 20 GWh)</t>
        </is>
      </c>
      <c r="F969" s="77" t="inlineStr">
        <is>
          <t>2 Gen capital recovery</t>
        </is>
      </c>
      <c r="G969" s="77" t="inlineStr">
        <is>
          <t>CHP levy (Umlage)</t>
        </is>
      </c>
      <c r="H969" s="77" t="inlineStr">
        <is>
          <t>i</t>
        </is>
      </c>
      <c r="I969" s="77">
        <f>IF(ISNUMBER(N969),N969*fx_deflator!$J$15*fx_deflator!$M$15,"")</f>
        <v/>
      </c>
      <c r="J969" s="77" t="inlineStr">
        <is>
          <t>netztransparenz Uebersicht KWKG-Aufschlaege 2002-2016 + per-year pages; tranche blends</t>
        </is>
      </c>
      <c r="K969" s="77" t="inlineStr">
        <is>
          <t>stage4_de r22-24</t>
        </is>
      </c>
      <c r="L969" s="77" t="inlineStr">
        <is>
          <t>2026-07-15</t>
        </is>
      </c>
      <c r="M969" s="77" t="inlineStr">
        <is>
          <t>Y</t>
        </is>
      </c>
      <c r="N969" s="77">
        <f>stage4_de!N22*10</f>
        <v/>
      </c>
      <c r="O969" s="77" t="inlineStr">
        <is>
          <t>EUR/MWh nominal</t>
        </is>
      </c>
    </row>
    <row r="970" ht="15" customHeight="1" s="78">
      <c r="A970" s="77" t="inlineStr">
        <is>
          <t>DE</t>
        </is>
      </c>
      <c r="B970" s="77" t="n">
        <v>2020</v>
      </c>
      <c r="C970" s="77" t="inlineStr">
        <is>
          <t>medium</t>
        </is>
      </c>
      <c r="D970" s="77" t="inlineStr">
        <is>
          <t>E1</t>
        </is>
      </c>
      <c r="E970" s="77" t="inlineStr">
        <is>
          <t>sec.19 StromNEV-Umlage (blend at 20 GWh)</t>
        </is>
      </c>
      <c r="F970" s="77" t="inlineStr">
        <is>
          <t>4 System services &amp; balancing</t>
        </is>
      </c>
      <c r="G970" s="77" t="inlineStr">
        <is>
          <t>network levy (Umlage)</t>
        </is>
      </c>
      <c r="H970" s="77" t="inlineStr">
        <is>
          <t>ii (pays for other users relief)</t>
        </is>
      </c>
      <c r="I970" s="77">
        <f>IF(ISNUMBER(N970),N970*fx_deflator!$J$15*fx_deflator!$M$15,"")</f>
        <v/>
      </c>
      <c r="J970" s="77" t="inlineStr">
        <is>
          <t>netztransparenz per-year Umlagen pages (A-prime/B-prime/C-prime)</t>
        </is>
      </c>
      <c r="K970" s="77" t="inlineStr">
        <is>
          <t>stage4_de r25-27</t>
        </is>
      </c>
      <c r="L970" s="77" t="inlineStr">
        <is>
          <t>2026-07-15</t>
        </is>
      </c>
      <c r="M970" s="77" t="inlineStr">
        <is>
          <t>Y</t>
        </is>
      </c>
      <c r="N970" s="77">
        <f>(1*stage4_de!N25+19*stage4_de!N26)/20*10</f>
        <v/>
      </c>
      <c r="O970" s="77" t="inlineStr">
        <is>
          <t>EUR/MWh nominal</t>
        </is>
      </c>
    </row>
    <row r="971" ht="15" customHeight="1" s="78">
      <c r="A971" s="77" t="inlineStr">
        <is>
          <t>DE</t>
        </is>
      </c>
      <c r="B971" s="77" t="n">
        <v>2020</v>
      </c>
      <c r="C971" s="77" t="inlineStr">
        <is>
          <t>medium</t>
        </is>
      </c>
      <c r="D971" s="77" t="inlineStr">
        <is>
          <t>E1</t>
        </is>
      </c>
      <c r="E971" s="77" t="inlineStr">
        <is>
          <t>Offshore-Netzumlage (blend at 20 GWh to 2018)</t>
        </is>
      </c>
      <c r="F971" s="77" t="inlineStr">
        <is>
          <t>2 Gen capital recovery</t>
        </is>
      </c>
      <c r="G971" s="77" t="inlineStr">
        <is>
          <t>offshore grid levy (Umlage)</t>
        </is>
      </c>
      <c r="H971" s="77" t="inlineStr">
        <is>
          <t>i</t>
        </is>
      </c>
      <c r="I971" s="77">
        <f>IF(ISNUMBER(N971),N971*fx_deflator!$J$15*fx_deflator!$M$15,"")</f>
        <v/>
      </c>
      <c r="J971" s="77" t="inlineStr">
        <is>
          <t>netztransparenz Offshore-Umlage per-year pages</t>
        </is>
      </c>
      <c r="K971" s="77" t="inlineStr">
        <is>
          <t>stage4_de r28-30</t>
        </is>
      </c>
      <c r="L971" s="77" t="inlineStr">
        <is>
          <t>2026-07-15</t>
        </is>
      </c>
      <c r="M971" s="77" t="inlineStr">
        <is>
          <t>Y</t>
        </is>
      </c>
      <c r="N971" s="77">
        <f>stage4_de!N28*10</f>
        <v/>
      </c>
      <c r="O971" s="77" t="inlineStr">
        <is>
          <t>EUR/MWh nominal</t>
        </is>
      </c>
    </row>
    <row r="972" ht="15" customHeight="1" s="78">
      <c r="A972" s="77" t="inlineStr">
        <is>
          <t>DE</t>
        </is>
      </c>
      <c r="B972" s="77" t="n">
        <v>2020</v>
      </c>
      <c r="C972" s="77" t="inlineStr">
        <is>
          <t>medium</t>
        </is>
      </c>
      <c r="D972" s="77" t="inlineStr">
        <is>
          <t>E1</t>
        </is>
      </c>
      <c r="E972" s="77" t="inlineStr">
        <is>
          <t>AbLaV-Umlage</t>
        </is>
      </c>
      <c r="F972" s="77" t="inlineStr">
        <is>
          <t>4 System services &amp; balancing</t>
        </is>
      </c>
      <c r="G972" s="77" t="inlineStr">
        <is>
          <t>interruptible-load levy (Umlage)</t>
        </is>
      </c>
      <c r="H972" s="77" t="inlineStr">
        <is>
          <t>i</t>
        </is>
      </c>
      <c r="I972" s="77">
        <f>IF(ISNUMBER(N972),N972*fx_deflator!$J$15*fx_deflator!$M$15,"")</f>
        <v/>
      </c>
      <c r="J972" s="77" t="inlineStr">
        <is>
          <t>netztransparenz AbLaV-Umlage per-year pages (ends 2022)</t>
        </is>
      </c>
      <c r="K972" s="77" t="inlineStr">
        <is>
          <t>stage4_de r31</t>
        </is>
      </c>
      <c r="L972" s="77" t="inlineStr">
        <is>
          <t>2026-07-15</t>
        </is>
      </c>
      <c r="M972" s="77" t="inlineStr">
        <is>
          <t>N</t>
        </is>
      </c>
      <c r="N972" s="77">
        <f>IF(ISNUMBER(stage4_de!N31),stage4_de!N31*10,"")</f>
        <v/>
      </c>
      <c r="O972" s="77" t="inlineStr">
        <is>
          <t>EUR/MWh nominal</t>
        </is>
      </c>
    </row>
    <row r="973" ht="15" customHeight="1" s="78">
      <c r="A973" s="77" t="inlineStr">
        <is>
          <t>DE</t>
        </is>
      </c>
      <c r="B973" s="77" t="n">
        <v>2020</v>
      </c>
      <c r="C973" s="77" t="inlineStr">
        <is>
          <t>medium</t>
        </is>
      </c>
      <c r="D973" s="77" t="inlineStr">
        <is>
          <t>E1</t>
        </is>
      </c>
      <c r="E973" s="77" t="inlineStr">
        <is>
          <t>Stromsteuer (full sec.3)</t>
        </is>
      </c>
      <c r="F973" s="77" t="inlineStr">
        <is>
          <t>5 General taxation &amp; levies</t>
        </is>
      </c>
      <c r="G973" s="77" t="inlineStr">
        <is>
          <t>electricity tax</t>
        </is>
      </c>
      <c r="H973" s="77" t="inlineStr">
        <is>
          <t>i</t>
        </is>
      </c>
      <c r="I973" s="77">
        <f>IF(ISNUMBER(N973),N973*fx_deflator!$J$15*fx_deflator!$M$15,"")</f>
        <v/>
      </c>
      <c r="J973" s="77" t="inlineStr">
        <is>
          <t>StromStG sec.3/sec.9b (BGBl. 2025 I Nr. 340: 0.50 permanent from 2026); gesetze-im-internet.de</t>
        </is>
      </c>
      <c r="K973" s="77" t="inlineStr">
        <is>
          <t>stage4_de r34-35</t>
        </is>
      </c>
      <c r="L973" s="77" t="inlineStr">
        <is>
          <t>2026-07-15</t>
        </is>
      </c>
      <c r="M973" s="77" t="inlineStr">
        <is>
          <t>N</t>
        </is>
      </c>
      <c r="N973" s="77">
        <f>IF(ISNUMBER(stage4_de!N34),stage4_de!N34,"")</f>
        <v/>
      </c>
      <c r="O973" s="77" t="inlineStr">
        <is>
          <t>EUR/MWh nominal</t>
        </is>
      </c>
    </row>
    <row r="974" ht="15" customHeight="1" s="78">
      <c r="A974" s="77" t="inlineStr">
        <is>
          <t>DE</t>
        </is>
      </c>
      <c r="B974" s="77" t="n">
        <v>2020</v>
      </c>
      <c r="C974" s="77" t="inlineStr">
        <is>
          <t>medium</t>
        </is>
      </c>
      <c r="D974" s="77" t="inlineStr">
        <is>
          <t>E1</t>
        </is>
      </c>
      <c r="E974" s="77" t="inlineStr">
        <is>
          <t>Konzessionsabgabe (0 via Grenzpreis)</t>
        </is>
      </c>
      <c r="F974" s="77" t="inlineStr">
        <is>
          <t>5 General taxation &amp; levies</t>
        </is>
      </c>
      <c r="G974" s="77" t="inlineStr">
        <is>
          <t>concession fee</t>
        </is>
      </c>
      <c r="H974" s="77" t="inlineStr">
        <is>
          <t>i</t>
        </is>
      </c>
      <c r="I974" s="77">
        <f>IF(ISNUMBER(N974),N974*fx_deflator!$J$15*fx_deflator!$M$15,"")</f>
        <v/>
      </c>
      <c r="J974" s="77" t="inlineStr">
        <is>
          <t>KAV sec.2(3)/(4) Grenzpreis rule -&gt; 0 for Sondervertragskunden</t>
        </is>
      </c>
      <c r="K974" s="77" t="inlineStr">
        <is>
          <t>stage4_de r36</t>
        </is>
      </c>
      <c r="L974" s="77" t="inlineStr">
        <is>
          <t>2026-07-15</t>
        </is>
      </c>
      <c r="M974" s="77" t="inlineStr">
        <is>
          <t>N</t>
        </is>
      </c>
      <c r="N974" s="77">
        <f>IF(ISNUMBER(stage4_de!N36),stage4_de!N36*10,"")</f>
        <v/>
      </c>
      <c r="O974" s="77" t="inlineStr">
        <is>
          <t>EUR/MWh nominal</t>
        </is>
      </c>
    </row>
    <row r="975" ht="15" customHeight="1" s="78">
      <c r="A975" s="77" t="inlineStr">
        <is>
          <t>DE</t>
        </is>
      </c>
      <c r="B975" s="77" t="n">
        <v>2021</v>
      </c>
      <c r="C975" s="77" t="inlineStr">
        <is>
          <t>medium</t>
        </is>
      </c>
      <c r="D975" s="77" t="inlineStr">
        <is>
          <t>E1</t>
        </is>
      </c>
      <c r="E975" s="77" t="inlineStr">
        <is>
          <t>Wholesale (as large)</t>
        </is>
      </c>
      <c r="F975" s="77" t="inlineStr">
        <is>
          <t>1 Commodity</t>
        </is>
      </c>
      <c r="G975" s="77" t="inlineStr">
        <is>
          <t>wholesale market</t>
        </is>
      </c>
      <c r="H975" s="77" t="inlineStr">
        <is>
          <t>i</t>
        </is>
      </c>
      <c r="I975" s="77">
        <f>IF(ISNUMBER(N975),N975*fx_deflator!$J$16*fx_deflator!$M$16,"")</f>
        <v/>
      </c>
      <c r="J975" s="77" t="inlineStr">
        <is>
          <t>BNetzA Monitoringberichte — Phelix base front-year by trading yr -&gt; delivery yr; 2026 = D29</t>
        </is>
      </c>
      <c r="K975" s="77" t="inlineStr">
        <is>
          <t>stage4_de r7</t>
        </is>
      </c>
      <c r="L975" s="77" t="inlineStr">
        <is>
          <t>2026-07-15</t>
        </is>
      </c>
      <c r="M975" s="77" t="inlineStr">
        <is>
          <t>Y</t>
        </is>
      </c>
      <c r="N975" s="136">
        <f>IF(ISNUMBER(timeseries!O57),timeseries!O57,"")</f>
        <v/>
      </c>
      <c r="O975" s="77" t="inlineStr">
        <is>
          <t>EUR/MWh nominal</t>
        </is>
      </c>
    </row>
    <row r="976" ht="15" customHeight="1" s="78">
      <c r="A976" s="77" t="inlineStr">
        <is>
          <t>DE</t>
        </is>
      </c>
      <c r="B976" s="77" t="n">
        <v>2021</v>
      </c>
      <c r="C976" s="77" t="inlineStr">
        <is>
          <t>medium</t>
        </is>
      </c>
      <c r="D976" s="77" t="inlineStr">
        <is>
          <t>E1</t>
        </is>
      </c>
      <c r="E976" s="77" t="inlineStr">
        <is>
          <t>Netzentgelte MS (Westnetz; MB bridge 2010-12)</t>
        </is>
      </c>
      <c r="F976" s="77" t="inlineStr">
        <is>
          <t>3 Network</t>
        </is>
      </c>
      <c r="G976" s="77" t="inlineStr">
        <is>
          <t>distribution network charge</t>
        </is>
      </c>
      <c r="H976" s="77" t="inlineStr">
        <is>
          <t>i</t>
        </is>
      </c>
      <c r="I976" s="77">
        <f>IF(ISNUMBER(N976),N976*fx_deflator!$J$16*fx_deflator!$M$16,"")</f>
        <v/>
      </c>
      <c r="J976" s="77" t="inlineStr">
        <is>
          <t>Westnetz Preisblaetter (2013+, Wayback); BNetzA MB national avg bridge 2010-12 (D20)</t>
        </is>
      </c>
      <c r="K976" s="77" t="inlineStr">
        <is>
          <t>stage4_de r15-17</t>
        </is>
      </c>
      <c r="L976" s="77" t="inlineStr">
        <is>
          <t>2026-07-15</t>
        </is>
      </c>
      <c r="M976" s="77" t="inlineStr">
        <is>
          <t>Y</t>
        </is>
      </c>
      <c r="N976" s="136">
        <f>IF(ISNUMBER(timeseries!O58),timeseries!O58,"")</f>
        <v/>
      </c>
      <c r="O976" s="77" t="inlineStr">
        <is>
          <t>EUR/MWh nominal</t>
        </is>
      </c>
      <c r="P976" s="77" t="inlineStr">
        <is>
          <t>no sec.19 relief at 5,000h (fails Satz 2) — E1=E2</t>
        </is>
      </c>
    </row>
    <row r="977" ht="15" customHeight="1" s="78">
      <c r="A977" s="77" t="inlineStr">
        <is>
          <t>DE</t>
        </is>
      </c>
      <c r="B977" s="77" t="n">
        <v>2021</v>
      </c>
      <c r="C977" s="77" t="inlineStr">
        <is>
          <t>medium</t>
        </is>
      </c>
      <c r="D977" s="77" t="inlineStr">
        <is>
          <t>E1</t>
        </is>
      </c>
      <c r="E977" s="77" t="inlineStr">
        <is>
          <t>EEG-Umlage (full)</t>
        </is>
      </c>
      <c r="F977" s="77" t="inlineStr">
        <is>
          <t>2 Gen capital recovery</t>
        </is>
      </c>
      <c r="G977" s="77" t="inlineStr">
        <is>
          <t>renewables levy (Umlage)</t>
        </is>
      </c>
      <c r="H977" s="77" t="inlineStr">
        <is>
          <t>i (0 from 07/2022 — taxpayer, see HATCH iii)</t>
        </is>
      </c>
      <c r="I977" s="77">
        <f>IF(ISNUMBER(N977),N977*fx_deflator!$J$16*fx_deflator!$M$16,"")</f>
        <v/>
      </c>
      <c r="J977" s="77" t="inlineStr">
        <is>
          <t>netztransparenz.de EEG-Umlagen der Vorjahre + per-year pages</t>
        </is>
      </c>
      <c r="K977" s="77" t="inlineStr">
        <is>
          <t>stage4_de r21</t>
        </is>
      </c>
      <c r="L977" s="77" t="inlineStr">
        <is>
          <t>2026-07-15</t>
        </is>
      </c>
      <c r="M977" s="77" t="inlineStr">
        <is>
          <t>N</t>
        </is>
      </c>
      <c r="N977" s="77">
        <f>IF(ISNUMBER(stage4_de!O21),stage4_de!O21*10,"")</f>
        <v/>
      </c>
      <c r="O977" s="77" t="inlineStr">
        <is>
          <t>EUR/MWh nominal</t>
        </is>
      </c>
    </row>
    <row r="978" ht="15" customHeight="1" s="78">
      <c r="A978" s="77" t="inlineStr">
        <is>
          <t>DE</t>
        </is>
      </c>
      <c r="B978" s="77" t="n">
        <v>2021</v>
      </c>
      <c r="C978" s="77" t="inlineStr">
        <is>
          <t>medium</t>
        </is>
      </c>
      <c r="D978" s="77" t="inlineStr">
        <is>
          <t>E1</t>
        </is>
      </c>
      <c r="E978" s="77" t="inlineStr">
        <is>
          <t>KWKG-Umlage (tranche blend at 20 GWh)</t>
        </is>
      </c>
      <c r="F978" s="77" t="inlineStr">
        <is>
          <t>2 Gen capital recovery</t>
        </is>
      </c>
      <c r="G978" s="77" t="inlineStr">
        <is>
          <t>CHP levy (Umlage)</t>
        </is>
      </c>
      <c r="H978" s="77" t="inlineStr">
        <is>
          <t>i</t>
        </is>
      </c>
      <c r="I978" s="77">
        <f>IF(ISNUMBER(N978),N978*fx_deflator!$J$16*fx_deflator!$M$16,"")</f>
        <v/>
      </c>
      <c r="J978" s="77" t="inlineStr">
        <is>
          <t>netztransparenz Uebersicht KWKG-Aufschlaege 2002-2016 + per-year pages; tranche blends</t>
        </is>
      </c>
      <c r="K978" s="77" t="inlineStr">
        <is>
          <t>stage4_de r22-24</t>
        </is>
      </c>
      <c r="L978" s="77" t="inlineStr">
        <is>
          <t>2026-07-15</t>
        </is>
      </c>
      <c r="M978" s="77" t="inlineStr">
        <is>
          <t>Y</t>
        </is>
      </c>
      <c r="N978" s="77">
        <f>stage4_de!O22*10</f>
        <v/>
      </c>
      <c r="O978" s="77" t="inlineStr">
        <is>
          <t>EUR/MWh nominal</t>
        </is>
      </c>
    </row>
    <row r="979" ht="15" customHeight="1" s="78">
      <c r="A979" s="77" t="inlineStr">
        <is>
          <t>DE</t>
        </is>
      </c>
      <c r="B979" s="77" t="n">
        <v>2021</v>
      </c>
      <c r="C979" s="77" t="inlineStr">
        <is>
          <t>medium</t>
        </is>
      </c>
      <c r="D979" s="77" t="inlineStr">
        <is>
          <t>E1</t>
        </is>
      </c>
      <c r="E979" s="77" t="inlineStr">
        <is>
          <t>sec.19 StromNEV-Umlage (blend at 20 GWh)</t>
        </is>
      </c>
      <c r="F979" s="77" t="inlineStr">
        <is>
          <t>4 System services &amp; balancing</t>
        </is>
      </c>
      <c r="G979" s="77" t="inlineStr">
        <is>
          <t>network levy (Umlage)</t>
        </is>
      </c>
      <c r="H979" s="77" t="inlineStr">
        <is>
          <t>ii (pays for other users relief)</t>
        </is>
      </c>
      <c r="I979" s="77">
        <f>IF(ISNUMBER(N979),N979*fx_deflator!$J$16*fx_deflator!$M$16,"")</f>
        <v/>
      </c>
      <c r="J979" s="77" t="inlineStr">
        <is>
          <t>netztransparenz per-year Umlagen pages (A-prime/B-prime/C-prime)</t>
        </is>
      </c>
      <c r="K979" s="77" t="inlineStr">
        <is>
          <t>stage4_de r25-27</t>
        </is>
      </c>
      <c r="L979" s="77" t="inlineStr">
        <is>
          <t>2026-07-15</t>
        </is>
      </c>
      <c r="M979" s="77" t="inlineStr">
        <is>
          <t>Y</t>
        </is>
      </c>
      <c r="N979" s="77">
        <f>(1*stage4_de!O25+19*stage4_de!O26)/20*10</f>
        <v/>
      </c>
      <c r="O979" s="77" t="inlineStr">
        <is>
          <t>EUR/MWh nominal</t>
        </is>
      </c>
    </row>
    <row r="980" ht="15" customHeight="1" s="78">
      <c r="A980" s="77" t="inlineStr">
        <is>
          <t>DE</t>
        </is>
      </c>
      <c r="B980" s="77" t="n">
        <v>2021</v>
      </c>
      <c r="C980" s="77" t="inlineStr">
        <is>
          <t>medium</t>
        </is>
      </c>
      <c r="D980" s="77" t="inlineStr">
        <is>
          <t>E1</t>
        </is>
      </c>
      <c r="E980" s="77" t="inlineStr">
        <is>
          <t>Offshore-Netzumlage (blend at 20 GWh to 2018)</t>
        </is>
      </c>
      <c r="F980" s="77" t="inlineStr">
        <is>
          <t>2 Gen capital recovery</t>
        </is>
      </c>
      <c r="G980" s="77" t="inlineStr">
        <is>
          <t>offshore grid levy (Umlage)</t>
        </is>
      </c>
      <c r="H980" s="77" t="inlineStr">
        <is>
          <t>i</t>
        </is>
      </c>
      <c r="I980" s="77">
        <f>IF(ISNUMBER(N980),N980*fx_deflator!$J$16*fx_deflator!$M$16,"")</f>
        <v/>
      </c>
      <c r="J980" s="77" t="inlineStr">
        <is>
          <t>netztransparenz Offshore-Umlage per-year pages</t>
        </is>
      </c>
      <c r="K980" s="77" t="inlineStr">
        <is>
          <t>stage4_de r28-30</t>
        </is>
      </c>
      <c r="L980" s="77" t="inlineStr">
        <is>
          <t>2026-07-15</t>
        </is>
      </c>
      <c r="M980" s="77" t="inlineStr">
        <is>
          <t>Y</t>
        </is>
      </c>
      <c r="N980" s="77">
        <f>stage4_de!O28*10</f>
        <v/>
      </c>
      <c r="O980" s="77" t="inlineStr">
        <is>
          <t>EUR/MWh nominal</t>
        </is>
      </c>
    </row>
    <row r="981" ht="15" customHeight="1" s="78">
      <c r="A981" s="77" t="inlineStr">
        <is>
          <t>DE</t>
        </is>
      </c>
      <c r="B981" s="77" t="n">
        <v>2021</v>
      </c>
      <c r="C981" s="77" t="inlineStr">
        <is>
          <t>medium</t>
        </is>
      </c>
      <c r="D981" s="77" t="inlineStr">
        <is>
          <t>E1</t>
        </is>
      </c>
      <c r="E981" s="77" t="inlineStr">
        <is>
          <t>AbLaV-Umlage</t>
        </is>
      </c>
      <c r="F981" s="77" t="inlineStr">
        <is>
          <t>4 System services &amp; balancing</t>
        </is>
      </c>
      <c r="G981" s="77" t="inlineStr">
        <is>
          <t>interruptible-load levy (Umlage)</t>
        </is>
      </c>
      <c r="H981" s="77" t="inlineStr">
        <is>
          <t>i</t>
        </is>
      </c>
      <c r="I981" s="77">
        <f>IF(ISNUMBER(N981),N981*fx_deflator!$J$16*fx_deflator!$M$16,"")</f>
        <v/>
      </c>
      <c r="J981" s="77" t="inlineStr">
        <is>
          <t>netztransparenz AbLaV-Umlage per-year pages (ends 2022)</t>
        </is>
      </c>
      <c r="K981" s="77" t="inlineStr">
        <is>
          <t>stage4_de r31</t>
        </is>
      </c>
      <c r="L981" s="77" t="inlineStr">
        <is>
          <t>2026-07-15</t>
        </is>
      </c>
      <c r="M981" s="77" t="inlineStr">
        <is>
          <t>N</t>
        </is>
      </c>
      <c r="N981" s="77">
        <f>IF(ISNUMBER(stage4_de!O31),stage4_de!O31*10,"")</f>
        <v/>
      </c>
      <c r="O981" s="77" t="inlineStr">
        <is>
          <t>EUR/MWh nominal</t>
        </is>
      </c>
    </row>
    <row r="982" ht="15" customHeight="1" s="78">
      <c r="A982" s="77" t="inlineStr">
        <is>
          <t>DE</t>
        </is>
      </c>
      <c r="B982" s="77" t="n">
        <v>2021</v>
      </c>
      <c r="C982" s="77" t="inlineStr">
        <is>
          <t>medium</t>
        </is>
      </c>
      <c r="D982" s="77" t="inlineStr">
        <is>
          <t>E1</t>
        </is>
      </c>
      <c r="E982" s="77" t="inlineStr">
        <is>
          <t>Stromsteuer (full sec.3)</t>
        </is>
      </c>
      <c r="F982" s="77" t="inlineStr">
        <is>
          <t>5 General taxation &amp; levies</t>
        </is>
      </c>
      <c r="G982" s="77" t="inlineStr">
        <is>
          <t>electricity tax</t>
        </is>
      </c>
      <c r="H982" s="77" t="inlineStr">
        <is>
          <t>i</t>
        </is>
      </c>
      <c r="I982" s="77">
        <f>IF(ISNUMBER(N982),N982*fx_deflator!$J$16*fx_deflator!$M$16,"")</f>
        <v/>
      </c>
      <c r="J982" s="77" t="inlineStr">
        <is>
          <t>StromStG sec.3/sec.9b (BGBl. 2025 I Nr. 340: 0.50 permanent from 2026); gesetze-im-internet.de</t>
        </is>
      </c>
      <c r="K982" s="77" t="inlineStr">
        <is>
          <t>stage4_de r34-35</t>
        </is>
      </c>
      <c r="L982" s="77" t="inlineStr">
        <is>
          <t>2026-07-15</t>
        </is>
      </c>
      <c r="M982" s="77" t="inlineStr">
        <is>
          <t>N</t>
        </is>
      </c>
      <c r="N982" s="77">
        <f>IF(ISNUMBER(stage4_de!O34),stage4_de!O34,"")</f>
        <v/>
      </c>
      <c r="O982" s="77" t="inlineStr">
        <is>
          <t>EUR/MWh nominal</t>
        </is>
      </c>
    </row>
    <row r="983" ht="15" customHeight="1" s="78">
      <c r="A983" s="77" t="inlineStr">
        <is>
          <t>DE</t>
        </is>
      </c>
      <c r="B983" s="77" t="n">
        <v>2021</v>
      </c>
      <c r="C983" s="77" t="inlineStr">
        <is>
          <t>medium</t>
        </is>
      </c>
      <c r="D983" s="77" t="inlineStr">
        <is>
          <t>E1</t>
        </is>
      </c>
      <c r="E983" s="77" t="inlineStr">
        <is>
          <t>Konzessionsabgabe (0 via Grenzpreis)</t>
        </is>
      </c>
      <c r="F983" s="77" t="inlineStr">
        <is>
          <t>5 General taxation &amp; levies</t>
        </is>
      </c>
      <c r="G983" s="77" t="inlineStr">
        <is>
          <t>concession fee</t>
        </is>
      </c>
      <c r="H983" s="77" t="inlineStr">
        <is>
          <t>i</t>
        </is>
      </c>
      <c r="I983" s="77">
        <f>IF(ISNUMBER(N983),N983*fx_deflator!$J$16*fx_deflator!$M$16,"")</f>
        <v/>
      </c>
      <c r="J983" s="77" t="inlineStr">
        <is>
          <t>KAV sec.2(3)/(4) Grenzpreis rule -&gt; 0 for Sondervertragskunden</t>
        </is>
      </c>
      <c r="K983" s="77" t="inlineStr">
        <is>
          <t>stage4_de r36</t>
        </is>
      </c>
      <c r="L983" s="77" t="inlineStr">
        <is>
          <t>2026-07-15</t>
        </is>
      </c>
      <c r="M983" s="77" t="inlineStr">
        <is>
          <t>N</t>
        </is>
      </c>
      <c r="N983" s="77">
        <f>IF(ISNUMBER(stage4_de!O36),stage4_de!O36*10,"")</f>
        <v/>
      </c>
      <c r="O983" s="77" t="inlineStr">
        <is>
          <t>EUR/MWh nominal</t>
        </is>
      </c>
    </row>
    <row r="984" ht="15" customHeight="1" s="78">
      <c r="A984" s="77" t="inlineStr">
        <is>
          <t>DE</t>
        </is>
      </c>
      <c r="B984" s="77" t="n">
        <v>2022</v>
      </c>
      <c r="C984" s="77" t="inlineStr">
        <is>
          <t>medium</t>
        </is>
      </c>
      <c r="D984" s="77" t="inlineStr">
        <is>
          <t>E1</t>
        </is>
      </c>
      <c r="E984" s="77" t="inlineStr">
        <is>
          <t>Wholesale (as large)</t>
        </is>
      </c>
      <c r="F984" s="77" t="inlineStr">
        <is>
          <t>1 Commodity</t>
        </is>
      </c>
      <c r="G984" s="77" t="inlineStr">
        <is>
          <t>wholesale market</t>
        </is>
      </c>
      <c r="H984" s="77" t="inlineStr">
        <is>
          <t>i</t>
        </is>
      </c>
      <c r="I984" s="77">
        <f>IF(ISNUMBER(N984),N984*fx_deflator!$J$17*fx_deflator!$M$17,"")</f>
        <v/>
      </c>
      <c r="J984" s="77" t="inlineStr">
        <is>
          <t>BNetzA Monitoringberichte — Phelix base front-year by trading yr -&gt; delivery yr; 2026 = D29</t>
        </is>
      </c>
      <c r="K984" s="77" t="inlineStr">
        <is>
          <t>stage4_de r7</t>
        </is>
      </c>
      <c r="L984" s="77" t="inlineStr">
        <is>
          <t>2026-07-15</t>
        </is>
      </c>
      <c r="M984" s="77" t="inlineStr">
        <is>
          <t>Y</t>
        </is>
      </c>
      <c r="N984" s="136">
        <f>IF(ISNUMBER(timeseries!P57),timeseries!P57,"")</f>
        <v/>
      </c>
      <c r="O984" s="77" t="inlineStr">
        <is>
          <t>EUR/MWh nominal</t>
        </is>
      </c>
    </row>
    <row r="985" ht="15" customHeight="1" s="78">
      <c r="A985" s="77" t="inlineStr">
        <is>
          <t>DE</t>
        </is>
      </c>
      <c r="B985" s="77" t="n">
        <v>2022</v>
      </c>
      <c r="C985" s="77" t="inlineStr">
        <is>
          <t>medium</t>
        </is>
      </c>
      <c r="D985" s="77" t="inlineStr">
        <is>
          <t>E1</t>
        </is>
      </c>
      <c r="E985" s="77" t="inlineStr">
        <is>
          <t>Netzentgelte MS (Westnetz; MB bridge 2010-12)</t>
        </is>
      </c>
      <c r="F985" s="77" t="inlineStr">
        <is>
          <t>3 Network</t>
        </is>
      </c>
      <c r="G985" s="77" t="inlineStr">
        <is>
          <t>distribution network charge</t>
        </is>
      </c>
      <c r="H985" s="77" t="inlineStr">
        <is>
          <t>i</t>
        </is>
      </c>
      <c r="I985" s="77">
        <f>IF(ISNUMBER(N985),N985*fx_deflator!$J$17*fx_deflator!$M$17,"")</f>
        <v/>
      </c>
      <c r="J985" s="77" t="inlineStr">
        <is>
          <t>Westnetz Preisblaetter (2013+, Wayback); BNetzA MB national avg bridge 2010-12 (D20)</t>
        </is>
      </c>
      <c r="K985" s="77" t="inlineStr">
        <is>
          <t>stage4_de r15-17</t>
        </is>
      </c>
      <c r="L985" s="77" t="inlineStr">
        <is>
          <t>2026-07-15</t>
        </is>
      </c>
      <c r="M985" s="77" t="inlineStr">
        <is>
          <t>Y</t>
        </is>
      </c>
      <c r="N985" s="136">
        <f>IF(ISNUMBER(timeseries!P58),timeseries!P58,"")</f>
        <v/>
      </c>
      <c r="O985" s="77" t="inlineStr">
        <is>
          <t>EUR/MWh nominal</t>
        </is>
      </c>
      <c r="P985" s="77" t="inlineStr">
        <is>
          <t>no sec.19 relief at 5,000h (fails Satz 2) — E1=E2</t>
        </is>
      </c>
    </row>
    <row r="986" ht="15" customHeight="1" s="78">
      <c r="A986" s="77" t="inlineStr">
        <is>
          <t>DE</t>
        </is>
      </c>
      <c r="B986" s="77" t="n">
        <v>2022</v>
      </c>
      <c r="C986" s="77" t="inlineStr">
        <is>
          <t>medium</t>
        </is>
      </c>
      <c r="D986" s="77" t="inlineStr">
        <is>
          <t>E1</t>
        </is>
      </c>
      <c r="E986" s="77" t="inlineStr">
        <is>
          <t>EEG-Umlage (full)</t>
        </is>
      </c>
      <c r="F986" s="77" t="inlineStr">
        <is>
          <t>2 Gen capital recovery</t>
        </is>
      </c>
      <c r="G986" s="77" t="inlineStr">
        <is>
          <t>renewables levy (Umlage)</t>
        </is>
      </c>
      <c r="H986" s="77" t="inlineStr">
        <is>
          <t>i (0 from 07/2022 — taxpayer, see HATCH iii)</t>
        </is>
      </c>
      <c r="I986" s="77">
        <f>IF(ISNUMBER(N986),N986*fx_deflator!$J$17*fx_deflator!$M$17,"")</f>
        <v/>
      </c>
      <c r="J986" s="77" t="inlineStr">
        <is>
          <t>netztransparenz.de EEG-Umlagen der Vorjahre + per-year pages</t>
        </is>
      </c>
      <c r="K986" s="77" t="inlineStr">
        <is>
          <t>stage4_de r21</t>
        </is>
      </c>
      <c r="L986" s="77" t="inlineStr">
        <is>
          <t>2026-07-15</t>
        </is>
      </c>
      <c r="M986" s="77" t="inlineStr">
        <is>
          <t>N</t>
        </is>
      </c>
      <c r="N986" s="77">
        <f>IF(ISNUMBER(stage4_de!P21),stage4_de!P21*10,"")</f>
        <v/>
      </c>
      <c r="O986" s="77" t="inlineStr">
        <is>
          <t>EUR/MWh nominal</t>
        </is>
      </c>
    </row>
    <row r="987" ht="15" customHeight="1" s="78">
      <c r="A987" s="77" t="inlineStr">
        <is>
          <t>DE</t>
        </is>
      </c>
      <c r="B987" s="77" t="n">
        <v>2022</v>
      </c>
      <c r="C987" s="77" t="inlineStr">
        <is>
          <t>medium</t>
        </is>
      </c>
      <c r="D987" s="77" t="inlineStr">
        <is>
          <t>E1</t>
        </is>
      </c>
      <c r="E987" s="77" t="inlineStr">
        <is>
          <t>KWKG-Umlage (tranche blend at 20 GWh)</t>
        </is>
      </c>
      <c r="F987" s="77" t="inlineStr">
        <is>
          <t>2 Gen capital recovery</t>
        </is>
      </c>
      <c r="G987" s="77" t="inlineStr">
        <is>
          <t>CHP levy (Umlage)</t>
        </is>
      </c>
      <c r="H987" s="77" t="inlineStr">
        <is>
          <t>i</t>
        </is>
      </c>
      <c r="I987" s="77">
        <f>IF(ISNUMBER(N987),N987*fx_deflator!$J$17*fx_deflator!$M$17,"")</f>
        <v/>
      </c>
      <c r="J987" s="77" t="inlineStr">
        <is>
          <t>netztransparenz Uebersicht KWKG-Aufschlaege 2002-2016 + per-year pages; tranche blends</t>
        </is>
      </c>
      <c r="K987" s="77" t="inlineStr">
        <is>
          <t>stage4_de r22-24</t>
        </is>
      </c>
      <c r="L987" s="77" t="inlineStr">
        <is>
          <t>2026-07-15</t>
        </is>
      </c>
      <c r="M987" s="77" t="inlineStr">
        <is>
          <t>Y</t>
        </is>
      </c>
      <c r="N987" s="77">
        <f>stage4_de!P22*10</f>
        <v/>
      </c>
      <c r="O987" s="77" t="inlineStr">
        <is>
          <t>EUR/MWh nominal</t>
        </is>
      </c>
    </row>
    <row r="988" ht="15" customHeight="1" s="78">
      <c r="A988" s="77" t="inlineStr">
        <is>
          <t>DE</t>
        </is>
      </c>
      <c r="B988" s="77" t="n">
        <v>2022</v>
      </c>
      <c r="C988" s="77" t="inlineStr">
        <is>
          <t>medium</t>
        </is>
      </c>
      <c r="D988" s="77" t="inlineStr">
        <is>
          <t>E1</t>
        </is>
      </c>
      <c r="E988" s="77" t="inlineStr">
        <is>
          <t>sec.19 StromNEV-Umlage (blend at 20 GWh)</t>
        </is>
      </c>
      <c r="F988" s="77" t="inlineStr">
        <is>
          <t>4 System services &amp; balancing</t>
        </is>
      </c>
      <c r="G988" s="77" t="inlineStr">
        <is>
          <t>network levy (Umlage)</t>
        </is>
      </c>
      <c r="H988" s="77" t="inlineStr">
        <is>
          <t>ii (pays for other users relief)</t>
        </is>
      </c>
      <c r="I988" s="77">
        <f>IF(ISNUMBER(N988),N988*fx_deflator!$J$17*fx_deflator!$M$17,"")</f>
        <v/>
      </c>
      <c r="J988" s="77" t="inlineStr">
        <is>
          <t>netztransparenz per-year Umlagen pages (A-prime/B-prime/C-prime)</t>
        </is>
      </c>
      <c r="K988" s="77" t="inlineStr">
        <is>
          <t>stage4_de r25-27</t>
        </is>
      </c>
      <c r="L988" s="77" t="inlineStr">
        <is>
          <t>2026-07-15</t>
        </is>
      </c>
      <c r="M988" s="77" t="inlineStr">
        <is>
          <t>Y</t>
        </is>
      </c>
      <c r="N988" s="77">
        <f>(1*stage4_de!P25+19*stage4_de!P26)/20*10</f>
        <v/>
      </c>
      <c r="O988" s="77" t="inlineStr">
        <is>
          <t>EUR/MWh nominal</t>
        </is>
      </c>
    </row>
    <row r="989" ht="15" customHeight="1" s="78">
      <c r="A989" s="77" t="inlineStr">
        <is>
          <t>DE</t>
        </is>
      </c>
      <c r="B989" s="77" t="n">
        <v>2022</v>
      </c>
      <c r="C989" s="77" t="inlineStr">
        <is>
          <t>medium</t>
        </is>
      </c>
      <c r="D989" s="77" t="inlineStr">
        <is>
          <t>E1</t>
        </is>
      </c>
      <c r="E989" s="77" t="inlineStr">
        <is>
          <t>Offshore-Netzumlage (blend at 20 GWh to 2018)</t>
        </is>
      </c>
      <c r="F989" s="77" t="inlineStr">
        <is>
          <t>2 Gen capital recovery</t>
        </is>
      </c>
      <c r="G989" s="77" t="inlineStr">
        <is>
          <t>offshore grid levy (Umlage)</t>
        </is>
      </c>
      <c r="H989" s="77" t="inlineStr">
        <is>
          <t>i</t>
        </is>
      </c>
      <c r="I989" s="77">
        <f>IF(ISNUMBER(N989),N989*fx_deflator!$J$17*fx_deflator!$M$17,"")</f>
        <v/>
      </c>
      <c r="J989" s="77" t="inlineStr">
        <is>
          <t>netztransparenz Offshore-Umlage per-year pages</t>
        </is>
      </c>
      <c r="K989" s="77" t="inlineStr">
        <is>
          <t>stage4_de r28-30</t>
        </is>
      </c>
      <c r="L989" s="77" t="inlineStr">
        <is>
          <t>2026-07-15</t>
        </is>
      </c>
      <c r="M989" s="77" t="inlineStr">
        <is>
          <t>Y</t>
        </is>
      </c>
      <c r="N989" s="77">
        <f>stage4_de!P28*10</f>
        <v/>
      </c>
      <c r="O989" s="77" t="inlineStr">
        <is>
          <t>EUR/MWh nominal</t>
        </is>
      </c>
    </row>
    <row r="990" ht="15" customHeight="1" s="78">
      <c r="A990" s="77" t="inlineStr">
        <is>
          <t>DE</t>
        </is>
      </c>
      <c r="B990" s="77" t="n">
        <v>2022</v>
      </c>
      <c r="C990" s="77" t="inlineStr">
        <is>
          <t>medium</t>
        </is>
      </c>
      <c r="D990" s="77" t="inlineStr">
        <is>
          <t>E1</t>
        </is>
      </c>
      <c r="E990" s="77" t="inlineStr">
        <is>
          <t>AbLaV-Umlage</t>
        </is>
      </c>
      <c r="F990" s="77" t="inlineStr">
        <is>
          <t>4 System services &amp; balancing</t>
        </is>
      </c>
      <c r="G990" s="77" t="inlineStr">
        <is>
          <t>interruptible-load levy (Umlage)</t>
        </is>
      </c>
      <c r="H990" s="77" t="inlineStr">
        <is>
          <t>i</t>
        </is>
      </c>
      <c r="I990" s="77">
        <f>IF(ISNUMBER(N990),N990*fx_deflator!$J$17*fx_deflator!$M$17,"")</f>
        <v/>
      </c>
      <c r="J990" s="77" t="inlineStr">
        <is>
          <t>netztransparenz AbLaV-Umlage per-year pages (ends 2022)</t>
        </is>
      </c>
      <c r="K990" s="77" t="inlineStr">
        <is>
          <t>stage4_de r31</t>
        </is>
      </c>
      <c r="L990" s="77" t="inlineStr">
        <is>
          <t>2026-07-15</t>
        </is>
      </c>
      <c r="M990" s="77" t="inlineStr">
        <is>
          <t>N</t>
        </is>
      </c>
      <c r="N990" s="77">
        <f>IF(ISNUMBER(stage4_de!P31),stage4_de!P31*10,"")</f>
        <v/>
      </c>
      <c r="O990" s="77" t="inlineStr">
        <is>
          <t>EUR/MWh nominal</t>
        </is>
      </c>
    </row>
    <row r="991" ht="15" customHeight="1" s="78">
      <c r="A991" s="77" t="inlineStr">
        <is>
          <t>DE</t>
        </is>
      </c>
      <c r="B991" s="77" t="n">
        <v>2022</v>
      </c>
      <c r="C991" s="77" t="inlineStr">
        <is>
          <t>medium</t>
        </is>
      </c>
      <c r="D991" s="77" t="inlineStr">
        <is>
          <t>E1</t>
        </is>
      </c>
      <c r="E991" s="77" t="inlineStr">
        <is>
          <t>Stromsteuer (full sec.3)</t>
        </is>
      </c>
      <c r="F991" s="77" t="inlineStr">
        <is>
          <t>5 General taxation &amp; levies</t>
        </is>
      </c>
      <c r="G991" s="77" t="inlineStr">
        <is>
          <t>electricity tax</t>
        </is>
      </c>
      <c r="H991" s="77" t="inlineStr">
        <is>
          <t>i</t>
        </is>
      </c>
      <c r="I991" s="77">
        <f>IF(ISNUMBER(N991),N991*fx_deflator!$J$17*fx_deflator!$M$17,"")</f>
        <v/>
      </c>
      <c r="J991" s="77" t="inlineStr">
        <is>
          <t>StromStG sec.3/sec.9b (BGBl. 2025 I Nr. 340: 0.50 permanent from 2026); gesetze-im-internet.de</t>
        </is>
      </c>
      <c r="K991" s="77" t="inlineStr">
        <is>
          <t>stage4_de r34-35</t>
        </is>
      </c>
      <c r="L991" s="77" t="inlineStr">
        <is>
          <t>2026-07-15</t>
        </is>
      </c>
      <c r="M991" s="77" t="inlineStr">
        <is>
          <t>N</t>
        </is>
      </c>
      <c r="N991" s="77">
        <f>IF(ISNUMBER(stage4_de!P34),stage4_de!P34,"")</f>
        <v/>
      </c>
      <c r="O991" s="77" t="inlineStr">
        <is>
          <t>EUR/MWh nominal</t>
        </is>
      </c>
    </row>
    <row r="992" ht="15" customHeight="1" s="78">
      <c r="A992" s="77" t="inlineStr">
        <is>
          <t>DE</t>
        </is>
      </c>
      <c r="B992" s="77" t="n">
        <v>2022</v>
      </c>
      <c r="C992" s="77" t="inlineStr">
        <is>
          <t>medium</t>
        </is>
      </c>
      <c r="D992" s="77" t="inlineStr">
        <is>
          <t>E1</t>
        </is>
      </c>
      <c r="E992" s="77" t="inlineStr">
        <is>
          <t>Konzessionsabgabe (0 via Grenzpreis)</t>
        </is>
      </c>
      <c r="F992" s="77" t="inlineStr">
        <is>
          <t>5 General taxation &amp; levies</t>
        </is>
      </c>
      <c r="G992" s="77" t="inlineStr">
        <is>
          <t>concession fee</t>
        </is>
      </c>
      <c r="H992" s="77" t="inlineStr">
        <is>
          <t>i</t>
        </is>
      </c>
      <c r="I992" s="77">
        <f>IF(ISNUMBER(N992),N992*fx_deflator!$J$17*fx_deflator!$M$17,"")</f>
        <v/>
      </c>
      <c r="J992" s="77" t="inlineStr">
        <is>
          <t>KAV sec.2(3)/(4) Grenzpreis rule -&gt; 0 for Sondervertragskunden</t>
        </is>
      </c>
      <c r="K992" s="77" t="inlineStr">
        <is>
          <t>stage4_de r36</t>
        </is>
      </c>
      <c r="L992" s="77" t="inlineStr">
        <is>
          <t>2026-07-15</t>
        </is>
      </c>
      <c r="M992" s="77" t="inlineStr">
        <is>
          <t>N</t>
        </is>
      </c>
      <c r="N992" s="77">
        <f>IF(ISNUMBER(stage4_de!P36),stage4_de!P36*10,"")</f>
        <v/>
      </c>
      <c r="O992" s="77" t="inlineStr">
        <is>
          <t>EUR/MWh nominal</t>
        </is>
      </c>
    </row>
    <row r="993" ht="15" customHeight="1" s="78">
      <c r="A993" s="77" t="inlineStr">
        <is>
          <t>DE</t>
        </is>
      </c>
      <c r="B993" s="77" t="n">
        <v>2023</v>
      </c>
      <c r="C993" s="77" t="inlineStr">
        <is>
          <t>medium</t>
        </is>
      </c>
      <c r="D993" s="77" t="inlineStr">
        <is>
          <t>E1</t>
        </is>
      </c>
      <c r="E993" s="77" t="inlineStr">
        <is>
          <t>Wholesale (as large)</t>
        </is>
      </c>
      <c r="F993" s="77" t="inlineStr">
        <is>
          <t>1 Commodity</t>
        </is>
      </c>
      <c r="G993" s="77" t="inlineStr">
        <is>
          <t>wholesale market</t>
        </is>
      </c>
      <c r="H993" s="77" t="inlineStr">
        <is>
          <t>i</t>
        </is>
      </c>
      <c r="I993" s="77">
        <f>IF(ISNUMBER(N993),N993*fx_deflator!$J$18*fx_deflator!$M$18,"")</f>
        <v/>
      </c>
      <c r="J993" s="77" t="inlineStr">
        <is>
          <t>BNetzA Monitoringberichte — Phelix base front-year by trading yr -&gt; delivery yr; 2026 = D29</t>
        </is>
      </c>
      <c r="K993" s="77" t="inlineStr">
        <is>
          <t>stage4_de r7</t>
        </is>
      </c>
      <c r="L993" s="77" t="inlineStr">
        <is>
          <t>2026-07-15</t>
        </is>
      </c>
      <c r="M993" s="77" t="inlineStr">
        <is>
          <t>Y</t>
        </is>
      </c>
      <c r="N993" s="136">
        <f>IF(ISNUMBER(timeseries!Q57),timeseries!Q57,"")</f>
        <v/>
      </c>
      <c r="O993" s="77" t="inlineStr">
        <is>
          <t>EUR/MWh nominal</t>
        </is>
      </c>
    </row>
    <row r="994" ht="15" customHeight="1" s="78">
      <c r="A994" s="77" t="inlineStr">
        <is>
          <t>DE</t>
        </is>
      </c>
      <c r="B994" s="77" t="n">
        <v>2023</v>
      </c>
      <c r="C994" s="77" t="inlineStr">
        <is>
          <t>medium</t>
        </is>
      </c>
      <c r="D994" s="77" t="inlineStr">
        <is>
          <t>E1</t>
        </is>
      </c>
      <c r="E994" s="77" t="inlineStr">
        <is>
          <t>Netzentgelte MS (Westnetz; MB bridge 2010-12)</t>
        </is>
      </c>
      <c r="F994" s="77" t="inlineStr">
        <is>
          <t>3 Network</t>
        </is>
      </c>
      <c r="G994" s="77" t="inlineStr">
        <is>
          <t>distribution network charge</t>
        </is>
      </c>
      <c r="H994" s="77" t="inlineStr">
        <is>
          <t>i</t>
        </is>
      </c>
      <c r="I994" s="77">
        <f>IF(ISNUMBER(N994),N994*fx_deflator!$J$18*fx_deflator!$M$18,"")</f>
        <v/>
      </c>
      <c r="J994" s="77" t="inlineStr">
        <is>
          <t>Westnetz Preisblaetter (2013+, Wayback); BNetzA MB national avg bridge 2010-12 (D20)</t>
        </is>
      </c>
      <c r="K994" s="77" t="inlineStr">
        <is>
          <t>stage4_de r15-17</t>
        </is>
      </c>
      <c r="L994" s="77" t="inlineStr">
        <is>
          <t>2026-07-15</t>
        </is>
      </c>
      <c r="M994" s="77" t="inlineStr">
        <is>
          <t>Y</t>
        </is>
      </c>
      <c r="N994" s="136">
        <f>IF(ISNUMBER(timeseries!Q58),timeseries!Q58,"")</f>
        <v/>
      </c>
      <c r="O994" s="77" t="inlineStr">
        <is>
          <t>EUR/MWh nominal</t>
        </is>
      </c>
      <c r="P994" s="77" t="inlineStr">
        <is>
          <t>no sec.19 relief at 5,000h (fails Satz 2) — E1=E2</t>
        </is>
      </c>
    </row>
    <row r="995" ht="15" customHeight="1" s="78">
      <c r="A995" s="77" t="inlineStr">
        <is>
          <t>DE</t>
        </is>
      </c>
      <c r="B995" s="77" t="n">
        <v>2023</v>
      </c>
      <c r="C995" s="77" t="inlineStr">
        <is>
          <t>medium</t>
        </is>
      </c>
      <c r="D995" s="77" t="inlineStr">
        <is>
          <t>E1</t>
        </is>
      </c>
      <c r="E995" s="77" t="inlineStr">
        <is>
          <t>EEG-Umlage (full)</t>
        </is>
      </c>
      <c r="F995" s="77" t="inlineStr">
        <is>
          <t>2 Gen capital recovery</t>
        </is>
      </c>
      <c r="G995" s="77" t="inlineStr">
        <is>
          <t>renewables levy (Umlage)</t>
        </is>
      </c>
      <c r="H995" s="77" t="inlineStr">
        <is>
          <t>i (0 from 07/2022 — taxpayer, see HATCH iii)</t>
        </is>
      </c>
      <c r="I995" s="77">
        <f>IF(ISNUMBER(N995),N995*fx_deflator!$J$18*fx_deflator!$M$18,"")</f>
        <v/>
      </c>
      <c r="J995" s="77" t="inlineStr">
        <is>
          <t>netztransparenz.de EEG-Umlagen der Vorjahre + per-year pages</t>
        </is>
      </c>
      <c r="K995" s="77" t="inlineStr">
        <is>
          <t>stage4_de r21</t>
        </is>
      </c>
      <c r="L995" s="77" t="inlineStr">
        <is>
          <t>2026-07-15</t>
        </is>
      </c>
      <c r="M995" s="77" t="inlineStr">
        <is>
          <t>N</t>
        </is>
      </c>
      <c r="N995" s="77">
        <f>IF(ISNUMBER(stage4_de!Q21),stage4_de!Q21*10,"")</f>
        <v/>
      </c>
      <c r="O995" s="77" t="inlineStr">
        <is>
          <t>EUR/MWh nominal</t>
        </is>
      </c>
    </row>
    <row r="996" ht="15" customHeight="1" s="78">
      <c r="A996" s="77" t="inlineStr">
        <is>
          <t>DE</t>
        </is>
      </c>
      <c r="B996" s="77" t="n">
        <v>2023</v>
      </c>
      <c r="C996" s="77" t="inlineStr">
        <is>
          <t>medium</t>
        </is>
      </c>
      <c r="D996" s="77" t="inlineStr">
        <is>
          <t>E1</t>
        </is>
      </c>
      <c r="E996" s="77" t="inlineStr">
        <is>
          <t>KWKG-Umlage (tranche blend at 20 GWh)</t>
        </is>
      </c>
      <c r="F996" s="77" t="inlineStr">
        <is>
          <t>2 Gen capital recovery</t>
        </is>
      </c>
      <c r="G996" s="77" t="inlineStr">
        <is>
          <t>CHP levy (Umlage)</t>
        </is>
      </c>
      <c r="H996" s="77" t="inlineStr">
        <is>
          <t>i</t>
        </is>
      </c>
      <c r="I996" s="77">
        <f>IF(ISNUMBER(N996),N996*fx_deflator!$J$18*fx_deflator!$M$18,"")</f>
        <v/>
      </c>
      <c r="J996" s="77" t="inlineStr">
        <is>
          <t>netztransparenz Uebersicht KWKG-Aufschlaege 2002-2016 + per-year pages; tranche blends</t>
        </is>
      </c>
      <c r="K996" s="77" t="inlineStr">
        <is>
          <t>stage4_de r22-24</t>
        </is>
      </c>
      <c r="L996" s="77" t="inlineStr">
        <is>
          <t>2026-07-15</t>
        </is>
      </c>
      <c r="M996" s="77" t="inlineStr">
        <is>
          <t>Y</t>
        </is>
      </c>
      <c r="N996" s="77">
        <f>stage4_de!Q22*10</f>
        <v/>
      </c>
      <c r="O996" s="77" t="inlineStr">
        <is>
          <t>EUR/MWh nominal</t>
        </is>
      </c>
    </row>
    <row r="997" ht="15" customHeight="1" s="78">
      <c r="A997" s="77" t="inlineStr">
        <is>
          <t>DE</t>
        </is>
      </c>
      <c r="B997" s="77" t="n">
        <v>2023</v>
      </c>
      <c r="C997" s="77" t="inlineStr">
        <is>
          <t>medium</t>
        </is>
      </c>
      <c r="D997" s="77" t="inlineStr">
        <is>
          <t>E1</t>
        </is>
      </c>
      <c r="E997" s="77" t="inlineStr">
        <is>
          <t>sec.19 StromNEV-Umlage (blend at 20 GWh)</t>
        </is>
      </c>
      <c r="F997" s="77" t="inlineStr">
        <is>
          <t>4 System services &amp; balancing</t>
        </is>
      </c>
      <c r="G997" s="77" t="inlineStr">
        <is>
          <t>network levy (Umlage)</t>
        </is>
      </c>
      <c r="H997" s="77" t="inlineStr">
        <is>
          <t>ii (pays for other users relief)</t>
        </is>
      </c>
      <c r="I997" s="77">
        <f>IF(ISNUMBER(N997),N997*fx_deflator!$J$18*fx_deflator!$M$18,"")</f>
        <v/>
      </c>
      <c r="J997" s="77" t="inlineStr">
        <is>
          <t>netztransparenz per-year Umlagen pages (A-prime/B-prime/C-prime)</t>
        </is>
      </c>
      <c r="K997" s="77" t="inlineStr">
        <is>
          <t>stage4_de r25-27</t>
        </is>
      </c>
      <c r="L997" s="77" t="inlineStr">
        <is>
          <t>2026-07-15</t>
        </is>
      </c>
      <c r="M997" s="77" t="inlineStr">
        <is>
          <t>Y</t>
        </is>
      </c>
      <c r="N997" s="77">
        <f>(1*stage4_de!Q25+19*stage4_de!Q26)/20*10</f>
        <v/>
      </c>
      <c r="O997" s="77" t="inlineStr">
        <is>
          <t>EUR/MWh nominal</t>
        </is>
      </c>
    </row>
    <row r="998" ht="15" customHeight="1" s="78">
      <c r="A998" s="77" t="inlineStr">
        <is>
          <t>DE</t>
        </is>
      </c>
      <c r="B998" s="77" t="n">
        <v>2023</v>
      </c>
      <c r="C998" s="77" t="inlineStr">
        <is>
          <t>medium</t>
        </is>
      </c>
      <c r="D998" s="77" t="inlineStr">
        <is>
          <t>E1</t>
        </is>
      </c>
      <c r="E998" s="77" t="inlineStr">
        <is>
          <t>Offshore-Netzumlage (blend at 20 GWh to 2018)</t>
        </is>
      </c>
      <c r="F998" s="77" t="inlineStr">
        <is>
          <t>2 Gen capital recovery</t>
        </is>
      </c>
      <c r="G998" s="77" t="inlineStr">
        <is>
          <t>offshore grid levy (Umlage)</t>
        </is>
      </c>
      <c r="H998" s="77" t="inlineStr">
        <is>
          <t>i</t>
        </is>
      </c>
      <c r="I998" s="77">
        <f>IF(ISNUMBER(N998),N998*fx_deflator!$J$18*fx_deflator!$M$18,"")</f>
        <v/>
      </c>
      <c r="J998" s="77" t="inlineStr">
        <is>
          <t>netztransparenz Offshore-Umlage per-year pages</t>
        </is>
      </c>
      <c r="K998" s="77" t="inlineStr">
        <is>
          <t>stage4_de r28-30</t>
        </is>
      </c>
      <c r="L998" s="77" t="inlineStr">
        <is>
          <t>2026-07-15</t>
        </is>
      </c>
      <c r="M998" s="77" t="inlineStr">
        <is>
          <t>Y</t>
        </is>
      </c>
      <c r="N998" s="77">
        <f>stage4_de!Q28*10</f>
        <v/>
      </c>
      <c r="O998" s="77" t="inlineStr">
        <is>
          <t>EUR/MWh nominal</t>
        </is>
      </c>
    </row>
    <row r="999" ht="15" customHeight="1" s="78">
      <c r="A999" s="77" t="inlineStr">
        <is>
          <t>DE</t>
        </is>
      </c>
      <c r="B999" s="77" t="n">
        <v>2023</v>
      </c>
      <c r="C999" s="77" t="inlineStr">
        <is>
          <t>medium</t>
        </is>
      </c>
      <c r="D999" s="77" t="inlineStr">
        <is>
          <t>E1</t>
        </is>
      </c>
      <c r="E999" s="77" t="inlineStr">
        <is>
          <t>AbLaV-Umlage</t>
        </is>
      </c>
      <c r="F999" s="77" t="inlineStr">
        <is>
          <t>4 System services &amp; balancing</t>
        </is>
      </c>
      <c r="G999" s="77" t="inlineStr">
        <is>
          <t>interruptible-load levy (Umlage)</t>
        </is>
      </c>
      <c r="H999" s="77" t="inlineStr">
        <is>
          <t>i</t>
        </is>
      </c>
      <c r="I999" s="77">
        <f>IF(ISNUMBER(N999),N999*fx_deflator!$J$18*fx_deflator!$M$18,"")</f>
        <v/>
      </c>
      <c r="J999" s="77" t="inlineStr">
        <is>
          <t>netztransparenz AbLaV-Umlage per-year pages (ends 2022)</t>
        </is>
      </c>
      <c r="K999" s="77" t="inlineStr">
        <is>
          <t>stage4_de r31</t>
        </is>
      </c>
      <c r="L999" s="77" t="inlineStr">
        <is>
          <t>2026-07-15</t>
        </is>
      </c>
      <c r="M999" s="77" t="inlineStr">
        <is>
          <t>N</t>
        </is>
      </c>
      <c r="N999" s="77">
        <f>IF(ISNUMBER(stage4_de!Q31),stage4_de!Q31*10,"")</f>
        <v/>
      </c>
      <c r="O999" s="77" t="inlineStr">
        <is>
          <t>EUR/MWh nominal</t>
        </is>
      </c>
    </row>
    <row r="1000" ht="15" customHeight="1" s="78">
      <c r="A1000" s="77" t="inlineStr">
        <is>
          <t>DE</t>
        </is>
      </c>
      <c r="B1000" s="77" t="n">
        <v>2023</v>
      </c>
      <c r="C1000" s="77" t="inlineStr">
        <is>
          <t>medium</t>
        </is>
      </c>
      <c r="D1000" s="77" t="inlineStr">
        <is>
          <t>E1</t>
        </is>
      </c>
      <c r="E1000" s="77" t="inlineStr">
        <is>
          <t>Stromsteuer (full sec.3)</t>
        </is>
      </c>
      <c r="F1000" s="77" t="inlineStr">
        <is>
          <t>5 General taxation &amp; levies</t>
        </is>
      </c>
      <c r="G1000" s="77" t="inlineStr">
        <is>
          <t>electricity tax</t>
        </is>
      </c>
      <c r="H1000" s="77" t="inlineStr">
        <is>
          <t>i</t>
        </is>
      </c>
      <c r="I1000" s="77">
        <f>IF(ISNUMBER(N1000),N1000*fx_deflator!$J$18*fx_deflator!$M$18,"")</f>
        <v/>
      </c>
      <c r="J1000" s="77" t="inlineStr">
        <is>
          <t>StromStG sec.3/sec.9b (BGBl. 2025 I Nr. 340: 0.50 permanent from 2026); gesetze-im-internet.de</t>
        </is>
      </c>
      <c r="K1000" s="77" t="inlineStr">
        <is>
          <t>stage4_de r34-35</t>
        </is>
      </c>
      <c r="L1000" s="77" t="inlineStr">
        <is>
          <t>2026-07-15</t>
        </is>
      </c>
      <c r="M1000" s="77" t="inlineStr">
        <is>
          <t>N</t>
        </is>
      </c>
      <c r="N1000" s="77">
        <f>IF(ISNUMBER(stage4_de!Q34),stage4_de!Q34,"")</f>
        <v/>
      </c>
      <c r="O1000" s="77" t="inlineStr">
        <is>
          <t>EUR/MWh nominal</t>
        </is>
      </c>
    </row>
    <row r="1001" ht="15" customHeight="1" s="78">
      <c r="A1001" s="77" t="inlineStr">
        <is>
          <t>DE</t>
        </is>
      </c>
      <c r="B1001" s="77" t="n">
        <v>2023</v>
      </c>
      <c r="C1001" s="77" t="inlineStr">
        <is>
          <t>medium</t>
        </is>
      </c>
      <c r="D1001" s="77" t="inlineStr">
        <is>
          <t>E1</t>
        </is>
      </c>
      <c r="E1001" s="77" t="inlineStr">
        <is>
          <t>Konzessionsabgabe (0 via Grenzpreis)</t>
        </is>
      </c>
      <c r="F1001" s="77" t="inlineStr">
        <is>
          <t>5 General taxation &amp; levies</t>
        </is>
      </c>
      <c r="G1001" s="77" t="inlineStr">
        <is>
          <t>concession fee</t>
        </is>
      </c>
      <c r="H1001" s="77" t="inlineStr">
        <is>
          <t>i</t>
        </is>
      </c>
      <c r="I1001" s="77">
        <f>IF(ISNUMBER(N1001),N1001*fx_deflator!$J$18*fx_deflator!$M$18,"")</f>
        <v/>
      </c>
      <c r="J1001" s="77" t="inlineStr">
        <is>
          <t>KAV sec.2(3)/(4) Grenzpreis rule -&gt; 0 for Sondervertragskunden</t>
        </is>
      </c>
      <c r="K1001" s="77" t="inlineStr">
        <is>
          <t>stage4_de r36</t>
        </is>
      </c>
      <c r="L1001" s="77" t="inlineStr">
        <is>
          <t>2026-07-15</t>
        </is>
      </c>
      <c r="M1001" s="77" t="inlineStr">
        <is>
          <t>N</t>
        </is>
      </c>
      <c r="N1001" s="77">
        <f>IF(ISNUMBER(stage4_de!Q36),stage4_de!Q36*10,"")</f>
        <v/>
      </c>
      <c r="O1001" s="77" t="inlineStr">
        <is>
          <t>EUR/MWh nominal</t>
        </is>
      </c>
    </row>
    <row r="1002" ht="15" customHeight="1" s="78">
      <c r="A1002" s="77" t="inlineStr">
        <is>
          <t>DE</t>
        </is>
      </c>
      <c r="B1002" s="77" t="n">
        <v>2024</v>
      </c>
      <c r="C1002" s="77" t="inlineStr">
        <is>
          <t>medium</t>
        </is>
      </c>
      <c r="D1002" s="77" t="inlineStr">
        <is>
          <t>E1</t>
        </is>
      </c>
      <c r="E1002" s="77" t="inlineStr">
        <is>
          <t>Wholesale (as large)</t>
        </is>
      </c>
      <c r="F1002" s="77" t="inlineStr">
        <is>
          <t>1 Commodity</t>
        </is>
      </c>
      <c r="G1002" s="77" t="inlineStr">
        <is>
          <t>wholesale market</t>
        </is>
      </c>
      <c r="H1002" s="77" t="inlineStr">
        <is>
          <t>i</t>
        </is>
      </c>
      <c r="I1002" s="77">
        <f>IF(ISNUMBER(N1002),N1002*fx_deflator!$J$19*fx_deflator!$M$19,"")</f>
        <v/>
      </c>
      <c r="J1002" s="77" t="inlineStr">
        <is>
          <t>BNetzA Monitoringberichte — Phelix base front-year by trading yr -&gt; delivery yr; 2026 = D29</t>
        </is>
      </c>
      <c r="K1002" s="77" t="inlineStr">
        <is>
          <t>stage4_de r7</t>
        </is>
      </c>
      <c r="L1002" s="77" t="inlineStr">
        <is>
          <t>2026-07-15</t>
        </is>
      </c>
      <c r="M1002" s="77" t="inlineStr">
        <is>
          <t>Y</t>
        </is>
      </c>
      <c r="N1002" s="136">
        <f>IF(ISNUMBER(timeseries!R57),timeseries!R57,"")</f>
        <v/>
      </c>
      <c r="O1002" s="77" t="inlineStr">
        <is>
          <t>EUR/MWh nominal</t>
        </is>
      </c>
    </row>
    <row r="1003" ht="15" customHeight="1" s="78">
      <c r="A1003" s="77" t="inlineStr">
        <is>
          <t>DE</t>
        </is>
      </c>
      <c r="B1003" s="77" t="n">
        <v>2024</v>
      </c>
      <c r="C1003" s="77" t="inlineStr">
        <is>
          <t>medium</t>
        </is>
      </c>
      <c r="D1003" s="77" t="inlineStr">
        <is>
          <t>E1</t>
        </is>
      </c>
      <c r="E1003" s="77" t="inlineStr">
        <is>
          <t>Netzentgelte MS (Westnetz; MB bridge 2010-12)</t>
        </is>
      </c>
      <c r="F1003" s="77" t="inlineStr">
        <is>
          <t>3 Network</t>
        </is>
      </c>
      <c r="G1003" s="77" t="inlineStr">
        <is>
          <t>distribution network charge</t>
        </is>
      </c>
      <c r="H1003" s="77" t="inlineStr">
        <is>
          <t>i</t>
        </is>
      </c>
      <c r="I1003" s="77">
        <f>IF(ISNUMBER(N1003),N1003*fx_deflator!$J$19*fx_deflator!$M$19,"")</f>
        <v/>
      </c>
      <c r="J1003" s="77" t="inlineStr">
        <is>
          <t>Westnetz Preisblaetter (2013+, Wayback); BNetzA MB national avg bridge 2010-12 (D20)</t>
        </is>
      </c>
      <c r="K1003" s="77" t="inlineStr">
        <is>
          <t>stage4_de r15-17</t>
        </is>
      </c>
      <c r="L1003" s="77" t="inlineStr">
        <is>
          <t>2026-07-15</t>
        </is>
      </c>
      <c r="M1003" s="77" t="inlineStr">
        <is>
          <t>Y</t>
        </is>
      </c>
      <c r="N1003" s="136">
        <f>IF(ISNUMBER(timeseries!R58),timeseries!R58,"")</f>
        <v/>
      </c>
      <c r="O1003" s="77" t="inlineStr">
        <is>
          <t>EUR/MWh nominal</t>
        </is>
      </c>
      <c r="P1003" s="77" t="inlineStr">
        <is>
          <t>no sec.19 relief at 5,000h (fails Satz 2) — E1=E2</t>
        </is>
      </c>
    </row>
    <row r="1004" ht="15" customHeight="1" s="78">
      <c r="A1004" s="77" t="inlineStr">
        <is>
          <t>DE</t>
        </is>
      </c>
      <c r="B1004" s="77" t="n">
        <v>2024</v>
      </c>
      <c r="C1004" s="77" t="inlineStr">
        <is>
          <t>medium</t>
        </is>
      </c>
      <c r="D1004" s="77" t="inlineStr">
        <is>
          <t>E1</t>
        </is>
      </c>
      <c r="E1004" s="77" t="inlineStr">
        <is>
          <t>EEG-Umlage (full)</t>
        </is>
      </c>
      <c r="F1004" s="77" t="inlineStr">
        <is>
          <t>2 Gen capital recovery</t>
        </is>
      </c>
      <c r="G1004" s="77" t="inlineStr">
        <is>
          <t>renewables levy (Umlage)</t>
        </is>
      </c>
      <c r="H1004" s="77" t="inlineStr">
        <is>
          <t>i (0 from 07/2022 — taxpayer, see HATCH iii)</t>
        </is>
      </c>
      <c r="I1004" s="77">
        <f>IF(ISNUMBER(N1004),N1004*fx_deflator!$J$19*fx_deflator!$M$19,"")</f>
        <v/>
      </c>
      <c r="J1004" s="77" t="inlineStr">
        <is>
          <t>netztransparenz.de EEG-Umlagen der Vorjahre + per-year pages</t>
        </is>
      </c>
      <c r="K1004" s="77" t="inlineStr">
        <is>
          <t>stage4_de r21</t>
        </is>
      </c>
      <c r="L1004" s="77" t="inlineStr">
        <is>
          <t>2026-07-15</t>
        </is>
      </c>
      <c r="M1004" s="77" t="inlineStr">
        <is>
          <t>N</t>
        </is>
      </c>
      <c r="N1004" s="77">
        <f>IF(ISNUMBER(stage4_de!R21),stage4_de!R21*10,"")</f>
        <v/>
      </c>
      <c r="O1004" s="77" t="inlineStr">
        <is>
          <t>EUR/MWh nominal</t>
        </is>
      </c>
    </row>
    <row r="1005" ht="15" customHeight="1" s="78">
      <c r="A1005" s="77" t="inlineStr">
        <is>
          <t>DE</t>
        </is>
      </c>
      <c r="B1005" s="77" t="n">
        <v>2024</v>
      </c>
      <c r="C1005" s="77" t="inlineStr">
        <is>
          <t>medium</t>
        </is>
      </c>
      <c r="D1005" s="77" t="inlineStr">
        <is>
          <t>E1</t>
        </is>
      </c>
      <c r="E1005" s="77" t="inlineStr">
        <is>
          <t>KWKG-Umlage (tranche blend at 20 GWh)</t>
        </is>
      </c>
      <c r="F1005" s="77" t="inlineStr">
        <is>
          <t>2 Gen capital recovery</t>
        </is>
      </c>
      <c r="G1005" s="77" t="inlineStr">
        <is>
          <t>CHP levy (Umlage)</t>
        </is>
      </c>
      <c r="H1005" s="77" t="inlineStr">
        <is>
          <t>i</t>
        </is>
      </c>
      <c r="I1005" s="77">
        <f>IF(ISNUMBER(N1005),N1005*fx_deflator!$J$19*fx_deflator!$M$19,"")</f>
        <v/>
      </c>
      <c r="J1005" s="77" t="inlineStr">
        <is>
          <t>netztransparenz Uebersicht KWKG-Aufschlaege 2002-2016 + per-year pages; tranche blends</t>
        </is>
      </c>
      <c r="K1005" s="77" t="inlineStr">
        <is>
          <t>stage4_de r22-24</t>
        </is>
      </c>
      <c r="L1005" s="77" t="inlineStr">
        <is>
          <t>2026-07-15</t>
        </is>
      </c>
      <c r="M1005" s="77" t="inlineStr">
        <is>
          <t>Y</t>
        </is>
      </c>
      <c r="N1005" s="77">
        <f>stage4_de!R22*10</f>
        <v/>
      </c>
      <c r="O1005" s="77" t="inlineStr">
        <is>
          <t>EUR/MWh nominal</t>
        </is>
      </c>
    </row>
    <row r="1006" ht="15" customHeight="1" s="78">
      <c r="A1006" s="77" t="inlineStr">
        <is>
          <t>DE</t>
        </is>
      </c>
      <c r="B1006" s="77" t="n">
        <v>2024</v>
      </c>
      <c r="C1006" s="77" t="inlineStr">
        <is>
          <t>medium</t>
        </is>
      </c>
      <c r="D1006" s="77" t="inlineStr">
        <is>
          <t>E1</t>
        </is>
      </c>
      <c r="E1006" s="77" t="inlineStr">
        <is>
          <t>sec.19 StromNEV-Umlage (blend at 20 GWh)</t>
        </is>
      </c>
      <c r="F1006" s="77" t="inlineStr">
        <is>
          <t>4 System services &amp; balancing</t>
        </is>
      </c>
      <c r="G1006" s="77" t="inlineStr">
        <is>
          <t>network levy (Umlage)</t>
        </is>
      </c>
      <c r="H1006" s="77" t="inlineStr">
        <is>
          <t>ii (pays for other users relief)</t>
        </is>
      </c>
      <c r="I1006" s="77">
        <f>IF(ISNUMBER(N1006),N1006*fx_deflator!$J$19*fx_deflator!$M$19,"")</f>
        <v/>
      </c>
      <c r="J1006" s="77" t="inlineStr">
        <is>
          <t>netztransparenz per-year Umlagen pages (A-prime/B-prime/C-prime)</t>
        </is>
      </c>
      <c r="K1006" s="77" t="inlineStr">
        <is>
          <t>stage4_de r25-27</t>
        </is>
      </c>
      <c r="L1006" s="77" t="inlineStr">
        <is>
          <t>2026-07-15</t>
        </is>
      </c>
      <c r="M1006" s="77" t="inlineStr">
        <is>
          <t>Y</t>
        </is>
      </c>
      <c r="N1006" s="77">
        <f>(1*stage4_de!R25+19*stage4_de!R26)/20*10</f>
        <v/>
      </c>
      <c r="O1006" s="77" t="inlineStr">
        <is>
          <t>EUR/MWh nominal</t>
        </is>
      </c>
    </row>
    <row r="1007" ht="15" customHeight="1" s="78">
      <c r="A1007" s="77" t="inlineStr">
        <is>
          <t>DE</t>
        </is>
      </c>
      <c r="B1007" s="77" t="n">
        <v>2024</v>
      </c>
      <c r="C1007" s="77" t="inlineStr">
        <is>
          <t>medium</t>
        </is>
      </c>
      <c r="D1007" s="77" t="inlineStr">
        <is>
          <t>E1</t>
        </is>
      </c>
      <c r="E1007" s="77" t="inlineStr">
        <is>
          <t>Offshore-Netzumlage (blend at 20 GWh to 2018)</t>
        </is>
      </c>
      <c r="F1007" s="77" t="inlineStr">
        <is>
          <t>2 Gen capital recovery</t>
        </is>
      </c>
      <c r="G1007" s="77" t="inlineStr">
        <is>
          <t>offshore grid levy (Umlage)</t>
        </is>
      </c>
      <c r="H1007" s="77" t="inlineStr">
        <is>
          <t>i</t>
        </is>
      </c>
      <c r="I1007" s="77">
        <f>IF(ISNUMBER(N1007),N1007*fx_deflator!$J$19*fx_deflator!$M$19,"")</f>
        <v/>
      </c>
      <c r="J1007" s="77" t="inlineStr">
        <is>
          <t>netztransparenz Offshore-Umlage per-year pages</t>
        </is>
      </c>
      <c r="K1007" s="77" t="inlineStr">
        <is>
          <t>stage4_de r28-30</t>
        </is>
      </c>
      <c r="L1007" s="77" t="inlineStr">
        <is>
          <t>2026-07-15</t>
        </is>
      </c>
      <c r="M1007" s="77" t="inlineStr">
        <is>
          <t>Y</t>
        </is>
      </c>
      <c r="N1007" s="77">
        <f>stage4_de!R28*10</f>
        <v/>
      </c>
      <c r="O1007" s="77" t="inlineStr">
        <is>
          <t>EUR/MWh nominal</t>
        </is>
      </c>
    </row>
    <row r="1008" ht="15" customHeight="1" s="78">
      <c r="A1008" s="77" t="inlineStr">
        <is>
          <t>DE</t>
        </is>
      </c>
      <c r="B1008" s="77" t="n">
        <v>2024</v>
      </c>
      <c r="C1008" s="77" t="inlineStr">
        <is>
          <t>medium</t>
        </is>
      </c>
      <c r="D1008" s="77" t="inlineStr">
        <is>
          <t>E1</t>
        </is>
      </c>
      <c r="E1008" s="77" t="inlineStr">
        <is>
          <t>AbLaV-Umlage</t>
        </is>
      </c>
      <c r="F1008" s="77" t="inlineStr">
        <is>
          <t>4 System services &amp; balancing</t>
        </is>
      </c>
      <c r="G1008" s="77" t="inlineStr">
        <is>
          <t>interruptible-load levy (Umlage)</t>
        </is>
      </c>
      <c r="H1008" s="77" t="inlineStr">
        <is>
          <t>i</t>
        </is>
      </c>
      <c r="I1008" s="77">
        <f>IF(ISNUMBER(N1008),N1008*fx_deflator!$J$19*fx_deflator!$M$19,"")</f>
        <v/>
      </c>
      <c r="J1008" s="77" t="inlineStr">
        <is>
          <t>netztransparenz AbLaV-Umlage per-year pages (ends 2022)</t>
        </is>
      </c>
      <c r="K1008" s="77" t="inlineStr">
        <is>
          <t>stage4_de r31</t>
        </is>
      </c>
      <c r="L1008" s="77" t="inlineStr">
        <is>
          <t>2026-07-15</t>
        </is>
      </c>
      <c r="M1008" s="77" t="inlineStr">
        <is>
          <t>N</t>
        </is>
      </c>
      <c r="N1008" s="77">
        <f>IF(ISNUMBER(stage4_de!R31),stage4_de!R31*10,"")</f>
        <v/>
      </c>
      <c r="O1008" s="77" t="inlineStr">
        <is>
          <t>EUR/MWh nominal</t>
        </is>
      </c>
    </row>
    <row r="1009" ht="15" customHeight="1" s="78">
      <c r="A1009" s="77" t="inlineStr">
        <is>
          <t>DE</t>
        </is>
      </c>
      <c r="B1009" s="77" t="n">
        <v>2024</v>
      </c>
      <c r="C1009" s="77" t="inlineStr">
        <is>
          <t>medium</t>
        </is>
      </c>
      <c r="D1009" s="77" t="inlineStr">
        <is>
          <t>E1</t>
        </is>
      </c>
      <c r="E1009" s="77" t="inlineStr">
        <is>
          <t>Stromsteuer (full sec.3)</t>
        </is>
      </c>
      <c r="F1009" s="77" t="inlineStr">
        <is>
          <t>5 General taxation &amp; levies</t>
        </is>
      </c>
      <c r="G1009" s="77" t="inlineStr">
        <is>
          <t>electricity tax</t>
        </is>
      </c>
      <c r="H1009" s="77" t="inlineStr">
        <is>
          <t>i</t>
        </is>
      </c>
      <c r="I1009" s="77">
        <f>IF(ISNUMBER(N1009),N1009*fx_deflator!$J$19*fx_deflator!$M$19,"")</f>
        <v/>
      </c>
      <c r="J1009" s="77" t="inlineStr">
        <is>
          <t>StromStG sec.3/sec.9b (BGBl. 2025 I Nr. 340: 0.50 permanent from 2026); gesetze-im-internet.de</t>
        </is>
      </c>
      <c r="K1009" s="77" t="inlineStr">
        <is>
          <t>stage4_de r34-35</t>
        </is>
      </c>
      <c r="L1009" s="77" t="inlineStr">
        <is>
          <t>2026-07-15</t>
        </is>
      </c>
      <c r="M1009" s="77" t="inlineStr">
        <is>
          <t>N</t>
        </is>
      </c>
      <c r="N1009" s="77">
        <f>IF(ISNUMBER(stage4_de!R34),stage4_de!R34,"")</f>
        <v/>
      </c>
      <c r="O1009" s="77" t="inlineStr">
        <is>
          <t>EUR/MWh nominal</t>
        </is>
      </c>
    </row>
    <row r="1010" ht="15" customHeight="1" s="78">
      <c r="A1010" s="77" t="inlineStr">
        <is>
          <t>DE</t>
        </is>
      </c>
      <c r="B1010" s="77" t="n">
        <v>2024</v>
      </c>
      <c r="C1010" s="77" t="inlineStr">
        <is>
          <t>medium</t>
        </is>
      </c>
      <c r="D1010" s="77" t="inlineStr">
        <is>
          <t>E1</t>
        </is>
      </c>
      <c r="E1010" s="77" t="inlineStr">
        <is>
          <t>Konzessionsabgabe (0 via Grenzpreis)</t>
        </is>
      </c>
      <c r="F1010" s="77" t="inlineStr">
        <is>
          <t>5 General taxation &amp; levies</t>
        </is>
      </c>
      <c r="G1010" s="77" t="inlineStr">
        <is>
          <t>concession fee</t>
        </is>
      </c>
      <c r="H1010" s="77" t="inlineStr">
        <is>
          <t>i</t>
        </is>
      </c>
      <c r="I1010" s="77">
        <f>IF(ISNUMBER(N1010),N1010*fx_deflator!$J$19*fx_deflator!$M$19,"")</f>
        <v/>
      </c>
      <c r="J1010" s="77" t="inlineStr">
        <is>
          <t>KAV sec.2(3)/(4) Grenzpreis rule -&gt; 0 for Sondervertragskunden</t>
        </is>
      </c>
      <c r="K1010" s="77" t="inlineStr">
        <is>
          <t>stage4_de r36</t>
        </is>
      </c>
      <c r="L1010" s="77" t="inlineStr">
        <is>
          <t>2026-07-15</t>
        </is>
      </c>
      <c r="M1010" s="77" t="inlineStr">
        <is>
          <t>N</t>
        </is>
      </c>
      <c r="N1010" s="77">
        <f>IF(ISNUMBER(stage4_de!R36),stage4_de!R36*10,"")</f>
        <v/>
      </c>
      <c r="O1010" s="77" t="inlineStr">
        <is>
          <t>EUR/MWh nominal</t>
        </is>
      </c>
    </row>
    <row r="1011" ht="15" customHeight="1" s="78">
      <c r="A1011" s="77" t="inlineStr">
        <is>
          <t>DE</t>
        </is>
      </c>
      <c r="B1011" s="77" t="n">
        <v>2025</v>
      </c>
      <c r="C1011" s="77" t="inlineStr">
        <is>
          <t>medium</t>
        </is>
      </c>
      <c r="D1011" s="77" t="inlineStr">
        <is>
          <t>E1</t>
        </is>
      </c>
      <c r="E1011" s="77" t="inlineStr">
        <is>
          <t>Wholesale (as large)</t>
        </is>
      </c>
      <c r="F1011" s="77" t="inlineStr">
        <is>
          <t>1 Commodity</t>
        </is>
      </c>
      <c r="G1011" s="77" t="inlineStr">
        <is>
          <t>wholesale market</t>
        </is>
      </c>
      <c r="H1011" s="77" t="inlineStr">
        <is>
          <t>i</t>
        </is>
      </c>
      <c r="I1011" s="77">
        <f>IF(ISNUMBER(N1011),N1011*fx_deflator!$J$20*fx_deflator!$M$20,"")</f>
        <v/>
      </c>
      <c r="J1011" s="77" t="inlineStr">
        <is>
          <t>BNetzA Monitoringberichte — Phelix base front-year by trading yr -&gt; delivery yr; 2026 = D29</t>
        </is>
      </c>
      <c r="K1011" s="77" t="inlineStr">
        <is>
          <t>stage4_de r7</t>
        </is>
      </c>
      <c r="L1011" s="77" t="inlineStr">
        <is>
          <t>2026-07-15</t>
        </is>
      </c>
      <c r="M1011" s="77" t="inlineStr">
        <is>
          <t>Y</t>
        </is>
      </c>
      <c r="N1011" s="136">
        <f>IF(ISNUMBER(timeseries!S57),timeseries!S57,"")</f>
        <v/>
      </c>
      <c r="O1011" s="77" t="inlineStr">
        <is>
          <t>EUR/MWh nominal</t>
        </is>
      </c>
    </row>
    <row r="1012" ht="15" customHeight="1" s="78">
      <c r="A1012" s="77" t="inlineStr">
        <is>
          <t>DE</t>
        </is>
      </c>
      <c r="B1012" s="77" t="n">
        <v>2025</v>
      </c>
      <c r="C1012" s="77" t="inlineStr">
        <is>
          <t>medium</t>
        </is>
      </c>
      <c r="D1012" s="77" t="inlineStr">
        <is>
          <t>E1</t>
        </is>
      </c>
      <c r="E1012" s="77" t="inlineStr">
        <is>
          <t>Netzentgelte MS (Westnetz; MB bridge 2010-12)</t>
        </is>
      </c>
      <c r="F1012" s="77" t="inlineStr">
        <is>
          <t>3 Network</t>
        </is>
      </c>
      <c r="G1012" s="77" t="inlineStr">
        <is>
          <t>distribution network charge</t>
        </is>
      </c>
      <c r="H1012" s="77" t="inlineStr">
        <is>
          <t>i</t>
        </is>
      </c>
      <c r="I1012" s="77">
        <f>IF(ISNUMBER(N1012),N1012*fx_deflator!$J$20*fx_deflator!$M$20,"")</f>
        <v/>
      </c>
      <c r="J1012" s="77" t="inlineStr">
        <is>
          <t>Westnetz Preisblaetter (2013+, Wayback); BNetzA MB national avg bridge 2010-12 (D20)</t>
        </is>
      </c>
      <c r="K1012" s="77" t="inlineStr">
        <is>
          <t>stage4_de r15-17</t>
        </is>
      </c>
      <c r="L1012" s="77" t="inlineStr">
        <is>
          <t>2026-07-15</t>
        </is>
      </c>
      <c r="M1012" s="77" t="inlineStr">
        <is>
          <t>Y</t>
        </is>
      </c>
      <c r="N1012" s="136">
        <f>IF(ISNUMBER(timeseries!S58),timeseries!S58,"")</f>
        <v/>
      </c>
      <c r="O1012" s="77" t="inlineStr">
        <is>
          <t>EUR/MWh nominal</t>
        </is>
      </c>
      <c r="P1012" s="77" t="inlineStr">
        <is>
          <t>no sec.19 relief at 5,000h (fails Satz 2) — E1=E2</t>
        </is>
      </c>
    </row>
    <row r="1013" ht="15" customHeight="1" s="78">
      <c r="A1013" s="77" t="inlineStr">
        <is>
          <t>DE</t>
        </is>
      </c>
      <c r="B1013" s="77" t="n">
        <v>2025</v>
      </c>
      <c r="C1013" s="77" t="inlineStr">
        <is>
          <t>medium</t>
        </is>
      </c>
      <c r="D1013" s="77" t="inlineStr">
        <is>
          <t>E1</t>
        </is>
      </c>
      <c r="E1013" s="77" t="inlineStr">
        <is>
          <t>EEG-Umlage (full)</t>
        </is>
      </c>
      <c r="F1013" s="77" t="inlineStr">
        <is>
          <t>2 Gen capital recovery</t>
        </is>
      </c>
      <c r="G1013" s="77" t="inlineStr">
        <is>
          <t>renewables levy (Umlage)</t>
        </is>
      </c>
      <c r="H1013" s="77" t="inlineStr">
        <is>
          <t>i (0 from 07/2022 — taxpayer, see HATCH iii)</t>
        </is>
      </c>
      <c r="I1013" s="77">
        <f>IF(ISNUMBER(N1013),N1013*fx_deflator!$J$20*fx_deflator!$M$20,"")</f>
        <v/>
      </c>
      <c r="J1013" s="77" t="inlineStr">
        <is>
          <t>netztransparenz.de EEG-Umlagen der Vorjahre + per-year pages</t>
        </is>
      </c>
      <c r="K1013" s="77" t="inlineStr">
        <is>
          <t>stage4_de r21</t>
        </is>
      </c>
      <c r="L1013" s="77" t="inlineStr">
        <is>
          <t>2026-07-15</t>
        </is>
      </c>
      <c r="M1013" s="77" t="inlineStr">
        <is>
          <t>N</t>
        </is>
      </c>
      <c r="N1013" s="77">
        <f>IF(ISNUMBER(stage4_de!S21),stage4_de!S21*10,"")</f>
        <v/>
      </c>
      <c r="O1013" s="77" t="inlineStr">
        <is>
          <t>EUR/MWh nominal</t>
        </is>
      </c>
    </row>
    <row r="1014" ht="15" customHeight="1" s="78">
      <c r="A1014" s="77" t="inlineStr">
        <is>
          <t>DE</t>
        </is>
      </c>
      <c r="B1014" s="77" t="n">
        <v>2025</v>
      </c>
      <c r="C1014" s="77" t="inlineStr">
        <is>
          <t>medium</t>
        </is>
      </c>
      <c r="D1014" s="77" t="inlineStr">
        <is>
          <t>E1</t>
        </is>
      </c>
      <c r="E1014" s="77" t="inlineStr">
        <is>
          <t>KWKG-Umlage (tranche blend at 20 GWh)</t>
        </is>
      </c>
      <c r="F1014" s="77" t="inlineStr">
        <is>
          <t>2 Gen capital recovery</t>
        </is>
      </c>
      <c r="G1014" s="77" t="inlineStr">
        <is>
          <t>CHP levy (Umlage)</t>
        </is>
      </c>
      <c r="H1014" s="77" t="inlineStr">
        <is>
          <t>i</t>
        </is>
      </c>
      <c r="I1014" s="77">
        <f>IF(ISNUMBER(N1014),N1014*fx_deflator!$J$20*fx_deflator!$M$20,"")</f>
        <v/>
      </c>
      <c r="J1014" s="77" t="inlineStr">
        <is>
          <t>netztransparenz Uebersicht KWKG-Aufschlaege 2002-2016 + per-year pages; tranche blends</t>
        </is>
      </c>
      <c r="K1014" s="77" t="inlineStr">
        <is>
          <t>stage4_de r22-24</t>
        </is>
      </c>
      <c r="L1014" s="77" t="inlineStr">
        <is>
          <t>2026-07-15</t>
        </is>
      </c>
      <c r="M1014" s="77" t="inlineStr">
        <is>
          <t>Y</t>
        </is>
      </c>
      <c r="N1014" s="77">
        <f>stage4_de!S22*10</f>
        <v/>
      </c>
      <c r="O1014" s="77" t="inlineStr">
        <is>
          <t>EUR/MWh nominal</t>
        </is>
      </c>
    </row>
    <row r="1015" ht="15" customHeight="1" s="78">
      <c r="A1015" s="77" t="inlineStr">
        <is>
          <t>DE</t>
        </is>
      </c>
      <c r="B1015" s="77" t="n">
        <v>2025</v>
      </c>
      <c r="C1015" s="77" t="inlineStr">
        <is>
          <t>medium</t>
        </is>
      </c>
      <c r="D1015" s="77" t="inlineStr">
        <is>
          <t>E1</t>
        </is>
      </c>
      <c r="E1015" s="77" t="inlineStr">
        <is>
          <t>sec.19 StromNEV-Umlage (blend at 20 GWh)</t>
        </is>
      </c>
      <c r="F1015" s="77" t="inlineStr">
        <is>
          <t>4 System services &amp; balancing</t>
        </is>
      </c>
      <c r="G1015" s="77" t="inlineStr">
        <is>
          <t>network levy (Umlage)</t>
        </is>
      </c>
      <c r="H1015" s="77" t="inlineStr">
        <is>
          <t>ii (pays for other users relief)</t>
        </is>
      </c>
      <c r="I1015" s="77">
        <f>IF(ISNUMBER(N1015),N1015*fx_deflator!$J$20*fx_deflator!$M$20,"")</f>
        <v/>
      </c>
      <c r="J1015" s="77" t="inlineStr">
        <is>
          <t>netztransparenz per-year Umlagen pages (A-prime/B-prime/C-prime)</t>
        </is>
      </c>
      <c r="K1015" s="77" t="inlineStr">
        <is>
          <t>stage4_de r25-27</t>
        </is>
      </c>
      <c r="L1015" s="77" t="inlineStr">
        <is>
          <t>2026-07-15</t>
        </is>
      </c>
      <c r="M1015" s="77" t="inlineStr">
        <is>
          <t>Y</t>
        </is>
      </c>
      <c r="N1015" s="77">
        <f>(1*stage4_de!S25+19*stage4_de!S26)/20*10</f>
        <v/>
      </c>
      <c r="O1015" s="77" t="inlineStr">
        <is>
          <t>EUR/MWh nominal</t>
        </is>
      </c>
    </row>
    <row r="1016" ht="15" customHeight="1" s="78">
      <c r="A1016" s="77" t="inlineStr">
        <is>
          <t>DE</t>
        </is>
      </c>
      <c r="B1016" s="77" t="n">
        <v>2025</v>
      </c>
      <c r="C1016" s="77" t="inlineStr">
        <is>
          <t>medium</t>
        </is>
      </c>
      <c r="D1016" s="77" t="inlineStr">
        <is>
          <t>E1</t>
        </is>
      </c>
      <c r="E1016" s="77" t="inlineStr">
        <is>
          <t>Offshore-Netzumlage (blend at 20 GWh to 2018)</t>
        </is>
      </c>
      <c r="F1016" s="77" t="inlineStr">
        <is>
          <t>2 Gen capital recovery</t>
        </is>
      </c>
      <c r="G1016" s="77" t="inlineStr">
        <is>
          <t>offshore grid levy (Umlage)</t>
        </is>
      </c>
      <c r="H1016" s="77" t="inlineStr">
        <is>
          <t>i</t>
        </is>
      </c>
      <c r="I1016" s="77">
        <f>IF(ISNUMBER(N1016),N1016*fx_deflator!$J$20*fx_deflator!$M$20,"")</f>
        <v/>
      </c>
      <c r="J1016" s="77" t="inlineStr">
        <is>
          <t>netztransparenz Offshore-Umlage per-year pages</t>
        </is>
      </c>
      <c r="K1016" s="77" t="inlineStr">
        <is>
          <t>stage4_de r28-30</t>
        </is>
      </c>
      <c r="L1016" s="77" t="inlineStr">
        <is>
          <t>2026-07-15</t>
        </is>
      </c>
      <c r="M1016" s="77" t="inlineStr">
        <is>
          <t>Y</t>
        </is>
      </c>
      <c r="N1016" s="77">
        <f>stage4_de!S28*10</f>
        <v/>
      </c>
      <c r="O1016" s="77" t="inlineStr">
        <is>
          <t>EUR/MWh nominal</t>
        </is>
      </c>
    </row>
    <row r="1017" ht="15" customHeight="1" s="78">
      <c r="A1017" s="77" t="inlineStr">
        <is>
          <t>DE</t>
        </is>
      </c>
      <c r="B1017" s="77" t="n">
        <v>2025</v>
      </c>
      <c r="C1017" s="77" t="inlineStr">
        <is>
          <t>medium</t>
        </is>
      </c>
      <c r="D1017" s="77" t="inlineStr">
        <is>
          <t>E1</t>
        </is>
      </c>
      <c r="E1017" s="77" t="inlineStr">
        <is>
          <t>AbLaV-Umlage</t>
        </is>
      </c>
      <c r="F1017" s="77" t="inlineStr">
        <is>
          <t>4 System services &amp; balancing</t>
        </is>
      </c>
      <c r="G1017" s="77" t="inlineStr">
        <is>
          <t>interruptible-load levy (Umlage)</t>
        </is>
      </c>
      <c r="H1017" s="77" t="inlineStr">
        <is>
          <t>i</t>
        </is>
      </c>
      <c r="I1017" s="77">
        <f>IF(ISNUMBER(N1017),N1017*fx_deflator!$J$20*fx_deflator!$M$20,"")</f>
        <v/>
      </c>
      <c r="J1017" s="77" t="inlineStr">
        <is>
          <t>netztransparenz AbLaV-Umlage per-year pages (ends 2022)</t>
        </is>
      </c>
      <c r="K1017" s="77" t="inlineStr">
        <is>
          <t>stage4_de r31</t>
        </is>
      </c>
      <c r="L1017" s="77" t="inlineStr">
        <is>
          <t>2026-07-15</t>
        </is>
      </c>
      <c r="M1017" s="77" t="inlineStr">
        <is>
          <t>N</t>
        </is>
      </c>
      <c r="N1017" s="77">
        <f>IF(ISNUMBER(stage4_de!S31),stage4_de!S31*10,"")</f>
        <v/>
      </c>
      <c r="O1017" s="77" t="inlineStr">
        <is>
          <t>EUR/MWh nominal</t>
        </is>
      </c>
    </row>
    <row r="1018" ht="15" customHeight="1" s="78">
      <c r="A1018" s="77" t="inlineStr">
        <is>
          <t>DE</t>
        </is>
      </c>
      <c r="B1018" s="77" t="n">
        <v>2025</v>
      </c>
      <c r="C1018" s="77" t="inlineStr">
        <is>
          <t>medium</t>
        </is>
      </c>
      <c r="D1018" s="77" t="inlineStr">
        <is>
          <t>E1</t>
        </is>
      </c>
      <c r="E1018" s="77" t="inlineStr">
        <is>
          <t>Stromsteuer (full sec.3)</t>
        </is>
      </c>
      <c r="F1018" s="77" t="inlineStr">
        <is>
          <t>5 General taxation &amp; levies</t>
        </is>
      </c>
      <c r="G1018" s="77" t="inlineStr">
        <is>
          <t>electricity tax</t>
        </is>
      </c>
      <c r="H1018" s="77" t="inlineStr">
        <is>
          <t>i</t>
        </is>
      </c>
      <c r="I1018" s="77">
        <f>IF(ISNUMBER(N1018),N1018*fx_deflator!$J$20*fx_deflator!$M$20,"")</f>
        <v/>
      </c>
      <c r="J1018" s="77" t="inlineStr">
        <is>
          <t>StromStG sec.3/sec.9b (BGBl. 2025 I Nr. 340: 0.50 permanent from 2026); gesetze-im-internet.de</t>
        </is>
      </c>
      <c r="K1018" s="77" t="inlineStr">
        <is>
          <t>stage4_de r34-35</t>
        </is>
      </c>
      <c r="L1018" s="77" t="inlineStr">
        <is>
          <t>2026-07-15</t>
        </is>
      </c>
      <c r="M1018" s="77" t="inlineStr">
        <is>
          <t>N</t>
        </is>
      </c>
      <c r="N1018" s="77">
        <f>IF(ISNUMBER(stage4_de!S34),stage4_de!S34,"")</f>
        <v/>
      </c>
      <c r="O1018" s="77" t="inlineStr">
        <is>
          <t>EUR/MWh nominal</t>
        </is>
      </c>
    </row>
    <row r="1019" ht="15" customHeight="1" s="78">
      <c r="A1019" s="77" t="inlineStr">
        <is>
          <t>DE</t>
        </is>
      </c>
      <c r="B1019" s="77" t="n">
        <v>2025</v>
      </c>
      <c r="C1019" s="77" t="inlineStr">
        <is>
          <t>medium</t>
        </is>
      </c>
      <c r="D1019" s="77" t="inlineStr">
        <is>
          <t>E1</t>
        </is>
      </c>
      <c r="E1019" s="77" t="inlineStr">
        <is>
          <t>Konzessionsabgabe (0 via Grenzpreis)</t>
        </is>
      </c>
      <c r="F1019" s="77" t="inlineStr">
        <is>
          <t>5 General taxation &amp; levies</t>
        </is>
      </c>
      <c r="G1019" s="77" t="inlineStr">
        <is>
          <t>concession fee</t>
        </is>
      </c>
      <c r="H1019" s="77" t="inlineStr">
        <is>
          <t>i</t>
        </is>
      </c>
      <c r="I1019" s="77">
        <f>IF(ISNUMBER(N1019),N1019*fx_deflator!$J$20*fx_deflator!$M$20,"")</f>
        <v/>
      </c>
      <c r="J1019" s="77" t="inlineStr">
        <is>
          <t>KAV sec.2(3)/(4) Grenzpreis rule -&gt; 0 for Sondervertragskunden</t>
        </is>
      </c>
      <c r="K1019" s="77" t="inlineStr">
        <is>
          <t>stage4_de r36</t>
        </is>
      </c>
      <c r="L1019" s="77" t="inlineStr">
        <is>
          <t>2026-07-15</t>
        </is>
      </c>
      <c r="M1019" s="77" t="inlineStr">
        <is>
          <t>N</t>
        </is>
      </c>
      <c r="N1019" s="77">
        <f>IF(ISNUMBER(stage4_de!S36),stage4_de!S36*10,"")</f>
        <v/>
      </c>
      <c r="O1019" s="77" t="inlineStr">
        <is>
          <t>EUR/MWh nominal</t>
        </is>
      </c>
    </row>
    <row r="1020" ht="15" customHeight="1" s="78">
      <c r="A1020" s="77" t="inlineStr">
        <is>
          <t>DE</t>
        </is>
      </c>
      <c r="B1020" s="77" t="n">
        <v>2012</v>
      </c>
      <c r="C1020" s="77" t="inlineStr">
        <is>
          <t>medium</t>
        </is>
      </c>
      <c r="D1020" s="77" t="inlineStr">
        <is>
          <t>E2</t>
        </is>
      </c>
      <c r="E1020" s="77" t="inlineStr">
        <is>
          <t>Wholesale (as large)</t>
        </is>
      </c>
      <c r="F1020" s="77" t="inlineStr">
        <is>
          <t>1 Commodity</t>
        </is>
      </c>
      <c r="G1020" s="77" t="inlineStr">
        <is>
          <t>wholesale market</t>
        </is>
      </c>
      <c r="H1020" s="77" t="inlineStr">
        <is>
          <t>i</t>
        </is>
      </c>
      <c r="I1020" s="77">
        <f>IF(ISNUMBER(N1020),N1020*fx_deflator!$J$7*fx_deflator!$M$7,"")</f>
        <v/>
      </c>
      <c r="J1020" s="77" t="inlineStr">
        <is>
          <t>BNetzA Monitoringberichte — Phelix base front-year by trading yr -&gt; delivery yr; 2026 = D29</t>
        </is>
      </c>
      <c r="K1020" s="77" t="inlineStr">
        <is>
          <t>stage4_de r7</t>
        </is>
      </c>
      <c r="L1020" s="77" t="inlineStr">
        <is>
          <t>2026-07-15</t>
        </is>
      </c>
      <c r="M1020" s="77" t="inlineStr">
        <is>
          <t>Y</t>
        </is>
      </c>
      <c r="N1020" s="136">
        <f>IF(ISNUMBER(timeseries!F57),timeseries!F57,"")</f>
        <v/>
      </c>
      <c r="O1020" s="77" t="inlineStr">
        <is>
          <t>EUR/MWh nominal</t>
        </is>
      </c>
    </row>
    <row r="1021" ht="15" customHeight="1" s="78">
      <c r="A1021" s="77" t="inlineStr">
        <is>
          <t>DE</t>
        </is>
      </c>
      <c r="B1021" s="77" t="n">
        <v>2012</v>
      </c>
      <c r="C1021" s="77" t="inlineStr">
        <is>
          <t>medium</t>
        </is>
      </c>
      <c r="D1021" s="77" t="inlineStr">
        <is>
          <t>E2</t>
        </is>
      </c>
      <c r="E1021" s="77" t="inlineStr">
        <is>
          <t>Netzentgelte MS (Westnetz; MB bridge 2010-12)</t>
        </is>
      </c>
      <c r="F1021" s="77" t="inlineStr">
        <is>
          <t>3 Network</t>
        </is>
      </c>
      <c r="G1021" s="77" t="inlineStr">
        <is>
          <t>distribution network charge</t>
        </is>
      </c>
      <c r="H1021" s="77" t="inlineStr">
        <is>
          <t>i</t>
        </is>
      </c>
      <c r="I1021" s="77">
        <f>IF(ISNUMBER(N1021),N1021*fx_deflator!$J$7*fx_deflator!$M$7,"")</f>
        <v/>
      </c>
      <c r="J1021" s="77" t="inlineStr">
        <is>
          <t>Westnetz Preisblaetter (2013+, Wayback); BNetzA MB national avg bridge 2010-12 (D20)</t>
        </is>
      </c>
      <c r="K1021" s="77" t="inlineStr">
        <is>
          <t>stage4_de r15-17</t>
        </is>
      </c>
      <c r="L1021" s="77" t="inlineStr">
        <is>
          <t>2026-07-15</t>
        </is>
      </c>
      <c r="M1021" s="77" t="inlineStr">
        <is>
          <t>Y</t>
        </is>
      </c>
      <c r="N1021" s="136">
        <f>IF(ISNUMBER(timeseries!F58),timeseries!F58,"")</f>
        <v/>
      </c>
      <c r="O1021" s="77" t="inlineStr">
        <is>
          <t>EUR/MWh nominal</t>
        </is>
      </c>
      <c r="P1021" s="77" t="inlineStr">
        <is>
          <t>no sec.19 relief at 5,000h (fails Satz 2) — E1=E2</t>
        </is>
      </c>
    </row>
    <row r="1022" ht="15" customHeight="1" s="78">
      <c r="A1022" s="77" t="inlineStr">
        <is>
          <t>DE</t>
        </is>
      </c>
      <c r="B1022" s="77" t="n">
        <v>2012</v>
      </c>
      <c r="C1022" s="77" t="inlineStr">
        <is>
          <t>medium</t>
        </is>
      </c>
      <c r="D1022" s="77" t="inlineStr">
        <is>
          <t>E2</t>
        </is>
      </c>
      <c r="E1022" s="77" t="inlineStr">
        <is>
          <t>EEG-Umlage after BesAR (2012-13 sliding ~10 pct; 2014+ 1 GWh full + 15 pct above)</t>
        </is>
      </c>
      <c r="F1022" s="77" t="inlineStr">
        <is>
          <t>2 Gen capital recovery</t>
        </is>
      </c>
      <c r="G1022" s="77" t="inlineStr">
        <is>
          <t>renewables levy (Umlage)</t>
        </is>
      </c>
      <c r="H1022" s="77" t="inlineStr">
        <is>
          <t>i (relief = ii via Umlage on others)</t>
        </is>
      </c>
      <c r="I1022" s="77">
        <f>IF(ISNUMBER(N1022),N1022*fx_deflator!$J$7*fx_deflator!$M$7,"")</f>
        <v/>
      </c>
      <c r="J1022" s="77" t="inlineStr">
        <is>
          <t>EEG 2012 sec.41 / EEG 2014+ sec.64 (BesAR); D24/D25 conventions</t>
        </is>
      </c>
      <c r="K1022" s="77" t="inlineStr">
        <is>
          <t>stage4_de r21 + timeseries r45/62</t>
        </is>
      </c>
      <c r="L1022" s="77" t="inlineStr">
        <is>
          <t>2026-07-15</t>
        </is>
      </c>
      <c r="M1022" s="77" t="inlineStr">
        <is>
          <t>Y</t>
        </is>
      </c>
      <c r="N1022" s="136">
        <f>IF(ISNUMBER(timeseries!F62),timeseries!F62,"")</f>
        <v/>
      </c>
      <c r="O1022" s="77" t="inlineStr">
        <is>
          <t>EUR/MWh nominal</t>
        </is>
      </c>
    </row>
    <row r="1023" ht="15" customHeight="1" s="78">
      <c r="A1023" s="77" t="inlineStr">
        <is>
          <t>DE</t>
        </is>
      </c>
      <c r="B1023" s="77" t="n">
        <v>2012</v>
      </c>
      <c r="C1023" s="77" t="inlineStr">
        <is>
          <t>medium</t>
        </is>
      </c>
      <c r="D1023" s="77" t="inlineStr">
        <is>
          <t>E2</t>
        </is>
      </c>
      <c r="E1023" s="77" t="inlineStr">
        <is>
          <t>KWKG-Umlage (tranche blend at 20 GWh)</t>
        </is>
      </c>
      <c r="F1023" s="77" t="inlineStr">
        <is>
          <t>2 Gen capital recovery</t>
        </is>
      </c>
      <c r="G1023" s="77" t="inlineStr">
        <is>
          <t>CHP levy (Umlage)</t>
        </is>
      </c>
      <c r="H1023" s="77" t="inlineStr">
        <is>
          <t>i</t>
        </is>
      </c>
      <c r="I1023" s="77">
        <f>IF(ISNUMBER(N1023),N1023*fx_deflator!$J$7*fx_deflator!$M$7,"")</f>
        <v/>
      </c>
      <c r="J1023" s="77" t="inlineStr">
        <is>
          <t>netztransparenz Uebersicht KWKG-Aufschlaege 2002-2016 + per-year pages; tranche blends</t>
        </is>
      </c>
      <c r="K1023" s="77" t="inlineStr">
        <is>
          <t>stage4_de r22-24</t>
        </is>
      </c>
      <c r="L1023" s="77" t="inlineStr">
        <is>
          <t>2026-07-15</t>
        </is>
      </c>
      <c r="M1023" s="77" t="inlineStr">
        <is>
          <t>Y</t>
        </is>
      </c>
      <c r="N1023" s="77">
        <f>(0.1*stage4_de!F22+19.9*stage4_de!F23)/20*10</f>
        <v/>
      </c>
      <c r="O1023" s="77" t="inlineStr">
        <is>
          <t>EUR/MWh nominal</t>
        </is>
      </c>
    </row>
    <row r="1024" ht="15" customHeight="1" s="78">
      <c r="A1024" s="77" t="inlineStr">
        <is>
          <t>DE</t>
        </is>
      </c>
      <c r="B1024" s="77" t="n">
        <v>2012</v>
      </c>
      <c r="C1024" s="77" t="inlineStr">
        <is>
          <t>medium</t>
        </is>
      </c>
      <c r="D1024" s="77" t="inlineStr">
        <is>
          <t>E2</t>
        </is>
      </c>
      <c r="E1024" s="77" t="inlineStr">
        <is>
          <t>sec.19 StromNEV-Umlage (blend at 20 GWh)</t>
        </is>
      </c>
      <c r="F1024" s="77" t="inlineStr">
        <is>
          <t>4 System services &amp; balancing</t>
        </is>
      </c>
      <c r="G1024" s="77" t="inlineStr">
        <is>
          <t>network levy (Umlage)</t>
        </is>
      </c>
      <c r="H1024" s="77" t="inlineStr">
        <is>
          <t>ii (pays for other users relief)</t>
        </is>
      </c>
      <c r="I1024" s="77">
        <f>IF(ISNUMBER(N1024),N1024*fx_deflator!$J$7*fx_deflator!$M$7,"")</f>
        <v/>
      </c>
      <c r="J1024" s="77" t="inlineStr">
        <is>
          <t>netztransparenz per-year Umlagen pages (A-prime/B-prime/C-prime)</t>
        </is>
      </c>
      <c r="K1024" s="77" t="inlineStr">
        <is>
          <t>stage4_de r25-27</t>
        </is>
      </c>
      <c r="L1024" s="77" t="inlineStr">
        <is>
          <t>2026-07-15</t>
        </is>
      </c>
      <c r="M1024" s="77" t="inlineStr">
        <is>
          <t>Y</t>
        </is>
      </c>
      <c r="N1024" s="77">
        <f>(1*stage4_de!F25+19*stage4_de!F27)/20*10</f>
        <v/>
      </c>
      <c r="O1024" s="77" t="inlineStr">
        <is>
          <t>EUR/MWh nominal</t>
        </is>
      </c>
    </row>
    <row r="1025" ht="15" customHeight="1" s="78">
      <c r="A1025" s="77" t="inlineStr">
        <is>
          <t>DE</t>
        </is>
      </c>
      <c r="B1025" s="77" t="n">
        <v>2012</v>
      </c>
      <c r="C1025" s="77" t="inlineStr">
        <is>
          <t>medium</t>
        </is>
      </c>
      <c r="D1025" s="77" t="inlineStr">
        <is>
          <t>E2</t>
        </is>
      </c>
      <c r="E1025" s="77" t="inlineStr">
        <is>
          <t>Stromsteuer relieved (sec.9b)</t>
        </is>
      </c>
      <c r="F1025" s="77" t="inlineStr">
        <is>
          <t>5 General taxation &amp; levies</t>
        </is>
      </c>
      <c r="G1025" s="77" t="inlineStr">
        <is>
          <t>electricity tax</t>
        </is>
      </c>
      <c r="H1025" s="77" t="inlineStr">
        <is>
          <t>i (relief = foregone tax, iii)</t>
        </is>
      </c>
      <c r="I1025" s="77">
        <f>IF(ISNUMBER(N1025),N1025*fx_deflator!$J$7*fx_deflator!$M$7,"")</f>
        <v/>
      </c>
      <c r="J1025" s="77" t="inlineStr">
        <is>
          <t>StromStG sec.3/sec.9b (BGBl. 2025 I Nr. 340: 0.50 permanent from 2026); gesetze-im-internet.de</t>
        </is>
      </c>
      <c r="K1025" s="77" t="inlineStr">
        <is>
          <t>stage4_de r34-35</t>
        </is>
      </c>
      <c r="L1025" s="77" t="inlineStr">
        <is>
          <t>2026-07-15</t>
        </is>
      </c>
      <c r="M1025" s="77" t="inlineStr">
        <is>
          <t>N</t>
        </is>
      </c>
      <c r="N1025" s="77">
        <f>IF(ISNUMBER(stage4_de!F35),stage4_de!F35,"")</f>
        <v/>
      </c>
      <c r="O1025" s="77" t="inlineStr">
        <is>
          <t>EUR/MWh nominal</t>
        </is>
      </c>
    </row>
    <row r="1026" ht="15" customHeight="1" s="78">
      <c r="A1026" s="77" t="inlineStr">
        <is>
          <t>DE</t>
        </is>
      </c>
      <c r="B1026" s="77" t="n">
        <v>2012</v>
      </c>
      <c r="C1026" s="77" t="inlineStr">
        <is>
          <t>medium</t>
        </is>
      </c>
      <c r="D1026" s="77" t="inlineStr">
        <is>
          <t>E2</t>
        </is>
      </c>
      <c r="E1026" s="77" t="inlineStr">
        <is>
          <t>Konzessionsabgabe (0 via Grenzpreis)</t>
        </is>
      </c>
      <c r="F1026" s="77" t="inlineStr">
        <is>
          <t>5 General taxation &amp; levies</t>
        </is>
      </c>
      <c r="G1026" s="77" t="inlineStr">
        <is>
          <t>concession fee</t>
        </is>
      </c>
      <c r="H1026" s="77" t="inlineStr">
        <is>
          <t>i</t>
        </is>
      </c>
      <c r="I1026" s="77">
        <f>IF(ISNUMBER(N1026),N1026*fx_deflator!$J$7*fx_deflator!$M$7,"")</f>
        <v/>
      </c>
      <c r="J1026" s="77" t="inlineStr">
        <is>
          <t>KAV sec.2(3)/(4) Grenzpreis rule -&gt; 0 for Sondervertragskunden</t>
        </is>
      </c>
      <c r="K1026" s="77" t="inlineStr">
        <is>
          <t>stage4_de r36</t>
        </is>
      </c>
      <c r="L1026" s="77" t="inlineStr">
        <is>
          <t>2026-07-15</t>
        </is>
      </c>
      <c r="M1026" s="77" t="inlineStr">
        <is>
          <t>N</t>
        </is>
      </c>
      <c r="N1026" s="77">
        <f>IF(ISNUMBER(stage4_de!F36),stage4_de!F36*10,"")</f>
        <v/>
      </c>
      <c r="O1026" s="77" t="inlineStr">
        <is>
          <t>EUR/MWh nominal</t>
        </is>
      </c>
    </row>
    <row r="1027" ht="15" customHeight="1" s="78">
      <c r="A1027" s="77" t="inlineStr">
        <is>
          <t>DE</t>
        </is>
      </c>
      <c r="B1027" s="77" t="n">
        <v>2013</v>
      </c>
      <c r="C1027" s="77" t="inlineStr">
        <is>
          <t>medium</t>
        </is>
      </c>
      <c r="D1027" s="77" t="inlineStr">
        <is>
          <t>E2</t>
        </is>
      </c>
      <c r="E1027" s="77" t="inlineStr">
        <is>
          <t>Wholesale (as large)</t>
        </is>
      </c>
      <c r="F1027" s="77" t="inlineStr">
        <is>
          <t>1 Commodity</t>
        </is>
      </c>
      <c r="G1027" s="77" t="inlineStr">
        <is>
          <t>wholesale market</t>
        </is>
      </c>
      <c r="H1027" s="77" t="inlineStr">
        <is>
          <t>i</t>
        </is>
      </c>
      <c r="I1027" s="77">
        <f>IF(ISNUMBER(N1027),N1027*fx_deflator!$J$8*fx_deflator!$M$8,"")</f>
        <v/>
      </c>
      <c r="J1027" s="77" t="inlineStr">
        <is>
          <t>BNetzA Monitoringberichte — Phelix base front-year by trading yr -&gt; delivery yr; 2026 = D29</t>
        </is>
      </c>
      <c r="K1027" s="77" t="inlineStr">
        <is>
          <t>stage4_de r7</t>
        </is>
      </c>
      <c r="L1027" s="77" t="inlineStr">
        <is>
          <t>2026-07-15</t>
        </is>
      </c>
      <c r="M1027" s="77" t="inlineStr">
        <is>
          <t>Y</t>
        </is>
      </c>
      <c r="N1027" s="136">
        <f>IF(ISNUMBER(timeseries!G57),timeseries!G57,"")</f>
        <v/>
      </c>
      <c r="O1027" s="77" t="inlineStr">
        <is>
          <t>EUR/MWh nominal</t>
        </is>
      </c>
    </row>
    <row r="1028" ht="15" customHeight="1" s="78">
      <c r="A1028" s="77" t="inlineStr">
        <is>
          <t>DE</t>
        </is>
      </c>
      <c r="B1028" s="77" t="n">
        <v>2013</v>
      </c>
      <c r="C1028" s="77" t="inlineStr">
        <is>
          <t>medium</t>
        </is>
      </c>
      <c r="D1028" s="77" t="inlineStr">
        <is>
          <t>E2</t>
        </is>
      </c>
      <c r="E1028" s="77" t="inlineStr">
        <is>
          <t>Netzentgelte MS (Westnetz; MB bridge 2010-12)</t>
        </is>
      </c>
      <c r="F1028" s="77" t="inlineStr">
        <is>
          <t>3 Network</t>
        </is>
      </c>
      <c r="G1028" s="77" t="inlineStr">
        <is>
          <t>distribution network charge</t>
        </is>
      </c>
      <c r="H1028" s="77" t="inlineStr">
        <is>
          <t>i</t>
        </is>
      </c>
      <c r="I1028" s="77">
        <f>IF(ISNUMBER(N1028),N1028*fx_deflator!$J$8*fx_deflator!$M$8,"")</f>
        <v/>
      </c>
      <c r="J1028" s="77" t="inlineStr">
        <is>
          <t>Westnetz Preisblaetter (2013+, Wayback); BNetzA MB national avg bridge 2010-12 (D20)</t>
        </is>
      </c>
      <c r="K1028" s="77" t="inlineStr">
        <is>
          <t>stage4_de r15-17</t>
        </is>
      </c>
      <c r="L1028" s="77" t="inlineStr">
        <is>
          <t>2026-07-15</t>
        </is>
      </c>
      <c r="M1028" s="77" t="inlineStr">
        <is>
          <t>Y</t>
        </is>
      </c>
      <c r="N1028" s="136">
        <f>IF(ISNUMBER(timeseries!G58),timeseries!G58,"")</f>
        <v/>
      </c>
      <c r="O1028" s="77" t="inlineStr">
        <is>
          <t>EUR/MWh nominal</t>
        </is>
      </c>
      <c r="P1028" s="77" t="inlineStr">
        <is>
          <t>no sec.19 relief at 5,000h (fails Satz 2) — E1=E2</t>
        </is>
      </c>
    </row>
    <row r="1029" ht="15" customHeight="1" s="78">
      <c r="A1029" s="77" t="inlineStr">
        <is>
          <t>DE</t>
        </is>
      </c>
      <c r="B1029" s="77" t="n">
        <v>2013</v>
      </c>
      <c r="C1029" s="77" t="inlineStr">
        <is>
          <t>medium</t>
        </is>
      </c>
      <c r="D1029" s="77" t="inlineStr">
        <is>
          <t>E2</t>
        </is>
      </c>
      <c r="E1029" s="77" t="inlineStr">
        <is>
          <t>EEG-Umlage after BesAR (2012-13 sliding ~10 pct; 2014+ 1 GWh full + 15 pct above)</t>
        </is>
      </c>
      <c r="F1029" s="77" t="inlineStr">
        <is>
          <t>2 Gen capital recovery</t>
        </is>
      </c>
      <c r="G1029" s="77" t="inlineStr">
        <is>
          <t>renewables levy (Umlage)</t>
        </is>
      </c>
      <c r="H1029" s="77" t="inlineStr">
        <is>
          <t>i (relief = ii via Umlage on others)</t>
        </is>
      </c>
      <c r="I1029" s="77">
        <f>IF(ISNUMBER(N1029),N1029*fx_deflator!$J$8*fx_deflator!$M$8,"")</f>
        <v/>
      </c>
      <c r="J1029" s="77" t="inlineStr">
        <is>
          <t>EEG 2012 sec.41 / EEG 2014+ sec.64 (BesAR); D24/D25 conventions</t>
        </is>
      </c>
      <c r="K1029" s="77" t="inlineStr">
        <is>
          <t>stage4_de r21 + timeseries r45/62</t>
        </is>
      </c>
      <c r="L1029" s="77" t="inlineStr">
        <is>
          <t>2026-07-15</t>
        </is>
      </c>
      <c r="M1029" s="77" t="inlineStr">
        <is>
          <t>Y</t>
        </is>
      </c>
      <c r="N1029" s="136">
        <f>IF(ISNUMBER(timeseries!G62),timeseries!G62,"")</f>
        <v/>
      </c>
      <c r="O1029" s="77" t="inlineStr">
        <is>
          <t>EUR/MWh nominal</t>
        </is>
      </c>
    </row>
    <row r="1030" ht="15" customHeight="1" s="78">
      <c r="A1030" s="77" t="inlineStr">
        <is>
          <t>DE</t>
        </is>
      </c>
      <c r="B1030" s="77" t="n">
        <v>2013</v>
      </c>
      <c r="C1030" s="77" t="inlineStr">
        <is>
          <t>medium</t>
        </is>
      </c>
      <c r="D1030" s="77" t="inlineStr">
        <is>
          <t>E2</t>
        </is>
      </c>
      <c r="E1030" s="77" t="inlineStr">
        <is>
          <t>KWKG-Umlage (tranche blend at 20 GWh)</t>
        </is>
      </c>
      <c r="F1030" s="77" t="inlineStr">
        <is>
          <t>2 Gen capital recovery</t>
        </is>
      </c>
      <c r="G1030" s="77" t="inlineStr">
        <is>
          <t>CHP levy (Umlage)</t>
        </is>
      </c>
      <c r="H1030" s="77" t="inlineStr">
        <is>
          <t>i</t>
        </is>
      </c>
      <c r="I1030" s="77">
        <f>IF(ISNUMBER(N1030),N1030*fx_deflator!$J$8*fx_deflator!$M$8,"")</f>
        <v/>
      </c>
      <c r="J1030" s="77" t="inlineStr">
        <is>
          <t>netztransparenz Uebersicht KWKG-Aufschlaege 2002-2016 + per-year pages; tranche blends</t>
        </is>
      </c>
      <c r="K1030" s="77" t="inlineStr">
        <is>
          <t>stage4_de r22-24</t>
        </is>
      </c>
      <c r="L1030" s="77" t="inlineStr">
        <is>
          <t>2026-07-15</t>
        </is>
      </c>
      <c r="M1030" s="77" t="inlineStr">
        <is>
          <t>Y</t>
        </is>
      </c>
      <c r="N1030" s="77">
        <f>(0.1*stage4_de!G22+19.9*stage4_de!G23)/20*10</f>
        <v/>
      </c>
      <c r="O1030" s="77" t="inlineStr">
        <is>
          <t>EUR/MWh nominal</t>
        </is>
      </c>
    </row>
    <row r="1031" ht="15" customHeight="1" s="78">
      <c r="A1031" s="77" t="inlineStr">
        <is>
          <t>DE</t>
        </is>
      </c>
      <c r="B1031" s="77" t="n">
        <v>2013</v>
      </c>
      <c r="C1031" s="77" t="inlineStr">
        <is>
          <t>medium</t>
        </is>
      </c>
      <c r="D1031" s="77" t="inlineStr">
        <is>
          <t>E2</t>
        </is>
      </c>
      <c r="E1031" s="77" t="inlineStr">
        <is>
          <t>sec.19 StromNEV-Umlage (blend at 20 GWh)</t>
        </is>
      </c>
      <c r="F1031" s="77" t="inlineStr">
        <is>
          <t>4 System services &amp; balancing</t>
        </is>
      </c>
      <c r="G1031" s="77" t="inlineStr">
        <is>
          <t>network levy (Umlage)</t>
        </is>
      </c>
      <c r="H1031" s="77" t="inlineStr">
        <is>
          <t>ii (pays for other users relief)</t>
        </is>
      </c>
      <c r="I1031" s="77">
        <f>IF(ISNUMBER(N1031),N1031*fx_deflator!$J$8*fx_deflator!$M$8,"")</f>
        <v/>
      </c>
      <c r="J1031" s="77" t="inlineStr">
        <is>
          <t>netztransparenz per-year Umlagen pages (A-prime/B-prime/C-prime)</t>
        </is>
      </c>
      <c r="K1031" s="77" t="inlineStr">
        <is>
          <t>stage4_de r25-27</t>
        </is>
      </c>
      <c r="L1031" s="77" t="inlineStr">
        <is>
          <t>2026-07-15</t>
        </is>
      </c>
      <c r="M1031" s="77" t="inlineStr">
        <is>
          <t>Y</t>
        </is>
      </c>
      <c r="N1031" s="77">
        <f>(1*stage4_de!G25+19*stage4_de!G27)/20*10</f>
        <v/>
      </c>
      <c r="O1031" s="77" t="inlineStr">
        <is>
          <t>EUR/MWh nominal</t>
        </is>
      </c>
    </row>
    <row r="1032" ht="15" customHeight="1" s="78">
      <c r="A1032" s="77" t="inlineStr">
        <is>
          <t>DE</t>
        </is>
      </c>
      <c r="B1032" s="77" t="n">
        <v>2013</v>
      </c>
      <c r="C1032" s="77" t="inlineStr">
        <is>
          <t>medium</t>
        </is>
      </c>
      <c r="D1032" s="77" t="inlineStr">
        <is>
          <t>E2</t>
        </is>
      </c>
      <c r="E1032" s="77" t="inlineStr">
        <is>
          <t>Offshore-Netzumlage (blend at 20 GWh to 2018)</t>
        </is>
      </c>
      <c r="F1032" s="77" t="inlineStr">
        <is>
          <t>2 Gen capital recovery</t>
        </is>
      </c>
      <c r="G1032" s="77" t="inlineStr">
        <is>
          <t>offshore grid levy (Umlage)</t>
        </is>
      </c>
      <c r="H1032" s="77" t="inlineStr">
        <is>
          <t>i</t>
        </is>
      </c>
      <c r="I1032" s="77">
        <f>IF(ISNUMBER(N1032),N1032*fx_deflator!$J$8*fx_deflator!$M$8,"")</f>
        <v/>
      </c>
      <c r="J1032" s="77" t="inlineStr">
        <is>
          <t>netztransparenz Offshore-Umlage per-year pages</t>
        </is>
      </c>
      <c r="K1032" s="77" t="inlineStr">
        <is>
          <t>stage4_de r28-30</t>
        </is>
      </c>
      <c r="L1032" s="77" t="inlineStr">
        <is>
          <t>2026-07-15</t>
        </is>
      </c>
      <c r="M1032" s="77" t="inlineStr">
        <is>
          <t>Y</t>
        </is>
      </c>
      <c r="N1032" s="77">
        <f>(1*stage4_de!G28+19*stage4_de!G30)/20*10</f>
        <v/>
      </c>
      <c r="O1032" s="77" t="inlineStr">
        <is>
          <t>EUR/MWh nominal</t>
        </is>
      </c>
    </row>
    <row r="1033" ht="15" customHeight="1" s="78">
      <c r="A1033" s="77" t="inlineStr">
        <is>
          <t>DE</t>
        </is>
      </c>
      <c r="B1033" s="77" t="n">
        <v>2013</v>
      </c>
      <c r="C1033" s="77" t="inlineStr">
        <is>
          <t>medium</t>
        </is>
      </c>
      <c r="D1033" s="77" t="inlineStr">
        <is>
          <t>E2</t>
        </is>
      </c>
      <c r="E1033" s="77" t="inlineStr">
        <is>
          <t>Stromsteuer relieved (sec.9b)</t>
        </is>
      </c>
      <c r="F1033" s="77" t="inlineStr">
        <is>
          <t>5 General taxation &amp; levies</t>
        </is>
      </c>
      <c r="G1033" s="77" t="inlineStr">
        <is>
          <t>electricity tax</t>
        </is>
      </c>
      <c r="H1033" s="77" t="inlineStr">
        <is>
          <t>i (relief = foregone tax, iii)</t>
        </is>
      </c>
      <c r="I1033" s="77">
        <f>IF(ISNUMBER(N1033),N1033*fx_deflator!$J$8*fx_deflator!$M$8,"")</f>
        <v/>
      </c>
      <c r="J1033" s="77" t="inlineStr">
        <is>
          <t>StromStG sec.3/sec.9b (BGBl. 2025 I Nr. 340: 0.50 permanent from 2026); gesetze-im-internet.de</t>
        </is>
      </c>
      <c r="K1033" s="77" t="inlineStr">
        <is>
          <t>stage4_de r34-35</t>
        </is>
      </c>
      <c r="L1033" s="77" t="inlineStr">
        <is>
          <t>2026-07-15</t>
        </is>
      </c>
      <c r="M1033" s="77" t="inlineStr">
        <is>
          <t>N</t>
        </is>
      </c>
      <c r="N1033" s="77">
        <f>IF(ISNUMBER(stage4_de!G35),stage4_de!G35,"")</f>
        <v/>
      </c>
      <c r="O1033" s="77" t="inlineStr">
        <is>
          <t>EUR/MWh nominal</t>
        </is>
      </c>
    </row>
    <row r="1034" ht="15" customHeight="1" s="78">
      <c r="A1034" s="77" t="inlineStr">
        <is>
          <t>DE</t>
        </is>
      </c>
      <c r="B1034" s="77" t="n">
        <v>2013</v>
      </c>
      <c r="C1034" s="77" t="inlineStr">
        <is>
          <t>medium</t>
        </is>
      </c>
      <c r="D1034" s="77" t="inlineStr">
        <is>
          <t>E2</t>
        </is>
      </c>
      <c r="E1034" s="77" t="inlineStr">
        <is>
          <t>Konzessionsabgabe (0 via Grenzpreis)</t>
        </is>
      </c>
      <c r="F1034" s="77" t="inlineStr">
        <is>
          <t>5 General taxation &amp; levies</t>
        </is>
      </c>
      <c r="G1034" s="77" t="inlineStr">
        <is>
          <t>concession fee</t>
        </is>
      </c>
      <c r="H1034" s="77" t="inlineStr">
        <is>
          <t>i</t>
        </is>
      </c>
      <c r="I1034" s="77">
        <f>IF(ISNUMBER(N1034),N1034*fx_deflator!$J$8*fx_deflator!$M$8,"")</f>
        <v/>
      </c>
      <c r="J1034" s="77" t="inlineStr">
        <is>
          <t>KAV sec.2(3)/(4) Grenzpreis rule -&gt; 0 for Sondervertragskunden</t>
        </is>
      </c>
      <c r="K1034" s="77" t="inlineStr">
        <is>
          <t>stage4_de r36</t>
        </is>
      </c>
      <c r="L1034" s="77" t="inlineStr">
        <is>
          <t>2026-07-15</t>
        </is>
      </c>
      <c r="M1034" s="77" t="inlineStr">
        <is>
          <t>N</t>
        </is>
      </c>
      <c r="N1034" s="77">
        <f>IF(ISNUMBER(stage4_de!G36),stage4_de!G36*10,"")</f>
        <v/>
      </c>
      <c r="O1034" s="77" t="inlineStr">
        <is>
          <t>EUR/MWh nominal</t>
        </is>
      </c>
    </row>
    <row r="1035" ht="15" customHeight="1" s="78">
      <c r="A1035" s="77" t="inlineStr">
        <is>
          <t>DE</t>
        </is>
      </c>
      <c r="B1035" s="77" t="n">
        <v>2014</v>
      </c>
      <c r="C1035" s="77" t="inlineStr">
        <is>
          <t>medium</t>
        </is>
      </c>
      <c r="D1035" s="77" t="inlineStr">
        <is>
          <t>E2</t>
        </is>
      </c>
      <c r="E1035" s="77" t="inlineStr">
        <is>
          <t>Wholesale (as large)</t>
        </is>
      </c>
      <c r="F1035" s="77" t="inlineStr">
        <is>
          <t>1 Commodity</t>
        </is>
      </c>
      <c r="G1035" s="77" t="inlineStr">
        <is>
          <t>wholesale market</t>
        </is>
      </c>
      <c r="H1035" s="77" t="inlineStr">
        <is>
          <t>i</t>
        </is>
      </c>
      <c r="I1035" s="77">
        <f>IF(ISNUMBER(N1035),N1035*fx_deflator!$J$9*fx_deflator!$M$9,"")</f>
        <v/>
      </c>
      <c r="J1035" s="77" t="inlineStr">
        <is>
          <t>BNetzA Monitoringberichte — Phelix base front-year by trading yr -&gt; delivery yr; 2026 = D29</t>
        </is>
      </c>
      <c r="K1035" s="77" t="inlineStr">
        <is>
          <t>stage4_de r7</t>
        </is>
      </c>
      <c r="L1035" s="77" t="inlineStr">
        <is>
          <t>2026-07-15</t>
        </is>
      </c>
      <c r="M1035" s="77" t="inlineStr">
        <is>
          <t>Y</t>
        </is>
      </c>
      <c r="N1035" s="136">
        <f>IF(ISNUMBER(timeseries!H57),timeseries!H57,"")</f>
        <v/>
      </c>
      <c r="O1035" s="77" t="inlineStr">
        <is>
          <t>EUR/MWh nominal</t>
        </is>
      </c>
    </row>
    <row r="1036" ht="15" customHeight="1" s="78">
      <c r="A1036" s="77" t="inlineStr">
        <is>
          <t>DE</t>
        </is>
      </c>
      <c r="B1036" s="77" t="n">
        <v>2014</v>
      </c>
      <c r="C1036" s="77" t="inlineStr">
        <is>
          <t>medium</t>
        </is>
      </c>
      <c r="D1036" s="77" t="inlineStr">
        <is>
          <t>E2</t>
        </is>
      </c>
      <c r="E1036" s="77" t="inlineStr">
        <is>
          <t>Netzentgelte MS (Westnetz; MB bridge 2010-12)</t>
        </is>
      </c>
      <c r="F1036" s="77" t="inlineStr">
        <is>
          <t>3 Network</t>
        </is>
      </c>
      <c r="G1036" s="77" t="inlineStr">
        <is>
          <t>distribution network charge</t>
        </is>
      </c>
      <c r="H1036" s="77" t="inlineStr">
        <is>
          <t>i</t>
        </is>
      </c>
      <c r="I1036" s="77">
        <f>IF(ISNUMBER(N1036),N1036*fx_deflator!$J$9*fx_deflator!$M$9,"")</f>
        <v/>
      </c>
      <c r="J1036" s="77" t="inlineStr">
        <is>
          <t>Westnetz Preisblaetter (2013+, Wayback); BNetzA MB national avg bridge 2010-12 (D20)</t>
        </is>
      </c>
      <c r="K1036" s="77" t="inlineStr">
        <is>
          <t>stage4_de r15-17</t>
        </is>
      </c>
      <c r="L1036" s="77" t="inlineStr">
        <is>
          <t>2026-07-15</t>
        </is>
      </c>
      <c r="M1036" s="77" t="inlineStr">
        <is>
          <t>Y</t>
        </is>
      </c>
      <c r="N1036" s="136">
        <f>IF(ISNUMBER(timeseries!H58),timeseries!H58,"")</f>
        <v/>
      </c>
      <c r="O1036" s="77" t="inlineStr">
        <is>
          <t>EUR/MWh nominal</t>
        </is>
      </c>
      <c r="P1036" s="77" t="inlineStr">
        <is>
          <t>no sec.19 relief at 5,000h (fails Satz 2) — E1=E2</t>
        </is>
      </c>
    </row>
    <row r="1037" ht="15" customHeight="1" s="78">
      <c r="A1037" s="77" t="inlineStr">
        <is>
          <t>DE</t>
        </is>
      </c>
      <c r="B1037" s="77" t="n">
        <v>2014</v>
      </c>
      <c r="C1037" s="77" t="inlineStr">
        <is>
          <t>medium</t>
        </is>
      </c>
      <c r="D1037" s="77" t="inlineStr">
        <is>
          <t>E2</t>
        </is>
      </c>
      <c r="E1037" s="77" t="inlineStr">
        <is>
          <t>EEG-Umlage after BesAR (2012-13 sliding ~10 pct; 2014+ 1 GWh full + 15 pct above)</t>
        </is>
      </c>
      <c r="F1037" s="77" t="inlineStr">
        <is>
          <t>2 Gen capital recovery</t>
        </is>
      </c>
      <c r="G1037" s="77" t="inlineStr">
        <is>
          <t>renewables levy (Umlage)</t>
        </is>
      </c>
      <c r="H1037" s="77" t="inlineStr">
        <is>
          <t>i (relief = ii via Umlage on others)</t>
        </is>
      </c>
      <c r="I1037" s="77">
        <f>IF(ISNUMBER(N1037),N1037*fx_deflator!$J$9*fx_deflator!$M$9,"")</f>
        <v/>
      </c>
      <c r="J1037" s="77" t="inlineStr">
        <is>
          <t>EEG 2012 sec.41 / EEG 2014+ sec.64 (BesAR); D24/D25 conventions</t>
        </is>
      </c>
      <c r="K1037" s="77" t="inlineStr">
        <is>
          <t>stage4_de r21 + timeseries r45/62</t>
        </is>
      </c>
      <c r="L1037" s="77" t="inlineStr">
        <is>
          <t>2026-07-15</t>
        </is>
      </c>
      <c r="M1037" s="77" t="inlineStr">
        <is>
          <t>Y</t>
        </is>
      </c>
      <c r="N1037" s="136">
        <f>IF(ISNUMBER(timeseries!H62),timeseries!H62,"")</f>
        <v/>
      </c>
      <c r="O1037" s="77" t="inlineStr">
        <is>
          <t>EUR/MWh nominal</t>
        </is>
      </c>
    </row>
    <row r="1038" ht="15" customHeight="1" s="78">
      <c r="A1038" s="77" t="inlineStr">
        <is>
          <t>DE</t>
        </is>
      </c>
      <c r="B1038" s="77" t="n">
        <v>2014</v>
      </c>
      <c r="C1038" s="77" t="inlineStr">
        <is>
          <t>medium</t>
        </is>
      </c>
      <c r="D1038" s="77" t="inlineStr">
        <is>
          <t>E2</t>
        </is>
      </c>
      <c r="E1038" s="77" t="inlineStr">
        <is>
          <t>KWKG-Umlage (tranche blend at 20 GWh)</t>
        </is>
      </c>
      <c r="F1038" s="77" t="inlineStr">
        <is>
          <t>2 Gen capital recovery</t>
        </is>
      </c>
      <c r="G1038" s="77" t="inlineStr">
        <is>
          <t>CHP levy (Umlage)</t>
        </is>
      </c>
      <c r="H1038" s="77" t="inlineStr">
        <is>
          <t>i</t>
        </is>
      </c>
      <c r="I1038" s="77">
        <f>IF(ISNUMBER(N1038),N1038*fx_deflator!$J$9*fx_deflator!$M$9,"")</f>
        <v/>
      </c>
      <c r="J1038" s="77" t="inlineStr">
        <is>
          <t>netztransparenz Uebersicht KWKG-Aufschlaege 2002-2016 + per-year pages; tranche blends</t>
        </is>
      </c>
      <c r="K1038" s="77" t="inlineStr">
        <is>
          <t>stage4_de r22-24</t>
        </is>
      </c>
      <c r="L1038" s="77" t="inlineStr">
        <is>
          <t>2026-07-15</t>
        </is>
      </c>
      <c r="M1038" s="77" t="inlineStr">
        <is>
          <t>Y</t>
        </is>
      </c>
      <c r="N1038" s="77">
        <f>(0.1*stage4_de!H22+19.9*stage4_de!H23)/20*10</f>
        <v/>
      </c>
      <c r="O1038" s="77" t="inlineStr">
        <is>
          <t>EUR/MWh nominal</t>
        </is>
      </c>
    </row>
    <row r="1039" ht="15" customHeight="1" s="78">
      <c r="A1039" s="77" t="inlineStr">
        <is>
          <t>DE</t>
        </is>
      </c>
      <c r="B1039" s="77" t="n">
        <v>2014</v>
      </c>
      <c r="C1039" s="77" t="inlineStr">
        <is>
          <t>medium</t>
        </is>
      </c>
      <c r="D1039" s="77" t="inlineStr">
        <is>
          <t>E2</t>
        </is>
      </c>
      <c r="E1039" s="77" t="inlineStr">
        <is>
          <t>sec.19 StromNEV-Umlage (blend at 20 GWh)</t>
        </is>
      </c>
      <c r="F1039" s="77" t="inlineStr">
        <is>
          <t>4 System services &amp; balancing</t>
        </is>
      </c>
      <c r="G1039" s="77" t="inlineStr">
        <is>
          <t>network levy (Umlage)</t>
        </is>
      </c>
      <c r="H1039" s="77" t="inlineStr">
        <is>
          <t>ii (pays for other users relief)</t>
        </is>
      </c>
      <c r="I1039" s="77">
        <f>IF(ISNUMBER(N1039),N1039*fx_deflator!$J$9*fx_deflator!$M$9,"")</f>
        <v/>
      </c>
      <c r="J1039" s="77" t="inlineStr">
        <is>
          <t>netztransparenz per-year Umlagen pages (A-prime/B-prime/C-prime)</t>
        </is>
      </c>
      <c r="K1039" s="77" t="inlineStr">
        <is>
          <t>stage4_de r25-27</t>
        </is>
      </c>
      <c r="L1039" s="77" t="inlineStr">
        <is>
          <t>2026-07-15</t>
        </is>
      </c>
      <c r="M1039" s="77" t="inlineStr">
        <is>
          <t>Y</t>
        </is>
      </c>
      <c r="N1039" s="77">
        <f>(1*stage4_de!H25+19*stage4_de!H27)/20*10</f>
        <v/>
      </c>
      <c r="O1039" s="77" t="inlineStr">
        <is>
          <t>EUR/MWh nominal</t>
        </is>
      </c>
    </row>
    <row r="1040" ht="15" customHeight="1" s="78">
      <c r="A1040" s="77" t="inlineStr">
        <is>
          <t>DE</t>
        </is>
      </c>
      <c r="B1040" s="77" t="n">
        <v>2014</v>
      </c>
      <c r="C1040" s="77" t="inlineStr">
        <is>
          <t>medium</t>
        </is>
      </c>
      <c r="D1040" s="77" t="inlineStr">
        <is>
          <t>E2</t>
        </is>
      </c>
      <c r="E1040" s="77" t="inlineStr">
        <is>
          <t>Offshore-Netzumlage (blend at 20 GWh to 2018)</t>
        </is>
      </c>
      <c r="F1040" s="77" t="inlineStr">
        <is>
          <t>2 Gen capital recovery</t>
        </is>
      </c>
      <c r="G1040" s="77" t="inlineStr">
        <is>
          <t>offshore grid levy (Umlage)</t>
        </is>
      </c>
      <c r="H1040" s="77" t="inlineStr">
        <is>
          <t>i</t>
        </is>
      </c>
      <c r="I1040" s="77">
        <f>IF(ISNUMBER(N1040),N1040*fx_deflator!$J$9*fx_deflator!$M$9,"")</f>
        <v/>
      </c>
      <c r="J1040" s="77" t="inlineStr">
        <is>
          <t>netztransparenz Offshore-Umlage per-year pages</t>
        </is>
      </c>
      <c r="K1040" s="77" t="inlineStr">
        <is>
          <t>stage4_de r28-30</t>
        </is>
      </c>
      <c r="L1040" s="77" t="inlineStr">
        <is>
          <t>2026-07-15</t>
        </is>
      </c>
      <c r="M1040" s="77" t="inlineStr">
        <is>
          <t>Y</t>
        </is>
      </c>
      <c r="N1040" s="77">
        <f>(1*stage4_de!H28+19*stage4_de!H30)/20*10</f>
        <v/>
      </c>
      <c r="O1040" s="77" t="inlineStr">
        <is>
          <t>EUR/MWh nominal</t>
        </is>
      </c>
    </row>
    <row r="1041" ht="15" customHeight="1" s="78">
      <c r="A1041" s="77" t="inlineStr">
        <is>
          <t>DE</t>
        </is>
      </c>
      <c r="B1041" s="77" t="n">
        <v>2014</v>
      </c>
      <c r="C1041" s="77" t="inlineStr">
        <is>
          <t>medium</t>
        </is>
      </c>
      <c r="D1041" s="77" t="inlineStr">
        <is>
          <t>E2</t>
        </is>
      </c>
      <c r="E1041" s="77" t="inlineStr">
        <is>
          <t>AbLaV-Umlage</t>
        </is>
      </c>
      <c r="F1041" s="77" t="inlineStr">
        <is>
          <t>4 System services &amp; balancing</t>
        </is>
      </c>
      <c r="G1041" s="77" t="inlineStr">
        <is>
          <t>interruptible-load levy (Umlage)</t>
        </is>
      </c>
      <c r="H1041" s="77" t="inlineStr">
        <is>
          <t>i</t>
        </is>
      </c>
      <c r="I1041" s="77">
        <f>IF(ISNUMBER(N1041),N1041*fx_deflator!$J$9*fx_deflator!$M$9,"")</f>
        <v/>
      </c>
      <c r="J1041" s="77" t="inlineStr">
        <is>
          <t>netztransparenz AbLaV-Umlage per-year pages (ends 2022)</t>
        </is>
      </c>
      <c r="K1041" s="77" t="inlineStr">
        <is>
          <t>stage4_de r31</t>
        </is>
      </c>
      <c r="L1041" s="77" t="inlineStr">
        <is>
          <t>2026-07-15</t>
        </is>
      </c>
      <c r="M1041" s="77" t="inlineStr">
        <is>
          <t>N</t>
        </is>
      </c>
      <c r="N1041" s="77">
        <f>IF(ISNUMBER(stage4_de!H31),stage4_de!H31*10,"")</f>
        <v/>
      </c>
      <c r="O1041" s="77" t="inlineStr">
        <is>
          <t>EUR/MWh nominal</t>
        </is>
      </c>
    </row>
    <row r="1042" ht="15" customHeight="1" s="78">
      <c r="A1042" s="77" t="inlineStr">
        <is>
          <t>DE</t>
        </is>
      </c>
      <c r="B1042" s="77" t="n">
        <v>2014</v>
      </c>
      <c r="C1042" s="77" t="inlineStr">
        <is>
          <t>medium</t>
        </is>
      </c>
      <c r="D1042" s="77" t="inlineStr">
        <is>
          <t>E2</t>
        </is>
      </c>
      <c r="E1042" s="77" t="inlineStr">
        <is>
          <t>Stromsteuer relieved (sec.9b)</t>
        </is>
      </c>
      <c r="F1042" s="77" t="inlineStr">
        <is>
          <t>5 General taxation &amp; levies</t>
        </is>
      </c>
      <c r="G1042" s="77" t="inlineStr">
        <is>
          <t>electricity tax</t>
        </is>
      </c>
      <c r="H1042" s="77" t="inlineStr">
        <is>
          <t>i (relief = foregone tax, iii)</t>
        </is>
      </c>
      <c r="I1042" s="77">
        <f>IF(ISNUMBER(N1042),N1042*fx_deflator!$J$9*fx_deflator!$M$9,"")</f>
        <v/>
      </c>
      <c r="J1042" s="77" t="inlineStr">
        <is>
          <t>StromStG sec.3/sec.9b (BGBl. 2025 I Nr. 340: 0.50 permanent from 2026); gesetze-im-internet.de</t>
        </is>
      </c>
      <c r="K1042" s="77" t="inlineStr">
        <is>
          <t>stage4_de r34-35</t>
        </is>
      </c>
      <c r="L1042" s="77" t="inlineStr">
        <is>
          <t>2026-07-15</t>
        </is>
      </c>
      <c r="M1042" s="77" t="inlineStr">
        <is>
          <t>N</t>
        </is>
      </c>
      <c r="N1042" s="77">
        <f>IF(ISNUMBER(stage4_de!H35),stage4_de!H35,"")</f>
        <v/>
      </c>
      <c r="O1042" s="77" t="inlineStr">
        <is>
          <t>EUR/MWh nominal</t>
        </is>
      </c>
    </row>
    <row r="1043" ht="15" customHeight="1" s="78">
      <c r="A1043" s="77" t="inlineStr">
        <is>
          <t>DE</t>
        </is>
      </c>
      <c r="B1043" s="77" t="n">
        <v>2014</v>
      </c>
      <c r="C1043" s="77" t="inlineStr">
        <is>
          <t>medium</t>
        </is>
      </c>
      <c r="D1043" s="77" t="inlineStr">
        <is>
          <t>E2</t>
        </is>
      </c>
      <c r="E1043" s="77" t="inlineStr">
        <is>
          <t>Konzessionsabgabe (0 via Grenzpreis)</t>
        </is>
      </c>
      <c r="F1043" s="77" t="inlineStr">
        <is>
          <t>5 General taxation &amp; levies</t>
        </is>
      </c>
      <c r="G1043" s="77" t="inlineStr">
        <is>
          <t>concession fee</t>
        </is>
      </c>
      <c r="H1043" s="77" t="inlineStr">
        <is>
          <t>i</t>
        </is>
      </c>
      <c r="I1043" s="77">
        <f>IF(ISNUMBER(N1043),N1043*fx_deflator!$J$9*fx_deflator!$M$9,"")</f>
        <v/>
      </c>
      <c r="J1043" s="77" t="inlineStr">
        <is>
          <t>KAV sec.2(3)/(4) Grenzpreis rule -&gt; 0 for Sondervertragskunden</t>
        </is>
      </c>
      <c r="K1043" s="77" t="inlineStr">
        <is>
          <t>stage4_de r36</t>
        </is>
      </c>
      <c r="L1043" s="77" t="inlineStr">
        <is>
          <t>2026-07-15</t>
        </is>
      </c>
      <c r="M1043" s="77" t="inlineStr">
        <is>
          <t>N</t>
        </is>
      </c>
      <c r="N1043" s="77">
        <f>IF(ISNUMBER(stage4_de!H36),stage4_de!H36*10,"")</f>
        <v/>
      </c>
      <c r="O1043" s="77" t="inlineStr">
        <is>
          <t>EUR/MWh nominal</t>
        </is>
      </c>
    </row>
    <row r="1044" ht="15" customHeight="1" s="78">
      <c r="A1044" s="77" t="inlineStr">
        <is>
          <t>DE</t>
        </is>
      </c>
      <c r="B1044" s="77" t="n">
        <v>2015</v>
      </c>
      <c r="C1044" s="77" t="inlineStr">
        <is>
          <t>medium</t>
        </is>
      </c>
      <c r="D1044" s="77" t="inlineStr">
        <is>
          <t>E2</t>
        </is>
      </c>
      <c r="E1044" s="77" t="inlineStr">
        <is>
          <t>Wholesale (as large)</t>
        </is>
      </c>
      <c r="F1044" s="77" t="inlineStr">
        <is>
          <t>1 Commodity</t>
        </is>
      </c>
      <c r="G1044" s="77" t="inlineStr">
        <is>
          <t>wholesale market</t>
        </is>
      </c>
      <c r="H1044" s="77" t="inlineStr">
        <is>
          <t>i</t>
        </is>
      </c>
      <c r="I1044" s="77">
        <f>IF(ISNUMBER(N1044),N1044*fx_deflator!$J$10*fx_deflator!$M$10,"")</f>
        <v/>
      </c>
      <c r="J1044" s="77" t="inlineStr">
        <is>
          <t>BNetzA Monitoringberichte — Phelix base front-year by trading yr -&gt; delivery yr; 2026 = D29</t>
        </is>
      </c>
      <c r="K1044" s="77" t="inlineStr">
        <is>
          <t>stage4_de r7</t>
        </is>
      </c>
      <c r="L1044" s="77" t="inlineStr">
        <is>
          <t>2026-07-15</t>
        </is>
      </c>
      <c r="M1044" s="77" t="inlineStr">
        <is>
          <t>Y</t>
        </is>
      </c>
      <c r="N1044" s="136">
        <f>IF(ISNUMBER(timeseries!I57),timeseries!I57,"")</f>
        <v/>
      </c>
      <c r="O1044" s="77" t="inlineStr">
        <is>
          <t>EUR/MWh nominal</t>
        </is>
      </c>
    </row>
    <row r="1045" ht="15" customHeight="1" s="78">
      <c r="A1045" s="77" t="inlineStr">
        <is>
          <t>DE</t>
        </is>
      </c>
      <c r="B1045" s="77" t="n">
        <v>2015</v>
      </c>
      <c r="C1045" s="77" t="inlineStr">
        <is>
          <t>medium</t>
        </is>
      </c>
      <c r="D1045" s="77" t="inlineStr">
        <is>
          <t>E2</t>
        </is>
      </c>
      <c r="E1045" s="77" t="inlineStr">
        <is>
          <t>Netzentgelte MS (Westnetz; MB bridge 2010-12)</t>
        </is>
      </c>
      <c r="F1045" s="77" t="inlineStr">
        <is>
          <t>3 Network</t>
        </is>
      </c>
      <c r="G1045" s="77" t="inlineStr">
        <is>
          <t>distribution network charge</t>
        </is>
      </c>
      <c r="H1045" s="77" t="inlineStr">
        <is>
          <t>i</t>
        </is>
      </c>
      <c r="I1045" s="77">
        <f>IF(ISNUMBER(N1045),N1045*fx_deflator!$J$10*fx_deflator!$M$10,"")</f>
        <v/>
      </c>
      <c r="J1045" s="77" t="inlineStr">
        <is>
          <t>Westnetz Preisblaetter (2013+, Wayback); BNetzA MB national avg bridge 2010-12 (D20)</t>
        </is>
      </c>
      <c r="K1045" s="77" t="inlineStr">
        <is>
          <t>stage4_de r15-17</t>
        </is>
      </c>
      <c r="L1045" s="77" t="inlineStr">
        <is>
          <t>2026-07-15</t>
        </is>
      </c>
      <c r="M1045" s="77" t="inlineStr">
        <is>
          <t>Y</t>
        </is>
      </c>
      <c r="N1045" s="136">
        <f>IF(ISNUMBER(timeseries!I58),timeseries!I58,"")</f>
        <v/>
      </c>
      <c r="O1045" s="77" t="inlineStr">
        <is>
          <t>EUR/MWh nominal</t>
        </is>
      </c>
      <c r="P1045" s="77" t="inlineStr">
        <is>
          <t>no sec.19 relief at 5,000h (fails Satz 2) — E1=E2</t>
        </is>
      </c>
    </row>
    <row r="1046" ht="15" customHeight="1" s="78">
      <c r="A1046" s="77" t="inlineStr">
        <is>
          <t>DE</t>
        </is>
      </c>
      <c r="B1046" s="77" t="n">
        <v>2015</v>
      </c>
      <c r="C1046" s="77" t="inlineStr">
        <is>
          <t>medium</t>
        </is>
      </c>
      <c r="D1046" s="77" t="inlineStr">
        <is>
          <t>E2</t>
        </is>
      </c>
      <c r="E1046" s="77" t="inlineStr">
        <is>
          <t>EEG-Umlage after BesAR (2012-13 sliding ~10 pct; 2014+ 1 GWh full + 15 pct above)</t>
        </is>
      </c>
      <c r="F1046" s="77" t="inlineStr">
        <is>
          <t>2 Gen capital recovery</t>
        </is>
      </c>
      <c r="G1046" s="77" t="inlineStr">
        <is>
          <t>renewables levy (Umlage)</t>
        </is>
      </c>
      <c r="H1046" s="77" t="inlineStr">
        <is>
          <t>i (relief = ii via Umlage on others)</t>
        </is>
      </c>
      <c r="I1046" s="77">
        <f>IF(ISNUMBER(N1046),N1046*fx_deflator!$J$10*fx_deflator!$M$10,"")</f>
        <v/>
      </c>
      <c r="J1046" s="77" t="inlineStr">
        <is>
          <t>EEG 2012 sec.41 / EEG 2014+ sec.64 (BesAR); D24/D25 conventions</t>
        </is>
      </c>
      <c r="K1046" s="77" t="inlineStr">
        <is>
          <t>stage4_de r21 + timeseries r45/62</t>
        </is>
      </c>
      <c r="L1046" s="77" t="inlineStr">
        <is>
          <t>2026-07-15</t>
        </is>
      </c>
      <c r="M1046" s="77" t="inlineStr">
        <is>
          <t>Y</t>
        </is>
      </c>
      <c r="N1046" s="136">
        <f>IF(ISNUMBER(timeseries!I62),timeseries!I62,"")</f>
        <v/>
      </c>
      <c r="O1046" s="77" t="inlineStr">
        <is>
          <t>EUR/MWh nominal</t>
        </is>
      </c>
    </row>
    <row r="1047" ht="15" customHeight="1" s="78">
      <c r="A1047" s="77" t="inlineStr">
        <is>
          <t>DE</t>
        </is>
      </c>
      <c r="B1047" s="77" t="n">
        <v>2015</v>
      </c>
      <c r="C1047" s="77" t="inlineStr">
        <is>
          <t>medium</t>
        </is>
      </c>
      <c r="D1047" s="77" t="inlineStr">
        <is>
          <t>E2</t>
        </is>
      </c>
      <c r="E1047" s="77" t="inlineStr">
        <is>
          <t>KWKG-Umlage (tranche blend at 20 GWh)</t>
        </is>
      </c>
      <c r="F1047" s="77" t="inlineStr">
        <is>
          <t>2 Gen capital recovery</t>
        </is>
      </c>
      <c r="G1047" s="77" t="inlineStr">
        <is>
          <t>CHP levy (Umlage)</t>
        </is>
      </c>
      <c r="H1047" s="77" t="inlineStr">
        <is>
          <t>i</t>
        </is>
      </c>
      <c r="I1047" s="77">
        <f>IF(ISNUMBER(N1047),N1047*fx_deflator!$J$10*fx_deflator!$M$10,"")</f>
        <v/>
      </c>
      <c r="J1047" s="77" t="inlineStr">
        <is>
          <t>netztransparenz Uebersicht KWKG-Aufschlaege 2002-2016 + per-year pages; tranche blends</t>
        </is>
      </c>
      <c r="K1047" s="77" t="inlineStr">
        <is>
          <t>stage4_de r22-24</t>
        </is>
      </c>
      <c r="L1047" s="77" t="inlineStr">
        <is>
          <t>2026-07-15</t>
        </is>
      </c>
      <c r="M1047" s="77" t="inlineStr">
        <is>
          <t>Y</t>
        </is>
      </c>
      <c r="N1047" s="77">
        <f>(0.1*stage4_de!I22+19.9*stage4_de!I23)/20*10</f>
        <v/>
      </c>
      <c r="O1047" s="77" t="inlineStr">
        <is>
          <t>EUR/MWh nominal</t>
        </is>
      </c>
    </row>
    <row r="1048" ht="15" customHeight="1" s="78">
      <c r="A1048" s="77" t="inlineStr">
        <is>
          <t>DE</t>
        </is>
      </c>
      <c r="B1048" s="77" t="n">
        <v>2015</v>
      </c>
      <c r="C1048" s="77" t="inlineStr">
        <is>
          <t>medium</t>
        </is>
      </c>
      <c r="D1048" s="77" t="inlineStr">
        <is>
          <t>E2</t>
        </is>
      </c>
      <c r="E1048" s="77" t="inlineStr">
        <is>
          <t>sec.19 StromNEV-Umlage (blend at 20 GWh)</t>
        </is>
      </c>
      <c r="F1048" s="77" t="inlineStr">
        <is>
          <t>4 System services &amp; balancing</t>
        </is>
      </c>
      <c r="G1048" s="77" t="inlineStr">
        <is>
          <t>network levy (Umlage)</t>
        </is>
      </c>
      <c r="H1048" s="77" t="inlineStr">
        <is>
          <t>ii (pays for other users relief)</t>
        </is>
      </c>
      <c r="I1048" s="77">
        <f>IF(ISNUMBER(N1048),N1048*fx_deflator!$J$10*fx_deflator!$M$10,"")</f>
        <v/>
      </c>
      <c r="J1048" s="77" t="inlineStr">
        <is>
          <t>netztransparenz per-year Umlagen pages (A-prime/B-prime/C-prime)</t>
        </is>
      </c>
      <c r="K1048" s="77" t="inlineStr">
        <is>
          <t>stage4_de r25-27</t>
        </is>
      </c>
      <c r="L1048" s="77" t="inlineStr">
        <is>
          <t>2026-07-15</t>
        </is>
      </c>
      <c r="M1048" s="77" t="inlineStr">
        <is>
          <t>Y</t>
        </is>
      </c>
      <c r="N1048" s="77">
        <f>(1*stage4_de!I25+19*stage4_de!I27)/20*10</f>
        <v/>
      </c>
      <c r="O1048" s="77" t="inlineStr">
        <is>
          <t>EUR/MWh nominal</t>
        </is>
      </c>
    </row>
    <row r="1049" ht="15" customHeight="1" s="78">
      <c r="A1049" s="77" t="inlineStr">
        <is>
          <t>DE</t>
        </is>
      </c>
      <c r="B1049" s="77" t="n">
        <v>2015</v>
      </c>
      <c r="C1049" s="77" t="inlineStr">
        <is>
          <t>medium</t>
        </is>
      </c>
      <c r="D1049" s="77" t="inlineStr">
        <is>
          <t>E2</t>
        </is>
      </c>
      <c r="E1049" s="77" t="inlineStr">
        <is>
          <t>Offshore-Netzumlage (blend at 20 GWh to 2018)</t>
        </is>
      </c>
      <c r="F1049" s="77" t="inlineStr">
        <is>
          <t>2 Gen capital recovery</t>
        </is>
      </c>
      <c r="G1049" s="77" t="inlineStr">
        <is>
          <t>offshore grid levy (Umlage)</t>
        </is>
      </c>
      <c r="H1049" s="77" t="inlineStr">
        <is>
          <t>i</t>
        </is>
      </c>
      <c r="I1049" s="77">
        <f>IF(ISNUMBER(N1049),N1049*fx_deflator!$J$10*fx_deflator!$M$10,"")</f>
        <v/>
      </c>
      <c r="J1049" s="77" t="inlineStr">
        <is>
          <t>netztransparenz Offshore-Umlage per-year pages</t>
        </is>
      </c>
      <c r="K1049" s="77" t="inlineStr">
        <is>
          <t>stage4_de r28-30</t>
        </is>
      </c>
      <c r="L1049" s="77" t="inlineStr">
        <is>
          <t>2026-07-15</t>
        </is>
      </c>
      <c r="M1049" s="77" t="inlineStr">
        <is>
          <t>Y</t>
        </is>
      </c>
      <c r="N1049" s="77">
        <f>(1*stage4_de!I28+19*stage4_de!I30)/20*10</f>
        <v/>
      </c>
      <c r="O1049" s="77" t="inlineStr">
        <is>
          <t>EUR/MWh nominal</t>
        </is>
      </c>
    </row>
    <row r="1050" ht="15" customHeight="1" s="78">
      <c r="A1050" s="77" t="inlineStr">
        <is>
          <t>DE</t>
        </is>
      </c>
      <c r="B1050" s="77" t="n">
        <v>2015</v>
      </c>
      <c r="C1050" s="77" t="inlineStr">
        <is>
          <t>medium</t>
        </is>
      </c>
      <c r="D1050" s="77" t="inlineStr">
        <is>
          <t>E2</t>
        </is>
      </c>
      <c r="E1050" s="77" t="inlineStr">
        <is>
          <t>AbLaV-Umlage</t>
        </is>
      </c>
      <c r="F1050" s="77" t="inlineStr">
        <is>
          <t>4 System services &amp; balancing</t>
        </is>
      </c>
      <c r="G1050" s="77" t="inlineStr">
        <is>
          <t>interruptible-load levy (Umlage)</t>
        </is>
      </c>
      <c r="H1050" s="77" t="inlineStr">
        <is>
          <t>i</t>
        </is>
      </c>
      <c r="I1050" s="77">
        <f>IF(ISNUMBER(N1050),N1050*fx_deflator!$J$10*fx_deflator!$M$10,"")</f>
        <v/>
      </c>
      <c r="J1050" s="77" t="inlineStr">
        <is>
          <t>netztransparenz AbLaV-Umlage per-year pages (ends 2022)</t>
        </is>
      </c>
      <c r="K1050" s="77" t="inlineStr">
        <is>
          <t>stage4_de r31</t>
        </is>
      </c>
      <c r="L1050" s="77" t="inlineStr">
        <is>
          <t>2026-07-15</t>
        </is>
      </c>
      <c r="M1050" s="77" t="inlineStr">
        <is>
          <t>N</t>
        </is>
      </c>
      <c r="N1050" s="77">
        <f>IF(ISNUMBER(stage4_de!I31),stage4_de!I31*10,"")</f>
        <v/>
      </c>
      <c r="O1050" s="77" t="inlineStr">
        <is>
          <t>EUR/MWh nominal</t>
        </is>
      </c>
    </row>
    <row r="1051" ht="15" customHeight="1" s="78">
      <c r="A1051" s="77" t="inlineStr">
        <is>
          <t>DE</t>
        </is>
      </c>
      <c r="B1051" s="77" t="n">
        <v>2015</v>
      </c>
      <c r="C1051" s="77" t="inlineStr">
        <is>
          <t>medium</t>
        </is>
      </c>
      <c r="D1051" s="77" t="inlineStr">
        <is>
          <t>E2</t>
        </is>
      </c>
      <c r="E1051" s="77" t="inlineStr">
        <is>
          <t>Stromsteuer relieved (sec.9b)</t>
        </is>
      </c>
      <c r="F1051" s="77" t="inlineStr">
        <is>
          <t>5 General taxation &amp; levies</t>
        </is>
      </c>
      <c r="G1051" s="77" t="inlineStr">
        <is>
          <t>electricity tax</t>
        </is>
      </c>
      <c r="H1051" s="77" t="inlineStr">
        <is>
          <t>i (relief = foregone tax, iii)</t>
        </is>
      </c>
      <c r="I1051" s="77">
        <f>IF(ISNUMBER(N1051),N1051*fx_deflator!$J$10*fx_deflator!$M$10,"")</f>
        <v/>
      </c>
      <c r="J1051" s="77" t="inlineStr">
        <is>
          <t>StromStG sec.3/sec.9b (BGBl. 2025 I Nr. 340: 0.50 permanent from 2026); gesetze-im-internet.de</t>
        </is>
      </c>
      <c r="K1051" s="77" t="inlineStr">
        <is>
          <t>stage4_de r34-35</t>
        </is>
      </c>
      <c r="L1051" s="77" t="inlineStr">
        <is>
          <t>2026-07-15</t>
        </is>
      </c>
      <c r="M1051" s="77" t="inlineStr">
        <is>
          <t>N</t>
        </is>
      </c>
      <c r="N1051" s="77">
        <f>IF(ISNUMBER(stage4_de!I35),stage4_de!I35,"")</f>
        <v/>
      </c>
      <c r="O1051" s="77" t="inlineStr">
        <is>
          <t>EUR/MWh nominal</t>
        </is>
      </c>
    </row>
    <row r="1052" ht="15" customHeight="1" s="78">
      <c r="A1052" s="77" t="inlineStr">
        <is>
          <t>DE</t>
        </is>
      </c>
      <c r="B1052" s="77" t="n">
        <v>2015</v>
      </c>
      <c r="C1052" s="77" t="inlineStr">
        <is>
          <t>medium</t>
        </is>
      </c>
      <c r="D1052" s="77" t="inlineStr">
        <is>
          <t>E2</t>
        </is>
      </c>
      <c r="E1052" s="77" t="inlineStr">
        <is>
          <t>Konzessionsabgabe (0 via Grenzpreis)</t>
        </is>
      </c>
      <c r="F1052" s="77" t="inlineStr">
        <is>
          <t>5 General taxation &amp; levies</t>
        </is>
      </c>
      <c r="G1052" s="77" t="inlineStr">
        <is>
          <t>concession fee</t>
        </is>
      </c>
      <c r="H1052" s="77" t="inlineStr">
        <is>
          <t>i</t>
        </is>
      </c>
      <c r="I1052" s="77">
        <f>IF(ISNUMBER(N1052),N1052*fx_deflator!$J$10*fx_deflator!$M$10,"")</f>
        <v/>
      </c>
      <c r="J1052" s="77" t="inlineStr">
        <is>
          <t>KAV sec.2(3)/(4) Grenzpreis rule -&gt; 0 for Sondervertragskunden</t>
        </is>
      </c>
      <c r="K1052" s="77" t="inlineStr">
        <is>
          <t>stage4_de r36</t>
        </is>
      </c>
      <c r="L1052" s="77" t="inlineStr">
        <is>
          <t>2026-07-15</t>
        </is>
      </c>
      <c r="M1052" s="77" t="inlineStr">
        <is>
          <t>N</t>
        </is>
      </c>
      <c r="N1052" s="77">
        <f>IF(ISNUMBER(stage4_de!I36),stage4_de!I36*10,"")</f>
        <v/>
      </c>
      <c r="O1052" s="77" t="inlineStr">
        <is>
          <t>EUR/MWh nominal</t>
        </is>
      </c>
    </row>
    <row r="1053" ht="15" customHeight="1" s="78">
      <c r="A1053" s="77" t="inlineStr">
        <is>
          <t>DE</t>
        </is>
      </c>
      <c r="B1053" s="77" t="n">
        <v>2016</v>
      </c>
      <c r="C1053" s="77" t="inlineStr">
        <is>
          <t>medium</t>
        </is>
      </c>
      <c r="D1053" s="77" t="inlineStr">
        <is>
          <t>E2</t>
        </is>
      </c>
      <c r="E1053" s="77" t="inlineStr">
        <is>
          <t>Wholesale (as large)</t>
        </is>
      </c>
      <c r="F1053" s="77" t="inlineStr">
        <is>
          <t>1 Commodity</t>
        </is>
      </c>
      <c r="G1053" s="77" t="inlineStr">
        <is>
          <t>wholesale market</t>
        </is>
      </c>
      <c r="H1053" s="77" t="inlineStr">
        <is>
          <t>i</t>
        </is>
      </c>
      <c r="I1053" s="77">
        <f>IF(ISNUMBER(N1053),N1053*fx_deflator!$J$11*fx_deflator!$M$11,"")</f>
        <v/>
      </c>
      <c r="J1053" s="77" t="inlineStr">
        <is>
          <t>BNetzA Monitoringberichte — Phelix base front-year by trading yr -&gt; delivery yr; 2026 = D29</t>
        </is>
      </c>
      <c r="K1053" s="77" t="inlineStr">
        <is>
          <t>stage4_de r7</t>
        </is>
      </c>
      <c r="L1053" s="77" t="inlineStr">
        <is>
          <t>2026-07-15</t>
        </is>
      </c>
      <c r="M1053" s="77" t="inlineStr">
        <is>
          <t>Y</t>
        </is>
      </c>
      <c r="N1053" s="136">
        <f>IF(ISNUMBER(timeseries!J57),timeseries!J57,"")</f>
        <v/>
      </c>
      <c r="O1053" s="77" t="inlineStr">
        <is>
          <t>EUR/MWh nominal</t>
        </is>
      </c>
    </row>
    <row r="1054" ht="15" customHeight="1" s="78">
      <c r="A1054" s="77" t="inlineStr">
        <is>
          <t>DE</t>
        </is>
      </c>
      <c r="B1054" s="77" t="n">
        <v>2016</v>
      </c>
      <c r="C1054" s="77" t="inlineStr">
        <is>
          <t>medium</t>
        </is>
      </c>
      <c r="D1054" s="77" t="inlineStr">
        <is>
          <t>E2</t>
        </is>
      </c>
      <c r="E1054" s="77" t="inlineStr">
        <is>
          <t>Netzentgelte MS (Westnetz; MB bridge 2010-12)</t>
        </is>
      </c>
      <c r="F1054" s="77" t="inlineStr">
        <is>
          <t>3 Network</t>
        </is>
      </c>
      <c r="G1054" s="77" t="inlineStr">
        <is>
          <t>distribution network charge</t>
        </is>
      </c>
      <c r="H1054" s="77" t="inlineStr">
        <is>
          <t>i</t>
        </is>
      </c>
      <c r="I1054" s="77">
        <f>IF(ISNUMBER(N1054),N1054*fx_deflator!$J$11*fx_deflator!$M$11,"")</f>
        <v/>
      </c>
      <c r="J1054" s="77" t="inlineStr">
        <is>
          <t>Westnetz Preisblaetter (2013+, Wayback); BNetzA MB national avg bridge 2010-12 (D20)</t>
        </is>
      </c>
      <c r="K1054" s="77" t="inlineStr">
        <is>
          <t>stage4_de r15-17</t>
        </is>
      </c>
      <c r="L1054" s="77" t="inlineStr">
        <is>
          <t>2026-07-15</t>
        </is>
      </c>
      <c r="M1054" s="77" t="inlineStr">
        <is>
          <t>Y</t>
        </is>
      </c>
      <c r="N1054" s="136">
        <f>IF(ISNUMBER(timeseries!J58),timeseries!J58,"")</f>
        <v/>
      </c>
      <c r="O1054" s="77" t="inlineStr">
        <is>
          <t>EUR/MWh nominal</t>
        </is>
      </c>
      <c r="P1054" s="77" t="inlineStr">
        <is>
          <t>no sec.19 relief at 5,000h (fails Satz 2) — E1=E2</t>
        </is>
      </c>
    </row>
    <row r="1055" ht="15" customHeight="1" s="78">
      <c r="A1055" s="77" t="inlineStr">
        <is>
          <t>DE</t>
        </is>
      </c>
      <c r="B1055" s="77" t="n">
        <v>2016</v>
      </c>
      <c r="C1055" s="77" t="inlineStr">
        <is>
          <t>medium</t>
        </is>
      </c>
      <c r="D1055" s="77" t="inlineStr">
        <is>
          <t>E2</t>
        </is>
      </c>
      <c r="E1055" s="77" t="inlineStr">
        <is>
          <t>EEG-Umlage after BesAR (2012-13 sliding ~10 pct; 2014+ 1 GWh full + 15 pct above)</t>
        </is>
      </c>
      <c r="F1055" s="77" t="inlineStr">
        <is>
          <t>2 Gen capital recovery</t>
        </is>
      </c>
      <c r="G1055" s="77" t="inlineStr">
        <is>
          <t>renewables levy (Umlage)</t>
        </is>
      </c>
      <c r="H1055" s="77" t="inlineStr">
        <is>
          <t>i (relief = ii via Umlage on others)</t>
        </is>
      </c>
      <c r="I1055" s="77">
        <f>IF(ISNUMBER(N1055),N1055*fx_deflator!$J$11*fx_deflator!$M$11,"")</f>
        <v/>
      </c>
      <c r="J1055" s="77" t="inlineStr">
        <is>
          <t>EEG 2012 sec.41 / EEG 2014+ sec.64 (BesAR); D24/D25 conventions</t>
        </is>
      </c>
      <c r="K1055" s="77" t="inlineStr">
        <is>
          <t>stage4_de r21 + timeseries r45/62</t>
        </is>
      </c>
      <c r="L1055" s="77" t="inlineStr">
        <is>
          <t>2026-07-15</t>
        </is>
      </c>
      <c r="M1055" s="77" t="inlineStr">
        <is>
          <t>Y</t>
        </is>
      </c>
      <c r="N1055" s="136">
        <f>IF(ISNUMBER(timeseries!J62),timeseries!J62,"")</f>
        <v/>
      </c>
      <c r="O1055" s="77" t="inlineStr">
        <is>
          <t>EUR/MWh nominal</t>
        </is>
      </c>
    </row>
    <row r="1056" ht="15" customHeight="1" s="78">
      <c r="A1056" s="77" t="inlineStr">
        <is>
          <t>DE</t>
        </is>
      </c>
      <c r="B1056" s="77" t="n">
        <v>2016</v>
      </c>
      <c r="C1056" s="77" t="inlineStr">
        <is>
          <t>medium</t>
        </is>
      </c>
      <c r="D1056" s="77" t="inlineStr">
        <is>
          <t>E2</t>
        </is>
      </c>
      <c r="E1056" s="77" t="inlineStr">
        <is>
          <t>KWKG-Umlage (tranche blend at 20 GWh)</t>
        </is>
      </c>
      <c r="F1056" s="77" t="inlineStr">
        <is>
          <t>2 Gen capital recovery</t>
        </is>
      </c>
      <c r="G1056" s="77" t="inlineStr">
        <is>
          <t>CHP levy (Umlage)</t>
        </is>
      </c>
      <c r="H1056" s="77" t="inlineStr">
        <is>
          <t>i</t>
        </is>
      </c>
      <c r="I1056" s="77">
        <f>IF(ISNUMBER(N1056),N1056*fx_deflator!$J$11*fx_deflator!$M$11,"")</f>
        <v/>
      </c>
      <c r="J1056" s="77" t="inlineStr">
        <is>
          <t>netztransparenz Uebersicht KWKG-Aufschlaege 2002-2016 + per-year pages; tranche blends</t>
        </is>
      </c>
      <c r="K1056" s="77" t="inlineStr">
        <is>
          <t>stage4_de r22-24</t>
        </is>
      </c>
      <c r="L1056" s="77" t="inlineStr">
        <is>
          <t>2026-07-15</t>
        </is>
      </c>
      <c r="M1056" s="77" t="inlineStr">
        <is>
          <t>Y</t>
        </is>
      </c>
      <c r="N1056" s="77">
        <f>(1*stage4_de!J22+19*stage4_de!J24)/20*10</f>
        <v/>
      </c>
      <c r="O1056" s="77" t="inlineStr">
        <is>
          <t>EUR/MWh nominal</t>
        </is>
      </c>
    </row>
    <row r="1057" ht="15" customHeight="1" s="78">
      <c r="A1057" s="77" t="inlineStr">
        <is>
          <t>DE</t>
        </is>
      </c>
      <c r="B1057" s="77" t="n">
        <v>2016</v>
      </c>
      <c r="C1057" s="77" t="inlineStr">
        <is>
          <t>medium</t>
        </is>
      </c>
      <c r="D1057" s="77" t="inlineStr">
        <is>
          <t>E2</t>
        </is>
      </c>
      <c r="E1057" s="77" t="inlineStr">
        <is>
          <t>sec.19 StromNEV-Umlage (blend at 20 GWh)</t>
        </is>
      </c>
      <c r="F1057" s="77" t="inlineStr">
        <is>
          <t>4 System services &amp; balancing</t>
        </is>
      </c>
      <c r="G1057" s="77" t="inlineStr">
        <is>
          <t>network levy (Umlage)</t>
        </is>
      </c>
      <c r="H1057" s="77" t="inlineStr">
        <is>
          <t>ii (pays for other users relief)</t>
        </is>
      </c>
      <c r="I1057" s="77">
        <f>IF(ISNUMBER(N1057),N1057*fx_deflator!$J$11*fx_deflator!$M$11,"")</f>
        <v/>
      </c>
      <c r="J1057" s="77" t="inlineStr">
        <is>
          <t>netztransparenz per-year Umlagen pages (A-prime/B-prime/C-prime)</t>
        </is>
      </c>
      <c r="K1057" s="77" t="inlineStr">
        <is>
          <t>stage4_de r25-27</t>
        </is>
      </c>
      <c r="L1057" s="77" t="inlineStr">
        <is>
          <t>2026-07-15</t>
        </is>
      </c>
      <c r="M1057" s="77" t="inlineStr">
        <is>
          <t>Y</t>
        </is>
      </c>
      <c r="N1057" s="77">
        <f>(1*stage4_de!J25+19*stage4_de!J27)/20*10</f>
        <v/>
      </c>
      <c r="O1057" s="77" t="inlineStr">
        <is>
          <t>EUR/MWh nominal</t>
        </is>
      </c>
    </row>
    <row r="1058" ht="15" customHeight="1" s="78">
      <c r="A1058" s="77" t="inlineStr">
        <is>
          <t>DE</t>
        </is>
      </c>
      <c r="B1058" s="77" t="n">
        <v>2016</v>
      </c>
      <c r="C1058" s="77" t="inlineStr">
        <is>
          <t>medium</t>
        </is>
      </c>
      <c r="D1058" s="77" t="inlineStr">
        <is>
          <t>E2</t>
        </is>
      </c>
      <c r="E1058" s="77" t="inlineStr">
        <is>
          <t>Offshore-Netzumlage (blend at 20 GWh to 2018)</t>
        </is>
      </c>
      <c r="F1058" s="77" t="inlineStr">
        <is>
          <t>2 Gen capital recovery</t>
        </is>
      </c>
      <c r="G1058" s="77" t="inlineStr">
        <is>
          <t>offshore grid levy (Umlage)</t>
        </is>
      </c>
      <c r="H1058" s="77" t="inlineStr">
        <is>
          <t>i</t>
        </is>
      </c>
      <c r="I1058" s="77">
        <f>IF(ISNUMBER(N1058),N1058*fx_deflator!$J$11*fx_deflator!$M$11,"")</f>
        <v/>
      </c>
      <c r="J1058" s="77" t="inlineStr">
        <is>
          <t>netztransparenz Offshore-Umlage per-year pages</t>
        </is>
      </c>
      <c r="K1058" s="77" t="inlineStr">
        <is>
          <t>stage4_de r28-30</t>
        </is>
      </c>
      <c r="L1058" s="77" t="inlineStr">
        <is>
          <t>2026-07-15</t>
        </is>
      </c>
      <c r="M1058" s="77" t="inlineStr">
        <is>
          <t>Y</t>
        </is>
      </c>
      <c r="N1058" s="77">
        <f>(1*stage4_de!J28+19*stage4_de!J30)/20*10</f>
        <v/>
      </c>
      <c r="O1058" s="77" t="inlineStr">
        <is>
          <t>EUR/MWh nominal</t>
        </is>
      </c>
    </row>
    <row r="1059" ht="15" customHeight="1" s="78">
      <c r="A1059" s="77" t="inlineStr">
        <is>
          <t>DE</t>
        </is>
      </c>
      <c r="B1059" s="77" t="n">
        <v>2016</v>
      </c>
      <c r="C1059" s="77" t="inlineStr">
        <is>
          <t>medium</t>
        </is>
      </c>
      <c r="D1059" s="77" t="inlineStr">
        <is>
          <t>E2</t>
        </is>
      </c>
      <c r="E1059" s="77" t="inlineStr">
        <is>
          <t>AbLaV-Umlage</t>
        </is>
      </c>
      <c r="F1059" s="77" t="inlineStr">
        <is>
          <t>4 System services &amp; balancing</t>
        </is>
      </c>
      <c r="G1059" s="77" t="inlineStr">
        <is>
          <t>interruptible-load levy (Umlage)</t>
        </is>
      </c>
      <c r="H1059" s="77" t="inlineStr">
        <is>
          <t>i</t>
        </is>
      </c>
      <c r="I1059" s="77">
        <f>IF(ISNUMBER(N1059),N1059*fx_deflator!$J$11*fx_deflator!$M$11,"")</f>
        <v/>
      </c>
      <c r="J1059" s="77" t="inlineStr">
        <is>
          <t>netztransparenz AbLaV-Umlage per-year pages (ends 2022)</t>
        </is>
      </c>
      <c r="K1059" s="77" t="inlineStr">
        <is>
          <t>stage4_de r31</t>
        </is>
      </c>
      <c r="L1059" s="77" t="inlineStr">
        <is>
          <t>2026-07-15</t>
        </is>
      </c>
      <c r="M1059" s="77" t="inlineStr">
        <is>
          <t>N</t>
        </is>
      </c>
      <c r="N1059" s="77">
        <f>IF(ISNUMBER(stage4_de!J31),stage4_de!J31*10,"")</f>
        <v/>
      </c>
      <c r="O1059" s="77" t="inlineStr">
        <is>
          <t>EUR/MWh nominal</t>
        </is>
      </c>
    </row>
    <row r="1060" ht="15" customHeight="1" s="78">
      <c r="A1060" s="77" t="inlineStr">
        <is>
          <t>DE</t>
        </is>
      </c>
      <c r="B1060" s="77" t="n">
        <v>2016</v>
      </c>
      <c r="C1060" s="77" t="inlineStr">
        <is>
          <t>medium</t>
        </is>
      </c>
      <c r="D1060" s="77" t="inlineStr">
        <is>
          <t>E2</t>
        </is>
      </c>
      <c r="E1060" s="77" t="inlineStr">
        <is>
          <t>Stromsteuer relieved (sec.9b)</t>
        </is>
      </c>
      <c r="F1060" s="77" t="inlineStr">
        <is>
          <t>5 General taxation &amp; levies</t>
        </is>
      </c>
      <c r="G1060" s="77" t="inlineStr">
        <is>
          <t>electricity tax</t>
        </is>
      </c>
      <c r="H1060" s="77" t="inlineStr">
        <is>
          <t>i (relief = foregone tax, iii)</t>
        </is>
      </c>
      <c r="I1060" s="77">
        <f>IF(ISNUMBER(N1060),N1060*fx_deflator!$J$11*fx_deflator!$M$11,"")</f>
        <v/>
      </c>
      <c r="J1060" s="77" t="inlineStr">
        <is>
          <t>StromStG sec.3/sec.9b (BGBl. 2025 I Nr. 340: 0.50 permanent from 2026); gesetze-im-internet.de</t>
        </is>
      </c>
      <c r="K1060" s="77" t="inlineStr">
        <is>
          <t>stage4_de r34-35</t>
        </is>
      </c>
      <c r="L1060" s="77" t="inlineStr">
        <is>
          <t>2026-07-15</t>
        </is>
      </c>
      <c r="M1060" s="77" t="inlineStr">
        <is>
          <t>N</t>
        </is>
      </c>
      <c r="N1060" s="77">
        <f>IF(ISNUMBER(stage4_de!J35),stage4_de!J35,"")</f>
        <v/>
      </c>
      <c r="O1060" s="77" t="inlineStr">
        <is>
          <t>EUR/MWh nominal</t>
        </is>
      </c>
    </row>
    <row r="1061" ht="15" customHeight="1" s="78">
      <c r="A1061" s="77" t="inlineStr">
        <is>
          <t>DE</t>
        </is>
      </c>
      <c r="B1061" s="77" t="n">
        <v>2016</v>
      </c>
      <c r="C1061" s="77" t="inlineStr">
        <is>
          <t>medium</t>
        </is>
      </c>
      <c r="D1061" s="77" t="inlineStr">
        <is>
          <t>E2</t>
        </is>
      </c>
      <c r="E1061" s="77" t="inlineStr">
        <is>
          <t>Konzessionsabgabe (0 via Grenzpreis)</t>
        </is>
      </c>
      <c r="F1061" s="77" t="inlineStr">
        <is>
          <t>5 General taxation &amp; levies</t>
        </is>
      </c>
      <c r="G1061" s="77" t="inlineStr">
        <is>
          <t>concession fee</t>
        </is>
      </c>
      <c r="H1061" s="77" t="inlineStr">
        <is>
          <t>i</t>
        </is>
      </c>
      <c r="I1061" s="77">
        <f>IF(ISNUMBER(N1061),N1061*fx_deflator!$J$11*fx_deflator!$M$11,"")</f>
        <v/>
      </c>
      <c r="J1061" s="77" t="inlineStr">
        <is>
          <t>KAV sec.2(3)/(4) Grenzpreis rule -&gt; 0 for Sondervertragskunden</t>
        </is>
      </c>
      <c r="K1061" s="77" t="inlineStr">
        <is>
          <t>stage4_de r36</t>
        </is>
      </c>
      <c r="L1061" s="77" t="inlineStr">
        <is>
          <t>2026-07-15</t>
        </is>
      </c>
      <c r="M1061" s="77" t="inlineStr">
        <is>
          <t>N</t>
        </is>
      </c>
      <c r="N1061" s="77">
        <f>IF(ISNUMBER(stage4_de!J36),stage4_de!J36*10,"")</f>
        <v/>
      </c>
      <c r="O1061" s="77" t="inlineStr">
        <is>
          <t>EUR/MWh nominal</t>
        </is>
      </c>
    </row>
    <row r="1062" ht="15" customHeight="1" s="78">
      <c r="A1062" s="77" t="inlineStr">
        <is>
          <t>DE</t>
        </is>
      </c>
      <c r="B1062" s="77" t="n">
        <v>2017</v>
      </c>
      <c r="C1062" s="77" t="inlineStr">
        <is>
          <t>medium</t>
        </is>
      </c>
      <c r="D1062" s="77" t="inlineStr">
        <is>
          <t>E2</t>
        </is>
      </c>
      <c r="E1062" s="77" t="inlineStr">
        <is>
          <t>Wholesale (as large)</t>
        </is>
      </c>
      <c r="F1062" s="77" t="inlineStr">
        <is>
          <t>1 Commodity</t>
        </is>
      </c>
      <c r="G1062" s="77" t="inlineStr">
        <is>
          <t>wholesale market</t>
        </is>
      </c>
      <c r="H1062" s="77" t="inlineStr">
        <is>
          <t>i</t>
        </is>
      </c>
      <c r="I1062" s="77">
        <f>IF(ISNUMBER(N1062),N1062*fx_deflator!$J$12*fx_deflator!$M$12,"")</f>
        <v/>
      </c>
      <c r="J1062" s="77" t="inlineStr">
        <is>
          <t>BNetzA Monitoringberichte — Phelix base front-year by trading yr -&gt; delivery yr; 2026 = D29</t>
        </is>
      </c>
      <c r="K1062" s="77" t="inlineStr">
        <is>
          <t>stage4_de r7</t>
        </is>
      </c>
      <c r="L1062" s="77" t="inlineStr">
        <is>
          <t>2026-07-15</t>
        </is>
      </c>
      <c r="M1062" s="77" t="inlineStr">
        <is>
          <t>Y</t>
        </is>
      </c>
      <c r="N1062" s="136">
        <f>IF(ISNUMBER(timeseries!K57),timeseries!K57,"")</f>
        <v/>
      </c>
      <c r="O1062" s="77" t="inlineStr">
        <is>
          <t>EUR/MWh nominal</t>
        </is>
      </c>
    </row>
    <row r="1063" ht="15" customHeight="1" s="78">
      <c r="A1063" s="77" t="inlineStr">
        <is>
          <t>DE</t>
        </is>
      </c>
      <c r="B1063" s="77" t="n">
        <v>2017</v>
      </c>
      <c r="C1063" s="77" t="inlineStr">
        <is>
          <t>medium</t>
        </is>
      </c>
      <c r="D1063" s="77" t="inlineStr">
        <is>
          <t>E2</t>
        </is>
      </c>
      <c r="E1063" s="77" t="inlineStr">
        <is>
          <t>Netzentgelte MS (Westnetz; MB bridge 2010-12)</t>
        </is>
      </c>
      <c r="F1063" s="77" t="inlineStr">
        <is>
          <t>3 Network</t>
        </is>
      </c>
      <c r="G1063" s="77" t="inlineStr">
        <is>
          <t>distribution network charge</t>
        </is>
      </c>
      <c r="H1063" s="77" t="inlineStr">
        <is>
          <t>i</t>
        </is>
      </c>
      <c r="I1063" s="77">
        <f>IF(ISNUMBER(N1063),N1063*fx_deflator!$J$12*fx_deflator!$M$12,"")</f>
        <v/>
      </c>
      <c r="J1063" s="77" t="inlineStr">
        <is>
          <t>Westnetz Preisblaetter (2013+, Wayback); BNetzA MB national avg bridge 2010-12 (D20)</t>
        </is>
      </c>
      <c r="K1063" s="77" t="inlineStr">
        <is>
          <t>stage4_de r15-17</t>
        </is>
      </c>
      <c r="L1063" s="77" t="inlineStr">
        <is>
          <t>2026-07-15</t>
        </is>
      </c>
      <c r="M1063" s="77" t="inlineStr">
        <is>
          <t>Y</t>
        </is>
      </c>
      <c r="N1063" s="136">
        <f>IF(ISNUMBER(timeseries!K58),timeseries!K58,"")</f>
        <v/>
      </c>
      <c r="O1063" s="77" t="inlineStr">
        <is>
          <t>EUR/MWh nominal</t>
        </is>
      </c>
      <c r="P1063" s="77" t="inlineStr">
        <is>
          <t>no sec.19 relief at 5,000h (fails Satz 2) — E1=E2</t>
        </is>
      </c>
    </row>
    <row r="1064" ht="15" customHeight="1" s="78">
      <c r="A1064" s="77" t="inlineStr">
        <is>
          <t>DE</t>
        </is>
      </c>
      <c r="B1064" s="77" t="n">
        <v>2017</v>
      </c>
      <c r="C1064" s="77" t="inlineStr">
        <is>
          <t>medium</t>
        </is>
      </c>
      <c r="D1064" s="77" t="inlineStr">
        <is>
          <t>E2</t>
        </is>
      </c>
      <c r="E1064" s="77" t="inlineStr">
        <is>
          <t>EEG-Umlage after BesAR (2012-13 sliding ~10 pct; 2014+ 1 GWh full + 15 pct above)</t>
        </is>
      </c>
      <c r="F1064" s="77" t="inlineStr">
        <is>
          <t>2 Gen capital recovery</t>
        </is>
      </c>
      <c r="G1064" s="77" t="inlineStr">
        <is>
          <t>renewables levy (Umlage)</t>
        </is>
      </c>
      <c r="H1064" s="77" t="inlineStr">
        <is>
          <t>i (relief = ii via Umlage on others)</t>
        </is>
      </c>
      <c r="I1064" s="77">
        <f>IF(ISNUMBER(N1064),N1064*fx_deflator!$J$12*fx_deflator!$M$12,"")</f>
        <v/>
      </c>
      <c r="J1064" s="77" t="inlineStr">
        <is>
          <t>EEG 2012 sec.41 / EEG 2014+ sec.64 (BesAR); D24/D25 conventions</t>
        </is>
      </c>
      <c r="K1064" s="77" t="inlineStr">
        <is>
          <t>stage4_de r21 + timeseries r45/62</t>
        </is>
      </c>
      <c r="L1064" s="77" t="inlineStr">
        <is>
          <t>2026-07-15</t>
        </is>
      </c>
      <c r="M1064" s="77" t="inlineStr">
        <is>
          <t>Y</t>
        </is>
      </c>
      <c r="N1064" s="136">
        <f>IF(ISNUMBER(timeseries!K62),timeseries!K62,"")</f>
        <v/>
      </c>
      <c r="O1064" s="77" t="inlineStr">
        <is>
          <t>EUR/MWh nominal</t>
        </is>
      </c>
    </row>
    <row r="1065" ht="15" customHeight="1" s="78">
      <c r="A1065" s="77" t="inlineStr">
        <is>
          <t>DE</t>
        </is>
      </c>
      <c r="B1065" s="77" t="n">
        <v>2017</v>
      </c>
      <c r="C1065" s="77" t="inlineStr">
        <is>
          <t>medium</t>
        </is>
      </c>
      <c r="D1065" s="77" t="inlineStr">
        <is>
          <t>E2</t>
        </is>
      </c>
      <c r="E1065" s="77" t="inlineStr">
        <is>
          <t>KWKG-Umlage (tranche blend at 20 GWh)</t>
        </is>
      </c>
      <c r="F1065" s="77" t="inlineStr">
        <is>
          <t>2 Gen capital recovery</t>
        </is>
      </c>
      <c r="G1065" s="77" t="inlineStr">
        <is>
          <t>CHP levy (Umlage)</t>
        </is>
      </c>
      <c r="H1065" s="77" t="inlineStr">
        <is>
          <t>i</t>
        </is>
      </c>
      <c r="I1065" s="77">
        <f>IF(ISNUMBER(N1065),N1065*fx_deflator!$J$12*fx_deflator!$M$12,"")</f>
        <v/>
      </c>
      <c r="J1065" s="77" t="inlineStr">
        <is>
          <t>netztransparenz Uebersicht KWKG-Aufschlaege 2002-2016 + per-year pages; tranche blends</t>
        </is>
      </c>
      <c r="K1065" s="77" t="inlineStr">
        <is>
          <t>stage4_de r22-24</t>
        </is>
      </c>
      <c r="L1065" s="77" t="inlineStr">
        <is>
          <t>2026-07-15</t>
        </is>
      </c>
      <c r="M1065" s="77" t="inlineStr">
        <is>
          <t>Y</t>
        </is>
      </c>
      <c r="N1065" s="77">
        <f>stage4_de!K22*10</f>
        <v/>
      </c>
      <c r="O1065" s="77" t="inlineStr">
        <is>
          <t>EUR/MWh nominal</t>
        </is>
      </c>
    </row>
    <row r="1066" ht="15" customHeight="1" s="78">
      <c r="A1066" s="77" t="inlineStr">
        <is>
          <t>DE</t>
        </is>
      </c>
      <c r="B1066" s="77" t="n">
        <v>2017</v>
      </c>
      <c r="C1066" s="77" t="inlineStr">
        <is>
          <t>medium</t>
        </is>
      </c>
      <c r="D1066" s="77" t="inlineStr">
        <is>
          <t>E2</t>
        </is>
      </c>
      <c r="E1066" s="77" t="inlineStr">
        <is>
          <t>sec.19 StromNEV-Umlage (blend at 20 GWh)</t>
        </is>
      </c>
      <c r="F1066" s="77" t="inlineStr">
        <is>
          <t>4 System services &amp; balancing</t>
        </is>
      </c>
      <c r="G1066" s="77" t="inlineStr">
        <is>
          <t>network levy (Umlage)</t>
        </is>
      </c>
      <c r="H1066" s="77" t="inlineStr">
        <is>
          <t>ii (pays for other users relief)</t>
        </is>
      </c>
      <c r="I1066" s="77">
        <f>IF(ISNUMBER(N1066),N1066*fx_deflator!$J$12*fx_deflator!$M$12,"")</f>
        <v/>
      </c>
      <c r="J1066" s="77" t="inlineStr">
        <is>
          <t>netztransparenz per-year Umlagen pages (A-prime/B-prime/C-prime)</t>
        </is>
      </c>
      <c r="K1066" s="77" t="inlineStr">
        <is>
          <t>stage4_de r25-27</t>
        </is>
      </c>
      <c r="L1066" s="77" t="inlineStr">
        <is>
          <t>2026-07-15</t>
        </is>
      </c>
      <c r="M1066" s="77" t="inlineStr">
        <is>
          <t>Y</t>
        </is>
      </c>
      <c r="N1066" s="77">
        <f>(1*stage4_de!K25+19*stage4_de!K27)/20*10</f>
        <v/>
      </c>
      <c r="O1066" s="77" t="inlineStr">
        <is>
          <t>EUR/MWh nominal</t>
        </is>
      </c>
    </row>
    <row r="1067" ht="15" customHeight="1" s="78">
      <c r="A1067" s="77" t="inlineStr">
        <is>
          <t>DE</t>
        </is>
      </c>
      <c r="B1067" s="77" t="n">
        <v>2017</v>
      </c>
      <c r="C1067" s="77" t="inlineStr">
        <is>
          <t>medium</t>
        </is>
      </c>
      <c r="D1067" s="77" t="inlineStr">
        <is>
          <t>E2</t>
        </is>
      </c>
      <c r="E1067" s="77" t="inlineStr">
        <is>
          <t>Offshore-Netzumlage (blend at 20 GWh to 2018)</t>
        </is>
      </c>
      <c r="F1067" s="77" t="inlineStr">
        <is>
          <t>2 Gen capital recovery</t>
        </is>
      </c>
      <c r="G1067" s="77" t="inlineStr">
        <is>
          <t>offshore grid levy (Umlage)</t>
        </is>
      </c>
      <c r="H1067" s="77" t="inlineStr">
        <is>
          <t>i</t>
        </is>
      </c>
      <c r="I1067" s="77">
        <f>IF(ISNUMBER(N1067),N1067*fx_deflator!$J$12*fx_deflator!$M$12,"")</f>
        <v/>
      </c>
      <c r="J1067" s="77" t="inlineStr">
        <is>
          <t>netztransparenz Offshore-Umlage per-year pages</t>
        </is>
      </c>
      <c r="K1067" s="77" t="inlineStr">
        <is>
          <t>stage4_de r28-30</t>
        </is>
      </c>
      <c r="L1067" s="77" t="inlineStr">
        <is>
          <t>2026-07-15</t>
        </is>
      </c>
      <c r="M1067" s="77" t="inlineStr">
        <is>
          <t>Y</t>
        </is>
      </c>
      <c r="N1067" s="77">
        <f>(1*stage4_de!K28+19*stage4_de!K30)/20*10</f>
        <v/>
      </c>
      <c r="O1067" s="77" t="inlineStr">
        <is>
          <t>EUR/MWh nominal</t>
        </is>
      </c>
    </row>
    <row r="1068" ht="15" customHeight="1" s="78">
      <c r="A1068" s="77" t="inlineStr">
        <is>
          <t>DE</t>
        </is>
      </c>
      <c r="B1068" s="77" t="n">
        <v>2017</v>
      </c>
      <c r="C1068" s="77" t="inlineStr">
        <is>
          <t>medium</t>
        </is>
      </c>
      <c r="D1068" s="77" t="inlineStr">
        <is>
          <t>E2</t>
        </is>
      </c>
      <c r="E1068" s="77" t="inlineStr">
        <is>
          <t>AbLaV-Umlage</t>
        </is>
      </c>
      <c r="F1068" s="77" t="inlineStr">
        <is>
          <t>4 System services &amp; balancing</t>
        </is>
      </c>
      <c r="G1068" s="77" t="inlineStr">
        <is>
          <t>interruptible-load levy (Umlage)</t>
        </is>
      </c>
      <c r="H1068" s="77" t="inlineStr">
        <is>
          <t>i</t>
        </is>
      </c>
      <c r="I1068" s="77">
        <f>IF(ISNUMBER(N1068),N1068*fx_deflator!$J$12*fx_deflator!$M$12,"")</f>
        <v/>
      </c>
      <c r="J1068" s="77" t="inlineStr">
        <is>
          <t>netztransparenz AbLaV-Umlage per-year pages (ends 2022)</t>
        </is>
      </c>
      <c r="K1068" s="77" t="inlineStr">
        <is>
          <t>stage4_de r31</t>
        </is>
      </c>
      <c r="L1068" s="77" t="inlineStr">
        <is>
          <t>2026-07-15</t>
        </is>
      </c>
      <c r="M1068" s="77" t="inlineStr">
        <is>
          <t>N</t>
        </is>
      </c>
      <c r="N1068" s="77">
        <f>IF(ISNUMBER(stage4_de!K31),stage4_de!K31*10,"")</f>
        <v/>
      </c>
      <c r="O1068" s="77" t="inlineStr">
        <is>
          <t>EUR/MWh nominal</t>
        </is>
      </c>
    </row>
    <row r="1069" ht="15" customHeight="1" s="78">
      <c r="A1069" s="77" t="inlineStr">
        <is>
          <t>DE</t>
        </is>
      </c>
      <c r="B1069" s="77" t="n">
        <v>2017</v>
      </c>
      <c r="C1069" s="77" t="inlineStr">
        <is>
          <t>medium</t>
        </is>
      </c>
      <c r="D1069" s="77" t="inlineStr">
        <is>
          <t>E2</t>
        </is>
      </c>
      <c r="E1069" s="77" t="inlineStr">
        <is>
          <t>Stromsteuer relieved (sec.9b)</t>
        </is>
      </c>
      <c r="F1069" s="77" t="inlineStr">
        <is>
          <t>5 General taxation &amp; levies</t>
        </is>
      </c>
      <c r="G1069" s="77" t="inlineStr">
        <is>
          <t>electricity tax</t>
        </is>
      </c>
      <c r="H1069" s="77" t="inlineStr">
        <is>
          <t>i (relief = foregone tax, iii)</t>
        </is>
      </c>
      <c r="I1069" s="77">
        <f>IF(ISNUMBER(N1069),N1069*fx_deflator!$J$12*fx_deflator!$M$12,"")</f>
        <v/>
      </c>
      <c r="J1069" s="77" t="inlineStr">
        <is>
          <t>StromStG sec.3/sec.9b (BGBl. 2025 I Nr. 340: 0.50 permanent from 2026); gesetze-im-internet.de</t>
        </is>
      </c>
      <c r="K1069" s="77" t="inlineStr">
        <is>
          <t>stage4_de r34-35</t>
        </is>
      </c>
      <c r="L1069" s="77" t="inlineStr">
        <is>
          <t>2026-07-15</t>
        </is>
      </c>
      <c r="M1069" s="77" t="inlineStr">
        <is>
          <t>N</t>
        </is>
      </c>
      <c r="N1069" s="77">
        <f>IF(ISNUMBER(stage4_de!K35),stage4_de!K35,"")</f>
        <v/>
      </c>
      <c r="O1069" s="77" t="inlineStr">
        <is>
          <t>EUR/MWh nominal</t>
        </is>
      </c>
    </row>
    <row r="1070" ht="15" customHeight="1" s="78">
      <c r="A1070" s="77" t="inlineStr">
        <is>
          <t>DE</t>
        </is>
      </c>
      <c r="B1070" s="77" t="n">
        <v>2017</v>
      </c>
      <c r="C1070" s="77" t="inlineStr">
        <is>
          <t>medium</t>
        </is>
      </c>
      <c r="D1070" s="77" t="inlineStr">
        <is>
          <t>E2</t>
        </is>
      </c>
      <c r="E1070" s="77" t="inlineStr">
        <is>
          <t>Konzessionsabgabe (0 via Grenzpreis)</t>
        </is>
      </c>
      <c r="F1070" s="77" t="inlineStr">
        <is>
          <t>5 General taxation &amp; levies</t>
        </is>
      </c>
      <c r="G1070" s="77" t="inlineStr">
        <is>
          <t>concession fee</t>
        </is>
      </c>
      <c r="H1070" s="77" t="inlineStr">
        <is>
          <t>i</t>
        </is>
      </c>
      <c r="I1070" s="77">
        <f>IF(ISNUMBER(N1070),N1070*fx_deflator!$J$12*fx_deflator!$M$12,"")</f>
        <v/>
      </c>
      <c r="J1070" s="77" t="inlineStr">
        <is>
          <t>KAV sec.2(3)/(4) Grenzpreis rule -&gt; 0 for Sondervertragskunden</t>
        </is>
      </c>
      <c r="K1070" s="77" t="inlineStr">
        <is>
          <t>stage4_de r36</t>
        </is>
      </c>
      <c r="L1070" s="77" t="inlineStr">
        <is>
          <t>2026-07-15</t>
        </is>
      </c>
      <c r="M1070" s="77" t="inlineStr">
        <is>
          <t>N</t>
        </is>
      </c>
      <c r="N1070" s="77">
        <f>IF(ISNUMBER(stage4_de!K36),stage4_de!K36*10,"")</f>
        <v/>
      </c>
      <c r="O1070" s="77" t="inlineStr">
        <is>
          <t>EUR/MWh nominal</t>
        </is>
      </c>
    </row>
    <row r="1071" ht="15" customHeight="1" s="78">
      <c r="A1071" s="77" t="inlineStr">
        <is>
          <t>DE</t>
        </is>
      </c>
      <c r="B1071" s="77" t="n">
        <v>2018</v>
      </c>
      <c r="C1071" s="77" t="inlineStr">
        <is>
          <t>medium</t>
        </is>
      </c>
      <c r="D1071" s="77" t="inlineStr">
        <is>
          <t>E2</t>
        </is>
      </c>
      <c r="E1071" s="77" t="inlineStr">
        <is>
          <t>Wholesale (as large)</t>
        </is>
      </c>
      <c r="F1071" s="77" t="inlineStr">
        <is>
          <t>1 Commodity</t>
        </is>
      </c>
      <c r="G1071" s="77" t="inlineStr">
        <is>
          <t>wholesale market</t>
        </is>
      </c>
      <c r="H1071" s="77" t="inlineStr">
        <is>
          <t>i</t>
        </is>
      </c>
      <c r="I1071" s="77">
        <f>IF(ISNUMBER(N1071),N1071*fx_deflator!$J$13*fx_deflator!$M$13,"")</f>
        <v/>
      </c>
      <c r="J1071" s="77" t="inlineStr">
        <is>
          <t>BNetzA Monitoringberichte — Phelix base front-year by trading yr -&gt; delivery yr; 2026 = D29</t>
        </is>
      </c>
      <c r="K1071" s="77" t="inlineStr">
        <is>
          <t>stage4_de r7</t>
        </is>
      </c>
      <c r="L1071" s="77" t="inlineStr">
        <is>
          <t>2026-07-15</t>
        </is>
      </c>
      <c r="M1071" s="77" t="inlineStr">
        <is>
          <t>Y</t>
        </is>
      </c>
      <c r="N1071" s="136">
        <f>IF(ISNUMBER(timeseries!L57),timeseries!L57,"")</f>
        <v/>
      </c>
      <c r="O1071" s="77" t="inlineStr">
        <is>
          <t>EUR/MWh nominal</t>
        </is>
      </c>
    </row>
    <row r="1072" ht="15" customHeight="1" s="78">
      <c r="A1072" s="77" t="inlineStr">
        <is>
          <t>DE</t>
        </is>
      </c>
      <c r="B1072" s="77" t="n">
        <v>2018</v>
      </c>
      <c r="C1072" s="77" t="inlineStr">
        <is>
          <t>medium</t>
        </is>
      </c>
      <c r="D1072" s="77" t="inlineStr">
        <is>
          <t>E2</t>
        </is>
      </c>
      <c r="E1072" s="77" t="inlineStr">
        <is>
          <t>Netzentgelte MS (Westnetz; MB bridge 2010-12)</t>
        </is>
      </c>
      <c r="F1072" s="77" t="inlineStr">
        <is>
          <t>3 Network</t>
        </is>
      </c>
      <c r="G1072" s="77" t="inlineStr">
        <is>
          <t>distribution network charge</t>
        </is>
      </c>
      <c r="H1072" s="77" t="inlineStr">
        <is>
          <t>i</t>
        </is>
      </c>
      <c r="I1072" s="77">
        <f>IF(ISNUMBER(N1072),N1072*fx_deflator!$J$13*fx_deflator!$M$13,"")</f>
        <v/>
      </c>
      <c r="J1072" s="77" t="inlineStr">
        <is>
          <t>Westnetz Preisblaetter (2013+, Wayback); BNetzA MB national avg bridge 2010-12 (D20)</t>
        </is>
      </c>
      <c r="K1072" s="77" t="inlineStr">
        <is>
          <t>stage4_de r15-17</t>
        </is>
      </c>
      <c r="L1072" s="77" t="inlineStr">
        <is>
          <t>2026-07-15</t>
        </is>
      </c>
      <c r="M1072" s="77" t="inlineStr">
        <is>
          <t>Y</t>
        </is>
      </c>
      <c r="N1072" s="136">
        <f>IF(ISNUMBER(timeseries!L58),timeseries!L58,"")</f>
        <v/>
      </c>
      <c r="O1072" s="77" t="inlineStr">
        <is>
          <t>EUR/MWh nominal</t>
        </is>
      </c>
      <c r="P1072" s="77" t="inlineStr">
        <is>
          <t>no sec.19 relief at 5,000h (fails Satz 2) — E1=E2</t>
        </is>
      </c>
    </row>
    <row r="1073" ht="15" customHeight="1" s="78">
      <c r="A1073" s="77" t="inlineStr">
        <is>
          <t>DE</t>
        </is>
      </c>
      <c r="B1073" s="77" t="n">
        <v>2018</v>
      </c>
      <c r="C1073" s="77" t="inlineStr">
        <is>
          <t>medium</t>
        </is>
      </c>
      <c r="D1073" s="77" t="inlineStr">
        <is>
          <t>E2</t>
        </is>
      </c>
      <c r="E1073" s="77" t="inlineStr">
        <is>
          <t>EEG-Umlage after BesAR (2012-13 sliding ~10 pct; 2014+ 1 GWh full + 15 pct above)</t>
        </is>
      </c>
      <c r="F1073" s="77" t="inlineStr">
        <is>
          <t>2 Gen capital recovery</t>
        </is>
      </c>
      <c r="G1073" s="77" t="inlineStr">
        <is>
          <t>renewables levy (Umlage)</t>
        </is>
      </c>
      <c r="H1073" s="77" t="inlineStr">
        <is>
          <t>i (relief = ii via Umlage on others)</t>
        </is>
      </c>
      <c r="I1073" s="77">
        <f>IF(ISNUMBER(N1073),N1073*fx_deflator!$J$13*fx_deflator!$M$13,"")</f>
        <v/>
      </c>
      <c r="J1073" s="77" t="inlineStr">
        <is>
          <t>EEG 2012 sec.41 / EEG 2014+ sec.64 (BesAR); D24/D25 conventions</t>
        </is>
      </c>
      <c r="K1073" s="77" t="inlineStr">
        <is>
          <t>stage4_de r21 + timeseries r45/62</t>
        </is>
      </c>
      <c r="L1073" s="77" t="inlineStr">
        <is>
          <t>2026-07-15</t>
        </is>
      </c>
      <c r="M1073" s="77" t="inlineStr">
        <is>
          <t>Y</t>
        </is>
      </c>
      <c r="N1073" s="136">
        <f>IF(ISNUMBER(timeseries!L62),timeseries!L62,"")</f>
        <v/>
      </c>
      <c r="O1073" s="77" t="inlineStr">
        <is>
          <t>EUR/MWh nominal</t>
        </is>
      </c>
    </row>
    <row r="1074" ht="15" customHeight="1" s="78">
      <c r="A1074" s="77" t="inlineStr">
        <is>
          <t>DE</t>
        </is>
      </c>
      <c r="B1074" s="77" t="n">
        <v>2018</v>
      </c>
      <c r="C1074" s="77" t="inlineStr">
        <is>
          <t>medium</t>
        </is>
      </c>
      <c r="D1074" s="77" t="inlineStr">
        <is>
          <t>E2</t>
        </is>
      </c>
      <c r="E1074" s="77" t="inlineStr">
        <is>
          <t>KWKG-Umlage (tranche blend at 20 GWh)</t>
        </is>
      </c>
      <c r="F1074" s="77" t="inlineStr">
        <is>
          <t>2 Gen capital recovery</t>
        </is>
      </c>
      <c r="G1074" s="77" t="inlineStr">
        <is>
          <t>CHP levy (Umlage)</t>
        </is>
      </c>
      <c r="H1074" s="77" t="inlineStr">
        <is>
          <t>i</t>
        </is>
      </c>
      <c r="I1074" s="77">
        <f>IF(ISNUMBER(N1074),N1074*fx_deflator!$J$13*fx_deflator!$M$13,"")</f>
        <v/>
      </c>
      <c r="J1074" s="77" t="inlineStr">
        <is>
          <t>netztransparenz Uebersicht KWKG-Aufschlaege 2002-2016 + per-year pages; tranche blends</t>
        </is>
      </c>
      <c r="K1074" s="77" t="inlineStr">
        <is>
          <t>stage4_de r22-24</t>
        </is>
      </c>
      <c r="L1074" s="77" t="inlineStr">
        <is>
          <t>2026-07-15</t>
        </is>
      </c>
      <c r="M1074" s="77" t="inlineStr">
        <is>
          <t>Y</t>
        </is>
      </c>
      <c r="N1074" s="77">
        <f>stage4_de!L22*10</f>
        <v/>
      </c>
      <c r="O1074" s="77" t="inlineStr">
        <is>
          <t>EUR/MWh nominal</t>
        </is>
      </c>
    </row>
    <row r="1075" ht="15" customHeight="1" s="78">
      <c r="A1075" s="77" t="inlineStr">
        <is>
          <t>DE</t>
        </is>
      </c>
      <c r="B1075" s="77" t="n">
        <v>2018</v>
      </c>
      <c r="C1075" s="77" t="inlineStr">
        <is>
          <t>medium</t>
        </is>
      </c>
      <c r="D1075" s="77" t="inlineStr">
        <is>
          <t>E2</t>
        </is>
      </c>
      <c r="E1075" s="77" t="inlineStr">
        <is>
          <t>sec.19 StromNEV-Umlage (blend at 20 GWh)</t>
        </is>
      </c>
      <c r="F1075" s="77" t="inlineStr">
        <is>
          <t>4 System services &amp; balancing</t>
        </is>
      </c>
      <c r="G1075" s="77" t="inlineStr">
        <is>
          <t>network levy (Umlage)</t>
        </is>
      </c>
      <c r="H1075" s="77" t="inlineStr">
        <is>
          <t>ii (pays for other users relief)</t>
        </is>
      </c>
      <c r="I1075" s="77">
        <f>IF(ISNUMBER(N1075),N1075*fx_deflator!$J$13*fx_deflator!$M$13,"")</f>
        <v/>
      </c>
      <c r="J1075" s="77" t="inlineStr">
        <is>
          <t>netztransparenz per-year Umlagen pages (A-prime/B-prime/C-prime)</t>
        </is>
      </c>
      <c r="K1075" s="77" t="inlineStr">
        <is>
          <t>stage4_de r25-27</t>
        </is>
      </c>
      <c r="L1075" s="77" t="inlineStr">
        <is>
          <t>2026-07-15</t>
        </is>
      </c>
      <c r="M1075" s="77" t="inlineStr">
        <is>
          <t>Y</t>
        </is>
      </c>
      <c r="N1075" s="77">
        <f>(1*stage4_de!L25+19*stage4_de!L27)/20*10</f>
        <v/>
      </c>
      <c r="O1075" s="77" t="inlineStr">
        <is>
          <t>EUR/MWh nominal</t>
        </is>
      </c>
    </row>
    <row r="1076" ht="15" customHeight="1" s="78">
      <c r="A1076" s="77" t="inlineStr">
        <is>
          <t>DE</t>
        </is>
      </c>
      <c r="B1076" s="77" t="n">
        <v>2018</v>
      </c>
      <c r="C1076" s="77" t="inlineStr">
        <is>
          <t>medium</t>
        </is>
      </c>
      <c r="D1076" s="77" t="inlineStr">
        <is>
          <t>E2</t>
        </is>
      </c>
      <c r="E1076" s="77" t="inlineStr">
        <is>
          <t>Offshore-Netzumlage (blend at 20 GWh to 2018)</t>
        </is>
      </c>
      <c r="F1076" s="77" t="inlineStr">
        <is>
          <t>2 Gen capital recovery</t>
        </is>
      </c>
      <c r="G1076" s="77" t="inlineStr">
        <is>
          <t>offshore grid levy (Umlage)</t>
        </is>
      </c>
      <c r="H1076" s="77" t="inlineStr">
        <is>
          <t>i</t>
        </is>
      </c>
      <c r="I1076" s="77">
        <f>IF(ISNUMBER(N1076),N1076*fx_deflator!$J$13*fx_deflator!$M$13,"")</f>
        <v/>
      </c>
      <c r="J1076" s="77" t="inlineStr">
        <is>
          <t>netztransparenz Offshore-Umlage per-year pages</t>
        </is>
      </c>
      <c r="K1076" s="77" t="inlineStr">
        <is>
          <t>stage4_de r28-30</t>
        </is>
      </c>
      <c r="L1076" s="77" t="inlineStr">
        <is>
          <t>2026-07-15</t>
        </is>
      </c>
      <c r="M1076" s="77" t="inlineStr">
        <is>
          <t>Y</t>
        </is>
      </c>
      <c r="N1076" s="77">
        <f>(1*stage4_de!L28+19*stage4_de!L30)/20*10</f>
        <v/>
      </c>
      <c r="O1076" s="77" t="inlineStr">
        <is>
          <t>EUR/MWh nominal</t>
        </is>
      </c>
    </row>
    <row r="1077" ht="15" customHeight="1" s="78">
      <c r="A1077" s="77" t="inlineStr">
        <is>
          <t>DE</t>
        </is>
      </c>
      <c r="B1077" s="77" t="n">
        <v>2018</v>
      </c>
      <c r="C1077" s="77" t="inlineStr">
        <is>
          <t>medium</t>
        </is>
      </c>
      <c r="D1077" s="77" t="inlineStr">
        <is>
          <t>E2</t>
        </is>
      </c>
      <c r="E1077" s="77" t="inlineStr">
        <is>
          <t>AbLaV-Umlage</t>
        </is>
      </c>
      <c r="F1077" s="77" t="inlineStr">
        <is>
          <t>4 System services &amp; balancing</t>
        </is>
      </c>
      <c r="G1077" s="77" t="inlineStr">
        <is>
          <t>interruptible-load levy (Umlage)</t>
        </is>
      </c>
      <c r="H1077" s="77" t="inlineStr">
        <is>
          <t>i</t>
        </is>
      </c>
      <c r="I1077" s="77">
        <f>IF(ISNUMBER(N1077),N1077*fx_deflator!$J$13*fx_deflator!$M$13,"")</f>
        <v/>
      </c>
      <c r="J1077" s="77" t="inlineStr">
        <is>
          <t>netztransparenz AbLaV-Umlage per-year pages (ends 2022)</t>
        </is>
      </c>
      <c r="K1077" s="77" t="inlineStr">
        <is>
          <t>stage4_de r31</t>
        </is>
      </c>
      <c r="L1077" s="77" t="inlineStr">
        <is>
          <t>2026-07-15</t>
        </is>
      </c>
      <c r="M1077" s="77" t="inlineStr">
        <is>
          <t>N</t>
        </is>
      </c>
      <c r="N1077" s="77">
        <f>IF(ISNUMBER(stage4_de!L31),stage4_de!L31*10,"")</f>
        <v/>
      </c>
      <c r="O1077" s="77" t="inlineStr">
        <is>
          <t>EUR/MWh nominal</t>
        </is>
      </c>
    </row>
    <row r="1078" ht="15" customHeight="1" s="78">
      <c r="A1078" s="77" t="inlineStr">
        <is>
          <t>DE</t>
        </is>
      </c>
      <c r="B1078" s="77" t="n">
        <v>2018</v>
      </c>
      <c r="C1078" s="77" t="inlineStr">
        <is>
          <t>medium</t>
        </is>
      </c>
      <c r="D1078" s="77" t="inlineStr">
        <is>
          <t>E2</t>
        </is>
      </c>
      <c r="E1078" s="77" t="inlineStr">
        <is>
          <t>Stromsteuer relieved (sec.9b)</t>
        </is>
      </c>
      <c r="F1078" s="77" t="inlineStr">
        <is>
          <t>5 General taxation &amp; levies</t>
        </is>
      </c>
      <c r="G1078" s="77" t="inlineStr">
        <is>
          <t>electricity tax</t>
        </is>
      </c>
      <c r="H1078" s="77" t="inlineStr">
        <is>
          <t>i (relief = foregone tax, iii)</t>
        </is>
      </c>
      <c r="I1078" s="77">
        <f>IF(ISNUMBER(N1078),N1078*fx_deflator!$J$13*fx_deflator!$M$13,"")</f>
        <v/>
      </c>
      <c r="J1078" s="77" t="inlineStr">
        <is>
          <t>StromStG sec.3/sec.9b (BGBl. 2025 I Nr. 340: 0.50 permanent from 2026); gesetze-im-internet.de</t>
        </is>
      </c>
      <c r="K1078" s="77" t="inlineStr">
        <is>
          <t>stage4_de r34-35</t>
        </is>
      </c>
      <c r="L1078" s="77" t="inlineStr">
        <is>
          <t>2026-07-15</t>
        </is>
      </c>
      <c r="M1078" s="77" t="inlineStr">
        <is>
          <t>N</t>
        </is>
      </c>
      <c r="N1078" s="77">
        <f>IF(ISNUMBER(stage4_de!L35),stage4_de!L35,"")</f>
        <v/>
      </c>
      <c r="O1078" s="77" t="inlineStr">
        <is>
          <t>EUR/MWh nominal</t>
        </is>
      </c>
    </row>
    <row r="1079" ht="15" customHeight="1" s="78">
      <c r="A1079" s="77" t="inlineStr">
        <is>
          <t>DE</t>
        </is>
      </c>
      <c r="B1079" s="77" t="n">
        <v>2018</v>
      </c>
      <c r="C1079" s="77" t="inlineStr">
        <is>
          <t>medium</t>
        </is>
      </c>
      <c r="D1079" s="77" t="inlineStr">
        <is>
          <t>E2</t>
        </is>
      </c>
      <c r="E1079" s="77" t="inlineStr">
        <is>
          <t>Konzessionsabgabe (0 via Grenzpreis)</t>
        </is>
      </c>
      <c r="F1079" s="77" t="inlineStr">
        <is>
          <t>5 General taxation &amp; levies</t>
        </is>
      </c>
      <c r="G1079" s="77" t="inlineStr">
        <is>
          <t>concession fee</t>
        </is>
      </c>
      <c r="H1079" s="77" t="inlineStr">
        <is>
          <t>i</t>
        </is>
      </c>
      <c r="I1079" s="77">
        <f>IF(ISNUMBER(N1079),N1079*fx_deflator!$J$13*fx_deflator!$M$13,"")</f>
        <v/>
      </c>
      <c r="J1079" s="77" t="inlineStr">
        <is>
          <t>KAV sec.2(3)/(4) Grenzpreis rule -&gt; 0 for Sondervertragskunden</t>
        </is>
      </c>
      <c r="K1079" s="77" t="inlineStr">
        <is>
          <t>stage4_de r36</t>
        </is>
      </c>
      <c r="L1079" s="77" t="inlineStr">
        <is>
          <t>2026-07-15</t>
        </is>
      </c>
      <c r="M1079" s="77" t="inlineStr">
        <is>
          <t>N</t>
        </is>
      </c>
      <c r="N1079" s="77">
        <f>IF(ISNUMBER(stage4_de!L36),stage4_de!L36*10,"")</f>
        <v/>
      </c>
      <c r="O1079" s="77" t="inlineStr">
        <is>
          <t>EUR/MWh nominal</t>
        </is>
      </c>
    </row>
    <row r="1080" ht="15" customHeight="1" s="78">
      <c r="A1080" s="77" t="inlineStr">
        <is>
          <t>DE</t>
        </is>
      </c>
      <c r="B1080" s="77" t="n">
        <v>2019</v>
      </c>
      <c r="C1080" s="77" t="inlineStr">
        <is>
          <t>medium</t>
        </is>
      </c>
      <c r="D1080" s="77" t="inlineStr">
        <is>
          <t>E2</t>
        </is>
      </c>
      <c r="E1080" s="77" t="inlineStr">
        <is>
          <t>Wholesale (as large)</t>
        </is>
      </c>
      <c r="F1080" s="77" t="inlineStr">
        <is>
          <t>1 Commodity</t>
        </is>
      </c>
      <c r="G1080" s="77" t="inlineStr">
        <is>
          <t>wholesale market</t>
        </is>
      </c>
      <c r="H1080" s="77" t="inlineStr">
        <is>
          <t>i</t>
        </is>
      </c>
      <c r="I1080" s="77">
        <f>IF(ISNUMBER(N1080),N1080*fx_deflator!$J$14*fx_deflator!$M$14,"")</f>
        <v/>
      </c>
      <c r="J1080" s="77" t="inlineStr">
        <is>
          <t>BNetzA Monitoringberichte — Phelix base front-year by trading yr -&gt; delivery yr; 2026 = D29</t>
        </is>
      </c>
      <c r="K1080" s="77" t="inlineStr">
        <is>
          <t>stage4_de r7</t>
        </is>
      </c>
      <c r="L1080" s="77" t="inlineStr">
        <is>
          <t>2026-07-15</t>
        </is>
      </c>
      <c r="M1080" s="77" t="inlineStr">
        <is>
          <t>Y</t>
        </is>
      </c>
      <c r="N1080" s="136">
        <f>IF(ISNUMBER(timeseries!M57),timeseries!M57,"")</f>
        <v/>
      </c>
      <c r="O1080" s="77" t="inlineStr">
        <is>
          <t>EUR/MWh nominal</t>
        </is>
      </c>
    </row>
    <row r="1081" ht="15" customHeight="1" s="78">
      <c r="A1081" s="77" t="inlineStr">
        <is>
          <t>DE</t>
        </is>
      </c>
      <c r="B1081" s="77" t="n">
        <v>2019</v>
      </c>
      <c r="C1081" s="77" t="inlineStr">
        <is>
          <t>medium</t>
        </is>
      </c>
      <c r="D1081" s="77" t="inlineStr">
        <is>
          <t>E2</t>
        </is>
      </c>
      <c r="E1081" s="77" t="inlineStr">
        <is>
          <t>Netzentgelte MS (Westnetz; MB bridge 2010-12)</t>
        </is>
      </c>
      <c r="F1081" s="77" t="inlineStr">
        <is>
          <t>3 Network</t>
        </is>
      </c>
      <c r="G1081" s="77" t="inlineStr">
        <is>
          <t>distribution network charge</t>
        </is>
      </c>
      <c r="H1081" s="77" t="inlineStr">
        <is>
          <t>i</t>
        </is>
      </c>
      <c r="I1081" s="77">
        <f>IF(ISNUMBER(N1081),N1081*fx_deflator!$J$14*fx_deflator!$M$14,"")</f>
        <v/>
      </c>
      <c r="J1081" s="77" t="inlineStr">
        <is>
          <t>Westnetz Preisblaetter (2013+, Wayback); BNetzA MB national avg bridge 2010-12 (D20)</t>
        </is>
      </c>
      <c r="K1081" s="77" t="inlineStr">
        <is>
          <t>stage4_de r15-17</t>
        </is>
      </c>
      <c r="L1081" s="77" t="inlineStr">
        <is>
          <t>2026-07-15</t>
        </is>
      </c>
      <c r="M1081" s="77" t="inlineStr">
        <is>
          <t>Y</t>
        </is>
      </c>
      <c r="N1081" s="136">
        <f>IF(ISNUMBER(timeseries!M58),timeseries!M58,"")</f>
        <v/>
      </c>
      <c r="O1081" s="77" t="inlineStr">
        <is>
          <t>EUR/MWh nominal</t>
        </is>
      </c>
      <c r="P1081" s="77" t="inlineStr">
        <is>
          <t>no sec.19 relief at 5,000h (fails Satz 2) — E1=E2</t>
        </is>
      </c>
    </row>
    <row r="1082" ht="15" customHeight="1" s="78">
      <c r="A1082" s="77" t="inlineStr">
        <is>
          <t>DE</t>
        </is>
      </c>
      <c r="B1082" s="77" t="n">
        <v>2019</v>
      </c>
      <c r="C1082" s="77" t="inlineStr">
        <is>
          <t>medium</t>
        </is>
      </c>
      <c r="D1082" s="77" t="inlineStr">
        <is>
          <t>E2</t>
        </is>
      </c>
      <c r="E1082" s="77" t="inlineStr">
        <is>
          <t>EEG-Umlage after BesAR (2012-13 sliding ~10 pct; 2014+ 1 GWh full + 15 pct above)</t>
        </is>
      </c>
      <c r="F1082" s="77" t="inlineStr">
        <is>
          <t>2 Gen capital recovery</t>
        </is>
      </c>
      <c r="G1082" s="77" t="inlineStr">
        <is>
          <t>renewables levy (Umlage)</t>
        </is>
      </c>
      <c r="H1082" s="77" t="inlineStr">
        <is>
          <t>i (relief = ii via Umlage on others)</t>
        </is>
      </c>
      <c r="I1082" s="77">
        <f>IF(ISNUMBER(N1082),N1082*fx_deflator!$J$14*fx_deflator!$M$14,"")</f>
        <v/>
      </c>
      <c r="J1082" s="77" t="inlineStr">
        <is>
          <t>EEG 2012 sec.41 / EEG 2014+ sec.64 (BesAR); D24/D25 conventions</t>
        </is>
      </c>
      <c r="K1082" s="77" t="inlineStr">
        <is>
          <t>stage4_de r21 + timeseries r45/62</t>
        </is>
      </c>
      <c r="L1082" s="77" t="inlineStr">
        <is>
          <t>2026-07-15</t>
        </is>
      </c>
      <c r="M1082" s="77" t="inlineStr">
        <is>
          <t>Y</t>
        </is>
      </c>
      <c r="N1082" s="136">
        <f>IF(ISNUMBER(timeseries!M62),timeseries!M62,"")</f>
        <v/>
      </c>
      <c r="O1082" s="77" t="inlineStr">
        <is>
          <t>EUR/MWh nominal</t>
        </is>
      </c>
    </row>
    <row r="1083" ht="15" customHeight="1" s="78">
      <c r="A1083" s="77" t="inlineStr">
        <is>
          <t>DE</t>
        </is>
      </c>
      <c r="B1083" s="77" t="n">
        <v>2019</v>
      </c>
      <c r="C1083" s="77" t="inlineStr">
        <is>
          <t>medium</t>
        </is>
      </c>
      <c r="D1083" s="77" t="inlineStr">
        <is>
          <t>E2</t>
        </is>
      </c>
      <c r="E1083" s="77" t="inlineStr">
        <is>
          <t>KWKG-Umlage (tranche blend at 20 GWh)</t>
        </is>
      </c>
      <c r="F1083" s="77" t="inlineStr">
        <is>
          <t>2 Gen capital recovery</t>
        </is>
      </c>
      <c r="G1083" s="77" t="inlineStr">
        <is>
          <t>CHP levy (Umlage)</t>
        </is>
      </c>
      <c r="H1083" s="77" t="inlineStr">
        <is>
          <t>i</t>
        </is>
      </c>
      <c r="I1083" s="77">
        <f>IF(ISNUMBER(N1083),N1083*fx_deflator!$J$14*fx_deflator!$M$14,"")</f>
        <v/>
      </c>
      <c r="J1083" s="77" t="inlineStr">
        <is>
          <t>netztransparenz Uebersicht KWKG-Aufschlaege 2002-2016 + per-year pages; tranche blends</t>
        </is>
      </c>
      <c r="K1083" s="77" t="inlineStr">
        <is>
          <t>stage4_de r22-24</t>
        </is>
      </c>
      <c r="L1083" s="77" t="inlineStr">
        <is>
          <t>2026-07-15</t>
        </is>
      </c>
      <c r="M1083" s="77" t="inlineStr">
        <is>
          <t>Y</t>
        </is>
      </c>
      <c r="N1083" s="77">
        <f>stage4_de!M22*10</f>
        <v/>
      </c>
      <c r="O1083" s="77" t="inlineStr">
        <is>
          <t>EUR/MWh nominal</t>
        </is>
      </c>
    </row>
    <row r="1084" ht="15" customHeight="1" s="78">
      <c r="A1084" s="77" t="inlineStr">
        <is>
          <t>DE</t>
        </is>
      </c>
      <c r="B1084" s="77" t="n">
        <v>2019</v>
      </c>
      <c r="C1084" s="77" t="inlineStr">
        <is>
          <t>medium</t>
        </is>
      </c>
      <c r="D1084" s="77" t="inlineStr">
        <is>
          <t>E2</t>
        </is>
      </c>
      <c r="E1084" s="77" t="inlineStr">
        <is>
          <t>sec.19 StromNEV-Umlage (blend at 20 GWh)</t>
        </is>
      </c>
      <c r="F1084" s="77" t="inlineStr">
        <is>
          <t>4 System services &amp; balancing</t>
        </is>
      </c>
      <c r="G1084" s="77" t="inlineStr">
        <is>
          <t>network levy (Umlage)</t>
        </is>
      </c>
      <c r="H1084" s="77" t="inlineStr">
        <is>
          <t>ii (pays for other users relief)</t>
        </is>
      </c>
      <c r="I1084" s="77">
        <f>IF(ISNUMBER(N1084),N1084*fx_deflator!$J$14*fx_deflator!$M$14,"")</f>
        <v/>
      </c>
      <c r="J1084" s="77" t="inlineStr">
        <is>
          <t>netztransparenz per-year Umlagen pages (A-prime/B-prime/C-prime)</t>
        </is>
      </c>
      <c r="K1084" s="77" t="inlineStr">
        <is>
          <t>stage4_de r25-27</t>
        </is>
      </c>
      <c r="L1084" s="77" t="inlineStr">
        <is>
          <t>2026-07-15</t>
        </is>
      </c>
      <c r="M1084" s="77" t="inlineStr">
        <is>
          <t>Y</t>
        </is>
      </c>
      <c r="N1084" s="77">
        <f>(1*stage4_de!M25+19*stage4_de!M27)/20*10</f>
        <v/>
      </c>
      <c r="O1084" s="77" t="inlineStr">
        <is>
          <t>EUR/MWh nominal</t>
        </is>
      </c>
    </row>
    <row r="1085" ht="15" customHeight="1" s="78">
      <c r="A1085" s="77" t="inlineStr">
        <is>
          <t>DE</t>
        </is>
      </c>
      <c r="B1085" s="77" t="n">
        <v>2019</v>
      </c>
      <c r="C1085" s="77" t="inlineStr">
        <is>
          <t>medium</t>
        </is>
      </c>
      <c r="D1085" s="77" t="inlineStr">
        <is>
          <t>E2</t>
        </is>
      </c>
      <c r="E1085" s="77" t="inlineStr">
        <is>
          <t>Offshore-Netzumlage (blend at 20 GWh to 2018)</t>
        </is>
      </c>
      <c r="F1085" s="77" t="inlineStr">
        <is>
          <t>2 Gen capital recovery</t>
        </is>
      </c>
      <c r="G1085" s="77" t="inlineStr">
        <is>
          <t>offshore grid levy (Umlage)</t>
        </is>
      </c>
      <c r="H1085" s="77" t="inlineStr">
        <is>
          <t>i</t>
        </is>
      </c>
      <c r="I1085" s="77">
        <f>IF(ISNUMBER(N1085),N1085*fx_deflator!$J$14*fx_deflator!$M$14,"")</f>
        <v/>
      </c>
      <c r="J1085" s="77" t="inlineStr">
        <is>
          <t>netztransparenz Offshore-Umlage per-year pages</t>
        </is>
      </c>
      <c r="K1085" s="77" t="inlineStr">
        <is>
          <t>stage4_de r28-30</t>
        </is>
      </c>
      <c r="L1085" s="77" t="inlineStr">
        <is>
          <t>2026-07-15</t>
        </is>
      </c>
      <c r="M1085" s="77" t="inlineStr">
        <is>
          <t>Y</t>
        </is>
      </c>
      <c r="N1085" s="77">
        <f>stage4_de!M28*10</f>
        <v/>
      </c>
      <c r="O1085" s="77" t="inlineStr">
        <is>
          <t>EUR/MWh nominal</t>
        </is>
      </c>
    </row>
    <row r="1086" ht="15" customHeight="1" s="78">
      <c r="A1086" s="77" t="inlineStr">
        <is>
          <t>DE</t>
        </is>
      </c>
      <c r="B1086" s="77" t="n">
        <v>2019</v>
      </c>
      <c r="C1086" s="77" t="inlineStr">
        <is>
          <t>medium</t>
        </is>
      </c>
      <c r="D1086" s="77" t="inlineStr">
        <is>
          <t>E2</t>
        </is>
      </c>
      <c r="E1086" s="77" t="inlineStr">
        <is>
          <t>AbLaV-Umlage</t>
        </is>
      </c>
      <c r="F1086" s="77" t="inlineStr">
        <is>
          <t>4 System services &amp; balancing</t>
        </is>
      </c>
      <c r="G1086" s="77" t="inlineStr">
        <is>
          <t>interruptible-load levy (Umlage)</t>
        </is>
      </c>
      <c r="H1086" s="77" t="inlineStr">
        <is>
          <t>i</t>
        </is>
      </c>
      <c r="I1086" s="77">
        <f>IF(ISNUMBER(N1086),N1086*fx_deflator!$J$14*fx_deflator!$M$14,"")</f>
        <v/>
      </c>
      <c r="J1086" s="77" t="inlineStr">
        <is>
          <t>netztransparenz AbLaV-Umlage per-year pages (ends 2022)</t>
        </is>
      </c>
      <c r="K1086" s="77" t="inlineStr">
        <is>
          <t>stage4_de r31</t>
        </is>
      </c>
      <c r="L1086" s="77" t="inlineStr">
        <is>
          <t>2026-07-15</t>
        </is>
      </c>
      <c r="M1086" s="77" t="inlineStr">
        <is>
          <t>N</t>
        </is>
      </c>
      <c r="N1086" s="77">
        <f>IF(ISNUMBER(stage4_de!M31),stage4_de!M31*10,"")</f>
        <v/>
      </c>
      <c r="O1086" s="77" t="inlineStr">
        <is>
          <t>EUR/MWh nominal</t>
        </is>
      </c>
    </row>
    <row r="1087" ht="15" customHeight="1" s="78">
      <c r="A1087" s="77" t="inlineStr">
        <is>
          <t>DE</t>
        </is>
      </c>
      <c r="B1087" s="77" t="n">
        <v>2019</v>
      </c>
      <c r="C1087" s="77" t="inlineStr">
        <is>
          <t>medium</t>
        </is>
      </c>
      <c r="D1087" s="77" t="inlineStr">
        <is>
          <t>E2</t>
        </is>
      </c>
      <c r="E1087" s="77" t="inlineStr">
        <is>
          <t>Stromsteuer relieved (sec.9b)</t>
        </is>
      </c>
      <c r="F1087" s="77" t="inlineStr">
        <is>
          <t>5 General taxation &amp; levies</t>
        </is>
      </c>
      <c r="G1087" s="77" t="inlineStr">
        <is>
          <t>electricity tax</t>
        </is>
      </c>
      <c r="H1087" s="77" t="inlineStr">
        <is>
          <t>i (relief = foregone tax, iii)</t>
        </is>
      </c>
      <c r="I1087" s="77">
        <f>IF(ISNUMBER(N1087),N1087*fx_deflator!$J$14*fx_deflator!$M$14,"")</f>
        <v/>
      </c>
      <c r="J1087" s="77" t="inlineStr">
        <is>
          <t>StromStG sec.3/sec.9b (BGBl. 2025 I Nr. 340: 0.50 permanent from 2026); gesetze-im-internet.de</t>
        </is>
      </c>
      <c r="K1087" s="77" t="inlineStr">
        <is>
          <t>stage4_de r34-35</t>
        </is>
      </c>
      <c r="L1087" s="77" t="inlineStr">
        <is>
          <t>2026-07-15</t>
        </is>
      </c>
      <c r="M1087" s="77" t="inlineStr">
        <is>
          <t>N</t>
        </is>
      </c>
      <c r="N1087" s="77">
        <f>IF(ISNUMBER(stage4_de!M35),stage4_de!M35,"")</f>
        <v/>
      </c>
      <c r="O1087" s="77" t="inlineStr">
        <is>
          <t>EUR/MWh nominal</t>
        </is>
      </c>
    </row>
    <row r="1088" ht="15" customHeight="1" s="78">
      <c r="A1088" s="77" t="inlineStr">
        <is>
          <t>DE</t>
        </is>
      </c>
      <c r="B1088" s="77" t="n">
        <v>2019</v>
      </c>
      <c r="C1088" s="77" t="inlineStr">
        <is>
          <t>medium</t>
        </is>
      </c>
      <c r="D1088" s="77" t="inlineStr">
        <is>
          <t>E2</t>
        </is>
      </c>
      <c r="E1088" s="77" t="inlineStr">
        <is>
          <t>Konzessionsabgabe (0 via Grenzpreis)</t>
        </is>
      </c>
      <c r="F1088" s="77" t="inlineStr">
        <is>
          <t>5 General taxation &amp; levies</t>
        </is>
      </c>
      <c r="G1088" s="77" t="inlineStr">
        <is>
          <t>concession fee</t>
        </is>
      </c>
      <c r="H1088" s="77" t="inlineStr">
        <is>
          <t>i</t>
        </is>
      </c>
      <c r="I1088" s="77">
        <f>IF(ISNUMBER(N1088),N1088*fx_deflator!$J$14*fx_deflator!$M$14,"")</f>
        <v/>
      </c>
      <c r="J1088" s="77" t="inlineStr">
        <is>
          <t>KAV sec.2(3)/(4) Grenzpreis rule -&gt; 0 for Sondervertragskunden</t>
        </is>
      </c>
      <c r="K1088" s="77" t="inlineStr">
        <is>
          <t>stage4_de r36</t>
        </is>
      </c>
      <c r="L1088" s="77" t="inlineStr">
        <is>
          <t>2026-07-15</t>
        </is>
      </c>
      <c r="M1088" s="77" t="inlineStr">
        <is>
          <t>N</t>
        </is>
      </c>
      <c r="N1088" s="77">
        <f>IF(ISNUMBER(stage4_de!M36),stage4_de!M36*10,"")</f>
        <v/>
      </c>
      <c r="O1088" s="77" t="inlineStr">
        <is>
          <t>EUR/MWh nominal</t>
        </is>
      </c>
    </row>
    <row r="1089" ht="15" customHeight="1" s="78">
      <c r="A1089" s="77" t="inlineStr">
        <is>
          <t>DE</t>
        </is>
      </c>
      <c r="B1089" s="77" t="n">
        <v>2020</v>
      </c>
      <c r="C1089" s="77" t="inlineStr">
        <is>
          <t>medium</t>
        </is>
      </c>
      <c r="D1089" s="77" t="inlineStr">
        <is>
          <t>E2</t>
        </is>
      </c>
      <c r="E1089" s="77" t="inlineStr">
        <is>
          <t>Wholesale (as large)</t>
        </is>
      </c>
      <c r="F1089" s="77" t="inlineStr">
        <is>
          <t>1 Commodity</t>
        </is>
      </c>
      <c r="G1089" s="77" t="inlineStr">
        <is>
          <t>wholesale market</t>
        </is>
      </c>
      <c r="H1089" s="77" t="inlineStr">
        <is>
          <t>i</t>
        </is>
      </c>
      <c r="I1089" s="77">
        <f>IF(ISNUMBER(N1089),N1089*fx_deflator!$J$15*fx_deflator!$M$15,"")</f>
        <v/>
      </c>
      <c r="J1089" s="77" t="inlineStr">
        <is>
          <t>BNetzA Monitoringberichte — Phelix base front-year by trading yr -&gt; delivery yr; 2026 = D29</t>
        </is>
      </c>
      <c r="K1089" s="77" t="inlineStr">
        <is>
          <t>stage4_de r7</t>
        </is>
      </c>
      <c r="L1089" s="77" t="inlineStr">
        <is>
          <t>2026-07-15</t>
        </is>
      </c>
      <c r="M1089" s="77" t="inlineStr">
        <is>
          <t>Y</t>
        </is>
      </c>
      <c r="N1089" s="136">
        <f>IF(ISNUMBER(timeseries!N57),timeseries!N57,"")</f>
        <v/>
      </c>
      <c r="O1089" s="77" t="inlineStr">
        <is>
          <t>EUR/MWh nominal</t>
        </is>
      </c>
    </row>
    <row r="1090" ht="15" customHeight="1" s="78">
      <c r="A1090" s="77" t="inlineStr">
        <is>
          <t>DE</t>
        </is>
      </c>
      <c r="B1090" s="77" t="n">
        <v>2020</v>
      </c>
      <c r="C1090" s="77" t="inlineStr">
        <is>
          <t>medium</t>
        </is>
      </c>
      <c r="D1090" s="77" t="inlineStr">
        <is>
          <t>E2</t>
        </is>
      </c>
      <c r="E1090" s="77" t="inlineStr">
        <is>
          <t>Netzentgelte MS (Westnetz; MB bridge 2010-12)</t>
        </is>
      </c>
      <c r="F1090" s="77" t="inlineStr">
        <is>
          <t>3 Network</t>
        </is>
      </c>
      <c r="G1090" s="77" t="inlineStr">
        <is>
          <t>distribution network charge</t>
        </is>
      </c>
      <c r="H1090" s="77" t="inlineStr">
        <is>
          <t>i</t>
        </is>
      </c>
      <c r="I1090" s="77">
        <f>IF(ISNUMBER(N1090),N1090*fx_deflator!$J$15*fx_deflator!$M$15,"")</f>
        <v/>
      </c>
      <c r="J1090" s="77" t="inlineStr">
        <is>
          <t>Westnetz Preisblaetter (2013+, Wayback); BNetzA MB national avg bridge 2010-12 (D20)</t>
        </is>
      </c>
      <c r="K1090" s="77" t="inlineStr">
        <is>
          <t>stage4_de r15-17</t>
        </is>
      </c>
      <c r="L1090" s="77" t="inlineStr">
        <is>
          <t>2026-07-15</t>
        </is>
      </c>
      <c r="M1090" s="77" t="inlineStr">
        <is>
          <t>Y</t>
        </is>
      </c>
      <c r="N1090" s="136">
        <f>IF(ISNUMBER(timeseries!N58),timeseries!N58,"")</f>
        <v/>
      </c>
      <c r="O1090" s="77" t="inlineStr">
        <is>
          <t>EUR/MWh nominal</t>
        </is>
      </c>
      <c r="P1090" s="77" t="inlineStr">
        <is>
          <t>no sec.19 relief at 5,000h (fails Satz 2) — E1=E2</t>
        </is>
      </c>
    </row>
    <row r="1091" ht="15" customHeight="1" s="78">
      <c r="A1091" s="77" t="inlineStr">
        <is>
          <t>DE</t>
        </is>
      </c>
      <c r="B1091" s="77" t="n">
        <v>2020</v>
      </c>
      <c r="C1091" s="77" t="inlineStr">
        <is>
          <t>medium</t>
        </is>
      </c>
      <c r="D1091" s="77" t="inlineStr">
        <is>
          <t>E2</t>
        </is>
      </c>
      <c r="E1091" s="77" t="inlineStr">
        <is>
          <t>EEG-Umlage after BesAR (2012-13 sliding ~10 pct; 2014+ 1 GWh full + 15 pct above)</t>
        </is>
      </c>
      <c r="F1091" s="77" t="inlineStr">
        <is>
          <t>2 Gen capital recovery</t>
        </is>
      </c>
      <c r="G1091" s="77" t="inlineStr">
        <is>
          <t>renewables levy (Umlage)</t>
        </is>
      </c>
      <c r="H1091" s="77" t="inlineStr">
        <is>
          <t>i (relief = ii via Umlage on others)</t>
        </is>
      </c>
      <c r="I1091" s="77">
        <f>IF(ISNUMBER(N1091),N1091*fx_deflator!$J$15*fx_deflator!$M$15,"")</f>
        <v/>
      </c>
      <c r="J1091" s="77" t="inlineStr">
        <is>
          <t>EEG 2012 sec.41 / EEG 2014+ sec.64 (BesAR); D24/D25 conventions</t>
        </is>
      </c>
      <c r="K1091" s="77" t="inlineStr">
        <is>
          <t>stage4_de r21 + timeseries r45/62</t>
        </is>
      </c>
      <c r="L1091" s="77" t="inlineStr">
        <is>
          <t>2026-07-15</t>
        </is>
      </c>
      <c r="M1091" s="77" t="inlineStr">
        <is>
          <t>Y</t>
        </is>
      </c>
      <c r="N1091" s="136">
        <f>IF(ISNUMBER(timeseries!N62),timeseries!N62,"")</f>
        <v/>
      </c>
      <c r="O1091" s="77" t="inlineStr">
        <is>
          <t>EUR/MWh nominal</t>
        </is>
      </c>
    </row>
    <row r="1092" ht="15" customHeight="1" s="78">
      <c r="A1092" s="77" t="inlineStr">
        <is>
          <t>DE</t>
        </is>
      </c>
      <c r="B1092" s="77" t="n">
        <v>2020</v>
      </c>
      <c r="C1092" s="77" t="inlineStr">
        <is>
          <t>medium</t>
        </is>
      </c>
      <c r="D1092" s="77" t="inlineStr">
        <is>
          <t>E2</t>
        </is>
      </c>
      <c r="E1092" s="77" t="inlineStr">
        <is>
          <t>KWKG-Umlage (tranche blend at 20 GWh)</t>
        </is>
      </c>
      <c r="F1092" s="77" t="inlineStr">
        <is>
          <t>2 Gen capital recovery</t>
        </is>
      </c>
      <c r="G1092" s="77" t="inlineStr">
        <is>
          <t>CHP levy (Umlage)</t>
        </is>
      </c>
      <c r="H1092" s="77" t="inlineStr">
        <is>
          <t>i</t>
        </is>
      </c>
      <c r="I1092" s="77">
        <f>IF(ISNUMBER(N1092),N1092*fx_deflator!$J$15*fx_deflator!$M$15,"")</f>
        <v/>
      </c>
      <c r="J1092" s="77" t="inlineStr">
        <is>
          <t>netztransparenz Uebersicht KWKG-Aufschlaege 2002-2016 + per-year pages; tranche blends</t>
        </is>
      </c>
      <c r="K1092" s="77" t="inlineStr">
        <is>
          <t>stage4_de r22-24</t>
        </is>
      </c>
      <c r="L1092" s="77" t="inlineStr">
        <is>
          <t>2026-07-15</t>
        </is>
      </c>
      <c r="M1092" s="77" t="inlineStr">
        <is>
          <t>Y</t>
        </is>
      </c>
      <c r="N1092" s="77">
        <f>stage4_de!N22*10</f>
        <v/>
      </c>
      <c r="O1092" s="77" t="inlineStr">
        <is>
          <t>EUR/MWh nominal</t>
        </is>
      </c>
    </row>
    <row r="1093" ht="15" customHeight="1" s="78">
      <c r="A1093" s="77" t="inlineStr">
        <is>
          <t>DE</t>
        </is>
      </c>
      <c r="B1093" s="77" t="n">
        <v>2020</v>
      </c>
      <c r="C1093" s="77" t="inlineStr">
        <is>
          <t>medium</t>
        </is>
      </c>
      <c r="D1093" s="77" t="inlineStr">
        <is>
          <t>E2</t>
        </is>
      </c>
      <c r="E1093" s="77" t="inlineStr">
        <is>
          <t>sec.19 StromNEV-Umlage (blend at 20 GWh)</t>
        </is>
      </c>
      <c r="F1093" s="77" t="inlineStr">
        <is>
          <t>4 System services &amp; balancing</t>
        </is>
      </c>
      <c r="G1093" s="77" t="inlineStr">
        <is>
          <t>network levy (Umlage)</t>
        </is>
      </c>
      <c r="H1093" s="77" t="inlineStr">
        <is>
          <t>ii (pays for other users relief)</t>
        </is>
      </c>
      <c r="I1093" s="77">
        <f>IF(ISNUMBER(N1093),N1093*fx_deflator!$J$15*fx_deflator!$M$15,"")</f>
        <v/>
      </c>
      <c r="J1093" s="77" t="inlineStr">
        <is>
          <t>netztransparenz per-year Umlagen pages (A-prime/B-prime/C-prime)</t>
        </is>
      </c>
      <c r="K1093" s="77" t="inlineStr">
        <is>
          <t>stage4_de r25-27</t>
        </is>
      </c>
      <c r="L1093" s="77" t="inlineStr">
        <is>
          <t>2026-07-15</t>
        </is>
      </c>
      <c r="M1093" s="77" t="inlineStr">
        <is>
          <t>Y</t>
        </is>
      </c>
      <c r="N1093" s="77">
        <f>(1*stage4_de!N25+19*stage4_de!N27)/20*10</f>
        <v/>
      </c>
      <c r="O1093" s="77" t="inlineStr">
        <is>
          <t>EUR/MWh nominal</t>
        </is>
      </c>
    </row>
    <row r="1094" ht="15" customHeight="1" s="78">
      <c r="A1094" s="77" t="inlineStr">
        <is>
          <t>DE</t>
        </is>
      </c>
      <c r="B1094" s="77" t="n">
        <v>2020</v>
      </c>
      <c r="C1094" s="77" t="inlineStr">
        <is>
          <t>medium</t>
        </is>
      </c>
      <c r="D1094" s="77" t="inlineStr">
        <is>
          <t>E2</t>
        </is>
      </c>
      <c r="E1094" s="77" t="inlineStr">
        <is>
          <t>Offshore-Netzumlage (blend at 20 GWh to 2018)</t>
        </is>
      </c>
      <c r="F1094" s="77" t="inlineStr">
        <is>
          <t>2 Gen capital recovery</t>
        </is>
      </c>
      <c r="G1094" s="77" t="inlineStr">
        <is>
          <t>offshore grid levy (Umlage)</t>
        </is>
      </c>
      <c r="H1094" s="77" t="inlineStr">
        <is>
          <t>i</t>
        </is>
      </c>
      <c r="I1094" s="77">
        <f>IF(ISNUMBER(N1094),N1094*fx_deflator!$J$15*fx_deflator!$M$15,"")</f>
        <v/>
      </c>
      <c r="J1094" s="77" t="inlineStr">
        <is>
          <t>netztransparenz Offshore-Umlage per-year pages</t>
        </is>
      </c>
      <c r="K1094" s="77" t="inlineStr">
        <is>
          <t>stage4_de r28-30</t>
        </is>
      </c>
      <c r="L1094" s="77" t="inlineStr">
        <is>
          <t>2026-07-15</t>
        </is>
      </c>
      <c r="M1094" s="77" t="inlineStr">
        <is>
          <t>Y</t>
        </is>
      </c>
      <c r="N1094" s="77">
        <f>stage4_de!N28*10</f>
        <v/>
      </c>
      <c r="O1094" s="77" t="inlineStr">
        <is>
          <t>EUR/MWh nominal</t>
        </is>
      </c>
    </row>
    <row r="1095" ht="15" customHeight="1" s="78">
      <c r="A1095" s="77" t="inlineStr">
        <is>
          <t>DE</t>
        </is>
      </c>
      <c r="B1095" s="77" t="n">
        <v>2020</v>
      </c>
      <c r="C1095" s="77" t="inlineStr">
        <is>
          <t>medium</t>
        </is>
      </c>
      <c r="D1095" s="77" t="inlineStr">
        <is>
          <t>E2</t>
        </is>
      </c>
      <c r="E1095" s="77" t="inlineStr">
        <is>
          <t>AbLaV-Umlage</t>
        </is>
      </c>
      <c r="F1095" s="77" t="inlineStr">
        <is>
          <t>4 System services &amp; balancing</t>
        </is>
      </c>
      <c r="G1095" s="77" t="inlineStr">
        <is>
          <t>interruptible-load levy (Umlage)</t>
        </is>
      </c>
      <c r="H1095" s="77" t="inlineStr">
        <is>
          <t>i</t>
        </is>
      </c>
      <c r="I1095" s="77">
        <f>IF(ISNUMBER(N1095),N1095*fx_deflator!$J$15*fx_deflator!$M$15,"")</f>
        <v/>
      </c>
      <c r="J1095" s="77" t="inlineStr">
        <is>
          <t>netztransparenz AbLaV-Umlage per-year pages (ends 2022)</t>
        </is>
      </c>
      <c r="K1095" s="77" t="inlineStr">
        <is>
          <t>stage4_de r31</t>
        </is>
      </c>
      <c r="L1095" s="77" t="inlineStr">
        <is>
          <t>2026-07-15</t>
        </is>
      </c>
      <c r="M1095" s="77" t="inlineStr">
        <is>
          <t>N</t>
        </is>
      </c>
      <c r="N1095" s="77">
        <f>IF(ISNUMBER(stage4_de!N31),stage4_de!N31*10,"")</f>
        <v/>
      </c>
      <c r="O1095" s="77" t="inlineStr">
        <is>
          <t>EUR/MWh nominal</t>
        </is>
      </c>
    </row>
    <row r="1096" ht="15" customHeight="1" s="78">
      <c r="A1096" s="77" t="inlineStr">
        <is>
          <t>DE</t>
        </is>
      </c>
      <c r="B1096" s="77" t="n">
        <v>2020</v>
      </c>
      <c r="C1096" s="77" t="inlineStr">
        <is>
          <t>medium</t>
        </is>
      </c>
      <c r="D1096" s="77" t="inlineStr">
        <is>
          <t>E2</t>
        </is>
      </c>
      <c r="E1096" s="77" t="inlineStr">
        <is>
          <t>Stromsteuer relieved (sec.9b)</t>
        </is>
      </c>
      <c r="F1096" s="77" t="inlineStr">
        <is>
          <t>5 General taxation &amp; levies</t>
        </is>
      </c>
      <c r="G1096" s="77" t="inlineStr">
        <is>
          <t>electricity tax</t>
        </is>
      </c>
      <c r="H1096" s="77" t="inlineStr">
        <is>
          <t>i (relief = foregone tax, iii)</t>
        </is>
      </c>
      <c r="I1096" s="77">
        <f>IF(ISNUMBER(N1096),N1096*fx_deflator!$J$15*fx_deflator!$M$15,"")</f>
        <v/>
      </c>
      <c r="J1096" s="77" t="inlineStr">
        <is>
          <t>StromStG sec.3/sec.9b (BGBl. 2025 I Nr. 340: 0.50 permanent from 2026); gesetze-im-internet.de</t>
        </is>
      </c>
      <c r="K1096" s="77" t="inlineStr">
        <is>
          <t>stage4_de r34-35</t>
        </is>
      </c>
      <c r="L1096" s="77" t="inlineStr">
        <is>
          <t>2026-07-15</t>
        </is>
      </c>
      <c r="M1096" s="77" t="inlineStr">
        <is>
          <t>N</t>
        </is>
      </c>
      <c r="N1096" s="77">
        <f>IF(ISNUMBER(stage4_de!N35),stage4_de!N35,"")</f>
        <v/>
      </c>
      <c r="O1096" s="77" t="inlineStr">
        <is>
          <t>EUR/MWh nominal</t>
        </is>
      </c>
    </row>
    <row r="1097" ht="15" customHeight="1" s="78">
      <c r="A1097" s="77" t="inlineStr">
        <is>
          <t>DE</t>
        </is>
      </c>
      <c r="B1097" s="77" t="n">
        <v>2020</v>
      </c>
      <c r="C1097" s="77" t="inlineStr">
        <is>
          <t>medium</t>
        </is>
      </c>
      <c r="D1097" s="77" t="inlineStr">
        <is>
          <t>E2</t>
        </is>
      </c>
      <c r="E1097" s="77" t="inlineStr">
        <is>
          <t>Konzessionsabgabe (0 via Grenzpreis)</t>
        </is>
      </c>
      <c r="F1097" s="77" t="inlineStr">
        <is>
          <t>5 General taxation &amp; levies</t>
        </is>
      </c>
      <c r="G1097" s="77" t="inlineStr">
        <is>
          <t>concession fee</t>
        </is>
      </c>
      <c r="H1097" s="77" t="inlineStr">
        <is>
          <t>i</t>
        </is>
      </c>
      <c r="I1097" s="77">
        <f>IF(ISNUMBER(N1097),N1097*fx_deflator!$J$15*fx_deflator!$M$15,"")</f>
        <v/>
      </c>
      <c r="J1097" s="77" t="inlineStr">
        <is>
          <t>KAV sec.2(3)/(4) Grenzpreis rule -&gt; 0 for Sondervertragskunden</t>
        </is>
      </c>
      <c r="K1097" s="77" t="inlineStr">
        <is>
          <t>stage4_de r36</t>
        </is>
      </c>
      <c r="L1097" s="77" t="inlineStr">
        <is>
          <t>2026-07-15</t>
        </is>
      </c>
      <c r="M1097" s="77" t="inlineStr">
        <is>
          <t>N</t>
        </is>
      </c>
      <c r="N1097" s="77">
        <f>IF(ISNUMBER(stage4_de!N36),stage4_de!N36*10,"")</f>
        <v/>
      </c>
      <c r="O1097" s="77" t="inlineStr">
        <is>
          <t>EUR/MWh nominal</t>
        </is>
      </c>
    </row>
    <row r="1098" ht="15" customHeight="1" s="78">
      <c r="A1098" s="77" t="inlineStr">
        <is>
          <t>DE</t>
        </is>
      </c>
      <c r="B1098" s="77" t="n">
        <v>2021</v>
      </c>
      <c r="C1098" s="77" t="inlineStr">
        <is>
          <t>medium</t>
        </is>
      </c>
      <c r="D1098" s="77" t="inlineStr">
        <is>
          <t>E2</t>
        </is>
      </c>
      <c r="E1098" s="77" t="inlineStr">
        <is>
          <t>Wholesale (as large)</t>
        </is>
      </c>
      <c r="F1098" s="77" t="inlineStr">
        <is>
          <t>1 Commodity</t>
        </is>
      </c>
      <c r="G1098" s="77" t="inlineStr">
        <is>
          <t>wholesale market</t>
        </is>
      </c>
      <c r="H1098" s="77" t="inlineStr">
        <is>
          <t>i</t>
        </is>
      </c>
      <c r="I1098" s="77">
        <f>IF(ISNUMBER(N1098),N1098*fx_deflator!$J$16*fx_deflator!$M$16,"")</f>
        <v/>
      </c>
      <c r="J1098" s="77" t="inlineStr">
        <is>
          <t>BNetzA Monitoringberichte — Phelix base front-year by trading yr -&gt; delivery yr; 2026 = D29</t>
        </is>
      </c>
      <c r="K1098" s="77" t="inlineStr">
        <is>
          <t>stage4_de r7</t>
        </is>
      </c>
      <c r="L1098" s="77" t="inlineStr">
        <is>
          <t>2026-07-15</t>
        </is>
      </c>
      <c r="M1098" s="77" t="inlineStr">
        <is>
          <t>Y</t>
        </is>
      </c>
      <c r="N1098" s="136">
        <f>IF(ISNUMBER(timeseries!O57),timeseries!O57,"")</f>
        <v/>
      </c>
      <c r="O1098" s="77" t="inlineStr">
        <is>
          <t>EUR/MWh nominal</t>
        </is>
      </c>
    </row>
    <row r="1099" ht="15" customHeight="1" s="78">
      <c r="A1099" s="77" t="inlineStr">
        <is>
          <t>DE</t>
        </is>
      </c>
      <c r="B1099" s="77" t="n">
        <v>2021</v>
      </c>
      <c r="C1099" s="77" t="inlineStr">
        <is>
          <t>medium</t>
        </is>
      </c>
      <c r="D1099" s="77" t="inlineStr">
        <is>
          <t>E2</t>
        </is>
      </c>
      <c r="E1099" s="77" t="inlineStr">
        <is>
          <t>Netzentgelte MS (Westnetz; MB bridge 2010-12)</t>
        </is>
      </c>
      <c r="F1099" s="77" t="inlineStr">
        <is>
          <t>3 Network</t>
        </is>
      </c>
      <c r="G1099" s="77" t="inlineStr">
        <is>
          <t>distribution network charge</t>
        </is>
      </c>
      <c r="H1099" s="77" t="inlineStr">
        <is>
          <t>i</t>
        </is>
      </c>
      <c r="I1099" s="77">
        <f>IF(ISNUMBER(N1099),N1099*fx_deflator!$J$16*fx_deflator!$M$16,"")</f>
        <v/>
      </c>
      <c r="J1099" s="77" t="inlineStr">
        <is>
          <t>Westnetz Preisblaetter (2013+, Wayback); BNetzA MB national avg bridge 2010-12 (D20)</t>
        </is>
      </c>
      <c r="K1099" s="77" t="inlineStr">
        <is>
          <t>stage4_de r15-17</t>
        </is>
      </c>
      <c r="L1099" s="77" t="inlineStr">
        <is>
          <t>2026-07-15</t>
        </is>
      </c>
      <c r="M1099" s="77" t="inlineStr">
        <is>
          <t>Y</t>
        </is>
      </c>
      <c r="N1099" s="136">
        <f>IF(ISNUMBER(timeseries!O58),timeseries!O58,"")</f>
        <v/>
      </c>
      <c r="O1099" s="77" t="inlineStr">
        <is>
          <t>EUR/MWh nominal</t>
        </is>
      </c>
      <c r="P1099" s="77" t="inlineStr">
        <is>
          <t>no sec.19 relief at 5,000h (fails Satz 2) — E1=E2</t>
        </is>
      </c>
    </row>
    <row r="1100" ht="15" customHeight="1" s="78">
      <c r="A1100" s="77" t="inlineStr">
        <is>
          <t>DE</t>
        </is>
      </c>
      <c r="B1100" s="77" t="n">
        <v>2021</v>
      </c>
      <c r="C1100" s="77" t="inlineStr">
        <is>
          <t>medium</t>
        </is>
      </c>
      <c r="D1100" s="77" t="inlineStr">
        <is>
          <t>E2</t>
        </is>
      </c>
      <c r="E1100" s="77" t="inlineStr">
        <is>
          <t>EEG-Umlage after BesAR (2012-13 sliding ~10 pct; 2014+ 1 GWh full + 15 pct above)</t>
        </is>
      </c>
      <c r="F1100" s="77" t="inlineStr">
        <is>
          <t>2 Gen capital recovery</t>
        </is>
      </c>
      <c r="G1100" s="77" t="inlineStr">
        <is>
          <t>renewables levy (Umlage)</t>
        </is>
      </c>
      <c r="H1100" s="77" t="inlineStr">
        <is>
          <t>i (relief = ii via Umlage on others)</t>
        </is>
      </c>
      <c r="I1100" s="77">
        <f>IF(ISNUMBER(N1100),N1100*fx_deflator!$J$16*fx_deflator!$M$16,"")</f>
        <v/>
      </c>
      <c r="J1100" s="77" t="inlineStr">
        <is>
          <t>EEG 2012 sec.41 / EEG 2014+ sec.64 (BesAR); D24/D25 conventions</t>
        </is>
      </c>
      <c r="K1100" s="77" t="inlineStr">
        <is>
          <t>stage4_de r21 + timeseries r45/62</t>
        </is>
      </c>
      <c r="L1100" s="77" t="inlineStr">
        <is>
          <t>2026-07-15</t>
        </is>
      </c>
      <c r="M1100" s="77" t="inlineStr">
        <is>
          <t>Y</t>
        </is>
      </c>
      <c r="N1100" s="136">
        <f>IF(ISNUMBER(timeseries!O62),timeseries!O62,"")</f>
        <v/>
      </c>
      <c r="O1100" s="77" t="inlineStr">
        <is>
          <t>EUR/MWh nominal</t>
        </is>
      </c>
    </row>
    <row r="1101" ht="15" customHeight="1" s="78">
      <c r="A1101" s="77" t="inlineStr">
        <is>
          <t>DE</t>
        </is>
      </c>
      <c r="B1101" s="77" t="n">
        <v>2021</v>
      </c>
      <c r="C1101" s="77" t="inlineStr">
        <is>
          <t>medium</t>
        </is>
      </c>
      <c r="D1101" s="77" t="inlineStr">
        <is>
          <t>E2</t>
        </is>
      </c>
      <c r="E1101" s="77" t="inlineStr">
        <is>
          <t>KWKG-Umlage (tranche blend at 20 GWh)</t>
        </is>
      </c>
      <c r="F1101" s="77" t="inlineStr">
        <is>
          <t>2 Gen capital recovery</t>
        </is>
      </c>
      <c r="G1101" s="77" t="inlineStr">
        <is>
          <t>CHP levy (Umlage)</t>
        </is>
      </c>
      <c r="H1101" s="77" t="inlineStr">
        <is>
          <t>i</t>
        </is>
      </c>
      <c r="I1101" s="77">
        <f>IF(ISNUMBER(N1101),N1101*fx_deflator!$J$16*fx_deflator!$M$16,"")</f>
        <v/>
      </c>
      <c r="J1101" s="77" t="inlineStr">
        <is>
          <t>netztransparenz Uebersicht KWKG-Aufschlaege 2002-2016 + per-year pages; tranche blends</t>
        </is>
      </c>
      <c r="K1101" s="77" t="inlineStr">
        <is>
          <t>stage4_de r22-24</t>
        </is>
      </c>
      <c r="L1101" s="77" t="inlineStr">
        <is>
          <t>2026-07-15</t>
        </is>
      </c>
      <c r="M1101" s="77" t="inlineStr">
        <is>
          <t>Y</t>
        </is>
      </c>
      <c r="N1101" s="77">
        <f>stage4_de!O22*10</f>
        <v/>
      </c>
      <c r="O1101" s="77" t="inlineStr">
        <is>
          <t>EUR/MWh nominal</t>
        </is>
      </c>
    </row>
    <row r="1102" ht="15" customHeight="1" s="78">
      <c r="A1102" s="77" t="inlineStr">
        <is>
          <t>DE</t>
        </is>
      </c>
      <c r="B1102" s="77" t="n">
        <v>2021</v>
      </c>
      <c r="C1102" s="77" t="inlineStr">
        <is>
          <t>medium</t>
        </is>
      </c>
      <c r="D1102" s="77" t="inlineStr">
        <is>
          <t>E2</t>
        </is>
      </c>
      <c r="E1102" s="77" t="inlineStr">
        <is>
          <t>sec.19 StromNEV-Umlage (blend at 20 GWh)</t>
        </is>
      </c>
      <c r="F1102" s="77" t="inlineStr">
        <is>
          <t>4 System services &amp; balancing</t>
        </is>
      </c>
      <c r="G1102" s="77" t="inlineStr">
        <is>
          <t>network levy (Umlage)</t>
        </is>
      </c>
      <c r="H1102" s="77" t="inlineStr">
        <is>
          <t>ii (pays for other users relief)</t>
        </is>
      </c>
      <c r="I1102" s="77">
        <f>IF(ISNUMBER(N1102),N1102*fx_deflator!$J$16*fx_deflator!$M$16,"")</f>
        <v/>
      </c>
      <c r="J1102" s="77" t="inlineStr">
        <is>
          <t>netztransparenz per-year Umlagen pages (A-prime/B-prime/C-prime)</t>
        </is>
      </c>
      <c r="K1102" s="77" t="inlineStr">
        <is>
          <t>stage4_de r25-27</t>
        </is>
      </c>
      <c r="L1102" s="77" t="inlineStr">
        <is>
          <t>2026-07-15</t>
        </is>
      </c>
      <c r="M1102" s="77" t="inlineStr">
        <is>
          <t>Y</t>
        </is>
      </c>
      <c r="N1102" s="77">
        <f>(1*stage4_de!O25+19*stage4_de!O27)/20*10</f>
        <v/>
      </c>
      <c r="O1102" s="77" t="inlineStr">
        <is>
          <t>EUR/MWh nominal</t>
        </is>
      </c>
    </row>
    <row r="1103" ht="15" customHeight="1" s="78">
      <c r="A1103" s="77" t="inlineStr">
        <is>
          <t>DE</t>
        </is>
      </c>
      <c r="B1103" s="77" t="n">
        <v>2021</v>
      </c>
      <c r="C1103" s="77" t="inlineStr">
        <is>
          <t>medium</t>
        </is>
      </c>
      <c r="D1103" s="77" t="inlineStr">
        <is>
          <t>E2</t>
        </is>
      </c>
      <c r="E1103" s="77" t="inlineStr">
        <is>
          <t>Offshore-Netzumlage (blend at 20 GWh to 2018)</t>
        </is>
      </c>
      <c r="F1103" s="77" t="inlineStr">
        <is>
          <t>2 Gen capital recovery</t>
        </is>
      </c>
      <c r="G1103" s="77" t="inlineStr">
        <is>
          <t>offshore grid levy (Umlage)</t>
        </is>
      </c>
      <c r="H1103" s="77" t="inlineStr">
        <is>
          <t>i</t>
        </is>
      </c>
      <c r="I1103" s="77">
        <f>IF(ISNUMBER(N1103),N1103*fx_deflator!$J$16*fx_deflator!$M$16,"")</f>
        <v/>
      </c>
      <c r="J1103" s="77" t="inlineStr">
        <is>
          <t>netztransparenz Offshore-Umlage per-year pages</t>
        </is>
      </c>
      <c r="K1103" s="77" t="inlineStr">
        <is>
          <t>stage4_de r28-30</t>
        </is>
      </c>
      <c r="L1103" s="77" t="inlineStr">
        <is>
          <t>2026-07-15</t>
        </is>
      </c>
      <c r="M1103" s="77" t="inlineStr">
        <is>
          <t>Y</t>
        </is>
      </c>
      <c r="N1103" s="77">
        <f>stage4_de!O28*10</f>
        <v/>
      </c>
      <c r="O1103" s="77" t="inlineStr">
        <is>
          <t>EUR/MWh nominal</t>
        </is>
      </c>
    </row>
    <row r="1104" ht="15" customHeight="1" s="78">
      <c r="A1104" s="77" t="inlineStr">
        <is>
          <t>DE</t>
        </is>
      </c>
      <c r="B1104" s="77" t="n">
        <v>2021</v>
      </c>
      <c r="C1104" s="77" t="inlineStr">
        <is>
          <t>medium</t>
        </is>
      </c>
      <c r="D1104" s="77" t="inlineStr">
        <is>
          <t>E2</t>
        </is>
      </c>
      <c r="E1104" s="77" t="inlineStr">
        <is>
          <t>AbLaV-Umlage</t>
        </is>
      </c>
      <c r="F1104" s="77" t="inlineStr">
        <is>
          <t>4 System services &amp; balancing</t>
        </is>
      </c>
      <c r="G1104" s="77" t="inlineStr">
        <is>
          <t>interruptible-load levy (Umlage)</t>
        </is>
      </c>
      <c r="H1104" s="77" t="inlineStr">
        <is>
          <t>i</t>
        </is>
      </c>
      <c r="I1104" s="77">
        <f>IF(ISNUMBER(N1104),N1104*fx_deflator!$J$16*fx_deflator!$M$16,"")</f>
        <v/>
      </c>
      <c r="J1104" s="77" t="inlineStr">
        <is>
          <t>netztransparenz AbLaV-Umlage per-year pages (ends 2022)</t>
        </is>
      </c>
      <c r="K1104" s="77" t="inlineStr">
        <is>
          <t>stage4_de r31</t>
        </is>
      </c>
      <c r="L1104" s="77" t="inlineStr">
        <is>
          <t>2026-07-15</t>
        </is>
      </c>
      <c r="M1104" s="77" t="inlineStr">
        <is>
          <t>N</t>
        </is>
      </c>
      <c r="N1104" s="77">
        <f>IF(ISNUMBER(stage4_de!O31),stage4_de!O31*10,"")</f>
        <v/>
      </c>
      <c r="O1104" s="77" t="inlineStr">
        <is>
          <t>EUR/MWh nominal</t>
        </is>
      </c>
    </row>
    <row r="1105" ht="15" customHeight="1" s="78">
      <c r="A1105" s="77" t="inlineStr">
        <is>
          <t>DE</t>
        </is>
      </c>
      <c r="B1105" s="77" t="n">
        <v>2021</v>
      </c>
      <c r="C1105" s="77" t="inlineStr">
        <is>
          <t>medium</t>
        </is>
      </c>
      <c r="D1105" s="77" t="inlineStr">
        <is>
          <t>E2</t>
        </is>
      </c>
      <c r="E1105" s="77" t="inlineStr">
        <is>
          <t>Stromsteuer relieved (sec.9b)</t>
        </is>
      </c>
      <c r="F1105" s="77" t="inlineStr">
        <is>
          <t>5 General taxation &amp; levies</t>
        </is>
      </c>
      <c r="G1105" s="77" t="inlineStr">
        <is>
          <t>electricity tax</t>
        </is>
      </c>
      <c r="H1105" s="77" t="inlineStr">
        <is>
          <t>i (relief = foregone tax, iii)</t>
        </is>
      </c>
      <c r="I1105" s="77">
        <f>IF(ISNUMBER(N1105),N1105*fx_deflator!$J$16*fx_deflator!$M$16,"")</f>
        <v/>
      </c>
      <c r="J1105" s="77" t="inlineStr">
        <is>
          <t>StromStG sec.3/sec.9b (BGBl. 2025 I Nr. 340: 0.50 permanent from 2026); gesetze-im-internet.de</t>
        </is>
      </c>
      <c r="K1105" s="77" t="inlineStr">
        <is>
          <t>stage4_de r34-35</t>
        </is>
      </c>
      <c r="L1105" s="77" t="inlineStr">
        <is>
          <t>2026-07-15</t>
        </is>
      </c>
      <c r="M1105" s="77" t="inlineStr">
        <is>
          <t>N</t>
        </is>
      </c>
      <c r="N1105" s="77">
        <f>IF(ISNUMBER(stage4_de!O35),stage4_de!O35,"")</f>
        <v/>
      </c>
      <c r="O1105" s="77" t="inlineStr">
        <is>
          <t>EUR/MWh nominal</t>
        </is>
      </c>
    </row>
    <row r="1106" ht="15" customHeight="1" s="78">
      <c r="A1106" s="77" t="inlineStr">
        <is>
          <t>DE</t>
        </is>
      </c>
      <c r="B1106" s="77" t="n">
        <v>2021</v>
      </c>
      <c r="C1106" s="77" t="inlineStr">
        <is>
          <t>medium</t>
        </is>
      </c>
      <c r="D1106" s="77" t="inlineStr">
        <is>
          <t>E2</t>
        </is>
      </c>
      <c r="E1106" s="77" t="inlineStr">
        <is>
          <t>Konzessionsabgabe (0 via Grenzpreis)</t>
        </is>
      </c>
      <c r="F1106" s="77" t="inlineStr">
        <is>
          <t>5 General taxation &amp; levies</t>
        </is>
      </c>
      <c r="G1106" s="77" t="inlineStr">
        <is>
          <t>concession fee</t>
        </is>
      </c>
      <c r="H1106" s="77" t="inlineStr">
        <is>
          <t>i</t>
        </is>
      </c>
      <c r="I1106" s="77">
        <f>IF(ISNUMBER(N1106),N1106*fx_deflator!$J$16*fx_deflator!$M$16,"")</f>
        <v/>
      </c>
      <c r="J1106" s="77" t="inlineStr">
        <is>
          <t>KAV sec.2(3)/(4) Grenzpreis rule -&gt; 0 for Sondervertragskunden</t>
        </is>
      </c>
      <c r="K1106" s="77" t="inlineStr">
        <is>
          <t>stage4_de r36</t>
        </is>
      </c>
      <c r="L1106" s="77" t="inlineStr">
        <is>
          <t>2026-07-15</t>
        </is>
      </c>
      <c r="M1106" s="77" t="inlineStr">
        <is>
          <t>N</t>
        </is>
      </c>
      <c r="N1106" s="77">
        <f>IF(ISNUMBER(stage4_de!O36),stage4_de!O36*10,"")</f>
        <v/>
      </c>
      <c r="O1106" s="77" t="inlineStr">
        <is>
          <t>EUR/MWh nominal</t>
        </is>
      </c>
    </row>
    <row r="1107" ht="15" customHeight="1" s="78">
      <c r="A1107" s="77" t="inlineStr">
        <is>
          <t>DE</t>
        </is>
      </c>
      <c r="B1107" s="77" t="n">
        <v>2022</v>
      </c>
      <c r="C1107" s="77" t="inlineStr">
        <is>
          <t>medium</t>
        </is>
      </c>
      <c r="D1107" s="77" t="inlineStr">
        <is>
          <t>E2</t>
        </is>
      </c>
      <c r="E1107" s="77" t="inlineStr">
        <is>
          <t>Wholesale (as large)</t>
        </is>
      </c>
      <c r="F1107" s="77" t="inlineStr">
        <is>
          <t>1 Commodity</t>
        </is>
      </c>
      <c r="G1107" s="77" t="inlineStr">
        <is>
          <t>wholesale market</t>
        </is>
      </c>
      <c r="H1107" s="77" t="inlineStr">
        <is>
          <t>i</t>
        </is>
      </c>
      <c r="I1107" s="77">
        <f>IF(ISNUMBER(N1107),N1107*fx_deflator!$J$17*fx_deflator!$M$17,"")</f>
        <v/>
      </c>
      <c r="J1107" s="77" t="inlineStr">
        <is>
          <t>BNetzA Monitoringberichte — Phelix base front-year by trading yr -&gt; delivery yr; 2026 = D29</t>
        </is>
      </c>
      <c r="K1107" s="77" t="inlineStr">
        <is>
          <t>stage4_de r7</t>
        </is>
      </c>
      <c r="L1107" s="77" t="inlineStr">
        <is>
          <t>2026-07-15</t>
        </is>
      </c>
      <c r="M1107" s="77" t="inlineStr">
        <is>
          <t>Y</t>
        </is>
      </c>
      <c r="N1107" s="136">
        <f>IF(ISNUMBER(timeseries!P57),timeseries!P57,"")</f>
        <v/>
      </c>
      <c r="O1107" s="77" t="inlineStr">
        <is>
          <t>EUR/MWh nominal</t>
        </is>
      </c>
    </row>
    <row r="1108" ht="15" customHeight="1" s="78">
      <c r="A1108" s="77" t="inlineStr">
        <is>
          <t>DE</t>
        </is>
      </c>
      <c r="B1108" s="77" t="n">
        <v>2022</v>
      </c>
      <c r="C1108" s="77" t="inlineStr">
        <is>
          <t>medium</t>
        </is>
      </c>
      <c r="D1108" s="77" t="inlineStr">
        <is>
          <t>E2</t>
        </is>
      </c>
      <c r="E1108" s="77" t="inlineStr">
        <is>
          <t>Netzentgelte MS (Westnetz; MB bridge 2010-12)</t>
        </is>
      </c>
      <c r="F1108" s="77" t="inlineStr">
        <is>
          <t>3 Network</t>
        </is>
      </c>
      <c r="G1108" s="77" t="inlineStr">
        <is>
          <t>distribution network charge</t>
        </is>
      </c>
      <c r="H1108" s="77" t="inlineStr">
        <is>
          <t>i</t>
        </is>
      </c>
      <c r="I1108" s="77">
        <f>IF(ISNUMBER(N1108),N1108*fx_deflator!$J$17*fx_deflator!$M$17,"")</f>
        <v/>
      </c>
      <c r="J1108" s="77" t="inlineStr">
        <is>
          <t>Westnetz Preisblaetter (2013+, Wayback); BNetzA MB national avg bridge 2010-12 (D20)</t>
        </is>
      </c>
      <c r="K1108" s="77" t="inlineStr">
        <is>
          <t>stage4_de r15-17</t>
        </is>
      </c>
      <c r="L1108" s="77" t="inlineStr">
        <is>
          <t>2026-07-15</t>
        </is>
      </c>
      <c r="M1108" s="77" t="inlineStr">
        <is>
          <t>Y</t>
        </is>
      </c>
      <c r="N1108" s="136">
        <f>IF(ISNUMBER(timeseries!P58),timeseries!P58,"")</f>
        <v/>
      </c>
      <c r="O1108" s="77" t="inlineStr">
        <is>
          <t>EUR/MWh nominal</t>
        </is>
      </c>
      <c r="P1108" s="77" t="inlineStr">
        <is>
          <t>no sec.19 relief at 5,000h (fails Satz 2) — E1=E2</t>
        </is>
      </c>
    </row>
    <row r="1109" ht="15" customHeight="1" s="78">
      <c r="A1109" s="77" t="inlineStr">
        <is>
          <t>DE</t>
        </is>
      </c>
      <c r="B1109" s="77" t="n">
        <v>2022</v>
      </c>
      <c r="C1109" s="77" t="inlineStr">
        <is>
          <t>medium</t>
        </is>
      </c>
      <c r="D1109" s="77" t="inlineStr">
        <is>
          <t>E2</t>
        </is>
      </c>
      <c r="E1109" s="77" t="inlineStr">
        <is>
          <t>EEG-Umlage after BesAR (2012-13 sliding ~10 pct; 2014+ 1 GWh full + 15 pct above)</t>
        </is>
      </c>
      <c r="F1109" s="77" t="inlineStr">
        <is>
          <t>2 Gen capital recovery</t>
        </is>
      </c>
      <c r="G1109" s="77" t="inlineStr">
        <is>
          <t>renewables levy (Umlage)</t>
        </is>
      </c>
      <c r="H1109" s="77" t="inlineStr">
        <is>
          <t>i (relief = ii via Umlage on others)</t>
        </is>
      </c>
      <c r="I1109" s="77">
        <f>IF(ISNUMBER(N1109),N1109*fx_deflator!$J$17*fx_deflator!$M$17,"")</f>
        <v/>
      </c>
      <c r="J1109" s="77" t="inlineStr">
        <is>
          <t>EEG 2012 sec.41 / EEG 2014+ sec.64 (BesAR); D24/D25 conventions</t>
        </is>
      </c>
      <c r="K1109" s="77" t="inlineStr">
        <is>
          <t>stage4_de r21 + timeseries r45/62</t>
        </is>
      </c>
      <c r="L1109" s="77" t="inlineStr">
        <is>
          <t>2026-07-15</t>
        </is>
      </c>
      <c r="M1109" s="77" t="inlineStr">
        <is>
          <t>Y</t>
        </is>
      </c>
      <c r="N1109" s="136">
        <f>IF(ISNUMBER(timeseries!P62),timeseries!P62,"")</f>
        <v/>
      </c>
      <c r="O1109" s="77" t="inlineStr">
        <is>
          <t>EUR/MWh nominal</t>
        </is>
      </c>
    </row>
    <row r="1110" ht="15" customHeight="1" s="78">
      <c r="A1110" s="77" t="inlineStr">
        <is>
          <t>DE</t>
        </is>
      </c>
      <c r="B1110" s="77" t="n">
        <v>2022</v>
      </c>
      <c r="C1110" s="77" t="inlineStr">
        <is>
          <t>medium</t>
        </is>
      </c>
      <c r="D1110" s="77" t="inlineStr">
        <is>
          <t>E2</t>
        </is>
      </c>
      <c r="E1110" s="77" t="inlineStr">
        <is>
          <t>KWKG-Umlage (tranche blend at 20 GWh)</t>
        </is>
      </c>
      <c r="F1110" s="77" t="inlineStr">
        <is>
          <t>2 Gen capital recovery</t>
        </is>
      </c>
      <c r="G1110" s="77" t="inlineStr">
        <is>
          <t>CHP levy (Umlage)</t>
        </is>
      </c>
      <c r="H1110" s="77" t="inlineStr">
        <is>
          <t>i</t>
        </is>
      </c>
      <c r="I1110" s="77">
        <f>IF(ISNUMBER(N1110),N1110*fx_deflator!$J$17*fx_deflator!$M$17,"")</f>
        <v/>
      </c>
      <c r="J1110" s="77" t="inlineStr">
        <is>
          <t>netztransparenz Uebersicht KWKG-Aufschlaege 2002-2016 + per-year pages; tranche blends</t>
        </is>
      </c>
      <c r="K1110" s="77" t="inlineStr">
        <is>
          <t>stage4_de r22-24</t>
        </is>
      </c>
      <c r="L1110" s="77" t="inlineStr">
        <is>
          <t>2026-07-15</t>
        </is>
      </c>
      <c r="M1110" s="77" t="inlineStr">
        <is>
          <t>Y</t>
        </is>
      </c>
      <c r="N1110" s="77">
        <f>stage4_de!P22*10</f>
        <v/>
      </c>
      <c r="O1110" s="77" t="inlineStr">
        <is>
          <t>EUR/MWh nominal</t>
        </is>
      </c>
    </row>
    <row r="1111" ht="15" customHeight="1" s="78">
      <c r="A1111" s="77" t="inlineStr">
        <is>
          <t>DE</t>
        </is>
      </c>
      <c r="B1111" s="77" t="n">
        <v>2022</v>
      </c>
      <c r="C1111" s="77" t="inlineStr">
        <is>
          <t>medium</t>
        </is>
      </c>
      <c r="D1111" s="77" t="inlineStr">
        <is>
          <t>E2</t>
        </is>
      </c>
      <c r="E1111" s="77" t="inlineStr">
        <is>
          <t>sec.19 StromNEV-Umlage (blend at 20 GWh)</t>
        </is>
      </c>
      <c r="F1111" s="77" t="inlineStr">
        <is>
          <t>4 System services &amp; balancing</t>
        </is>
      </c>
      <c r="G1111" s="77" t="inlineStr">
        <is>
          <t>network levy (Umlage)</t>
        </is>
      </c>
      <c r="H1111" s="77" t="inlineStr">
        <is>
          <t>ii (pays for other users relief)</t>
        </is>
      </c>
      <c r="I1111" s="77">
        <f>IF(ISNUMBER(N1111),N1111*fx_deflator!$J$17*fx_deflator!$M$17,"")</f>
        <v/>
      </c>
      <c r="J1111" s="77" t="inlineStr">
        <is>
          <t>netztransparenz per-year Umlagen pages (A-prime/B-prime/C-prime)</t>
        </is>
      </c>
      <c r="K1111" s="77" t="inlineStr">
        <is>
          <t>stage4_de r25-27</t>
        </is>
      </c>
      <c r="L1111" s="77" t="inlineStr">
        <is>
          <t>2026-07-15</t>
        </is>
      </c>
      <c r="M1111" s="77" t="inlineStr">
        <is>
          <t>Y</t>
        </is>
      </c>
      <c r="N1111" s="77">
        <f>(1*stage4_de!P25+19*stage4_de!P27)/20*10</f>
        <v/>
      </c>
      <c r="O1111" s="77" t="inlineStr">
        <is>
          <t>EUR/MWh nominal</t>
        </is>
      </c>
    </row>
    <row r="1112" ht="15" customHeight="1" s="78">
      <c r="A1112" s="77" t="inlineStr">
        <is>
          <t>DE</t>
        </is>
      </c>
      <c r="B1112" s="77" t="n">
        <v>2022</v>
      </c>
      <c r="C1112" s="77" t="inlineStr">
        <is>
          <t>medium</t>
        </is>
      </c>
      <c r="D1112" s="77" t="inlineStr">
        <is>
          <t>E2</t>
        </is>
      </c>
      <c r="E1112" s="77" t="inlineStr">
        <is>
          <t>Offshore-Netzumlage (blend at 20 GWh to 2018)</t>
        </is>
      </c>
      <c r="F1112" s="77" t="inlineStr">
        <is>
          <t>2 Gen capital recovery</t>
        </is>
      </c>
      <c r="G1112" s="77" t="inlineStr">
        <is>
          <t>offshore grid levy (Umlage)</t>
        </is>
      </c>
      <c r="H1112" s="77" t="inlineStr">
        <is>
          <t>i</t>
        </is>
      </c>
      <c r="I1112" s="77">
        <f>IF(ISNUMBER(N1112),N1112*fx_deflator!$J$17*fx_deflator!$M$17,"")</f>
        <v/>
      </c>
      <c r="J1112" s="77" t="inlineStr">
        <is>
          <t>netztransparenz Offshore-Umlage per-year pages</t>
        </is>
      </c>
      <c r="K1112" s="77" t="inlineStr">
        <is>
          <t>stage4_de r28-30</t>
        </is>
      </c>
      <c r="L1112" s="77" t="inlineStr">
        <is>
          <t>2026-07-15</t>
        </is>
      </c>
      <c r="M1112" s="77" t="inlineStr">
        <is>
          <t>Y</t>
        </is>
      </c>
      <c r="N1112" s="77">
        <f>stage4_de!P28*10</f>
        <v/>
      </c>
      <c r="O1112" s="77" t="inlineStr">
        <is>
          <t>EUR/MWh nominal</t>
        </is>
      </c>
    </row>
    <row r="1113" ht="15" customHeight="1" s="78">
      <c r="A1113" s="77" t="inlineStr">
        <is>
          <t>DE</t>
        </is>
      </c>
      <c r="B1113" s="77" t="n">
        <v>2022</v>
      </c>
      <c r="C1113" s="77" t="inlineStr">
        <is>
          <t>medium</t>
        </is>
      </c>
      <c r="D1113" s="77" t="inlineStr">
        <is>
          <t>E2</t>
        </is>
      </c>
      <c r="E1113" s="77" t="inlineStr">
        <is>
          <t>AbLaV-Umlage</t>
        </is>
      </c>
      <c r="F1113" s="77" t="inlineStr">
        <is>
          <t>4 System services &amp; balancing</t>
        </is>
      </c>
      <c r="G1113" s="77" t="inlineStr">
        <is>
          <t>interruptible-load levy (Umlage)</t>
        </is>
      </c>
      <c r="H1113" s="77" t="inlineStr">
        <is>
          <t>i</t>
        </is>
      </c>
      <c r="I1113" s="77">
        <f>IF(ISNUMBER(N1113),N1113*fx_deflator!$J$17*fx_deflator!$M$17,"")</f>
        <v/>
      </c>
      <c r="J1113" s="77" t="inlineStr">
        <is>
          <t>netztransparenz AbLaV-Umlage per-year pages (ends 2022)</t>
        </is>
      </c>
      <c r="K1113" s="77" t="inlineStr">
        <is>
          <t>stage4_de r31</t>
        </is>
      </c>
      <c r="L1113" s="77" t="inlineStr">
        <is>
          <t>2026-07-15</t>
        </is>
      </c>
      <c r="M1113" s="77" t="inlineStr">
        <is>
          <t>N</t>
        </is>
      </c>
      <c r="N1113" s="77">
        <f>IF(ISNUMBER(stage4_de!P31),stage4_de!P31*10,"")</f>
        <v/>
      </c>
      <c r="O1113" s="77" t="inlineStr">
        <is>
          <t>EUR/MWh nominal</t>
        </is>
      </c>
    </row>
    <row r="1114" ht="15" customHeight="1" s="78">
      <c r="A1114" s="77" t="inlineStr">
        <is>
          <t>DE</t>
        </is>
      </c>
      <c r="B1114" s="77" t="n">
        <v>2022</v>
      </c>
      <c r="C1114" s="77" t="inlineStr">
        <is>
          <t>medium</t>
        </is>
      </c>
      <c r="D1114" s="77" t="inlineStr">
        <is>
          <t>E2</t>
        </is>
      </c>
      <c r="E1114" s="77" t="inlineStr">
        <is>
          <t>Stromsteuer relieved (sec.9b)</t>
        </is>
      </c>
      <c r="F1114" s="77" t="inlineStr">
        <is>
          <t>5 General taxation &amp; levies</t>
        </is>
      </c>
      <c r="G1114" s="77" t="inlineStr">
        <is>
          <t>electricity tax</t>
        </is>
      </c>
      <c r="H1114" s="77" t="inlineStr">
        <is>
          <t>i (relief = foregone tax, iii)</t>
        </is>
      </c>
      <c r="I1114" s="77">
        <f>IF(ISNUMBER(N1114),N1114*fx_deflator!$J$17*fx_deflator!$M$17,"")</f>
        <v/>
      </c>
      <c r="J1114" s="77" t="inlineStr">
        <is>
          <t>StromStG sec.3/sec.9b (BGBl. 2025 I Nr. 340: 0.50 permanent from 2026); gesetze-im-internet.de</t>
        </is>
      </c>
      <c r="K1114" s="77" t="inlineStr">
        <is>
          <t>stage4_de r34-35</t>
        </is>
      </c>
      <c r="L1114" s="77" t="inlineStr">
        <is>
          <t>2026-07-15</t>
        </is>
      </c>
      <c r="M1114" s="77" t="inlineStr">
        <is>
          <t>N</t>
        </is>
      </c>
      <c r="N1114" s="77">
        <f>IF(ISNUMBER(stage4_de!P35),stage4_de!P35,"")</f>
        <v/>
      </c>
      <c r="O1114" s="77" t="inlineStr">
        <is>
          <t>EUR/MWh nominal</t>
        </is>
      </c>
    </row>
    <row r="1115" ht="15" customHeight="1" s="78">
      <c r="A1115" s="77" t="inlineStr">
        <is>
          <t>DE</t>
        </is>
      </c>
      <c r="B1115" s="77" t="n">
        <v>2022</v>
      </c>
      <c r="C1115" s="77" t="inlineStr">
        <is>
          <t>medium</t>
        </is>
      </c>
      <c r="D1115" s="77" t="inlineStr">
        <is>
          <t>E2</t>
        </is>
      </c>
      <c r="E1115" s="77" t="inlineStr">
        <is>
          <t>Konzessionsabgabe (0 via Grenzpreis)</t>
        </is>
      </c>
      <c r="F1115" s="77" t="inlineStr">
        <is>
          <t>5 General taxation &amp; levies</t>
        </is>
      </c>
      <c r="G1115" s="77" t="inlineStr">
        <is>
          <t>concession fee</t>
        </is>
      </c>
      <c r="H1115" s="77" t="inlineStr">
        <is>
          <t>i</t>
        </is>
      </c>
      <c r="I1115" s="77">
        <f>IF(ISNUMBER(N1115),N1115*fx_deflator!$J$17*fx_deflator!$M$17,"")</f>
        <v/>
      </c>
      <c r="J1115" s="77" t="inlineStr">
        <is>
          <t>KAV sec.2(3)/(4) Grenzpreis rule -&gt; 0 for Sondervertragskunden</t>
        </is>
      </c>
      <c r="K1115" s="77" t="inlineStr">
        <is>
          <t>stage4_de r36</t>
        </is>
      </c>
      <c r="L1115" s="77" t="inlineStr">
        <is>
          <t>2026-07-15</t>
        </is>
      </c>
      <c r="M1115" s="77" t="inlineStr">
        <is>
          <t>N</t>
        </is>
      </c>
      <c r="N1115" s="77">
        <f>IF(ISNUMBER(stage4_de!P36),stage4_de!P36*10,"")</f>
        <v/>
      </c>
      <c r="O1115" s="77" t="inlineStr">
        <is>
          <t>EUR/MWh nominal</t>
        </is>
      </c>
    </row>
    <row r="1116" ht="15" customHeight="1" s="78">
      <c r="A1116" s="77" t="inlineStr">
        <is>
          <t>DE</t>
        </is>
      </c>
      <c r="B1116" s="77" t="n">
        <v>2023</v>
      </c>
      <c r="C1116" s="77" t="inlineStr">
        <is>
          <t>medium</t>
        </is>
      </c>
      <c r="D1116" s="77" t="inlineStr">
        <is>
          <t>E2</t>
        </is>
      </c>
      <c r="E1116" s="77" t="inlineStr">
        <is>
          <t>Wholesale (as large)</t>
        </is>
      </c>
      <c r="F1116" s="77" t="inlineStr">
        <is>
          <t>1 Commodity</t>
        </is>
      </c>
      <c r="G1116" s="77" t="inlineStr">
        <is>
          <t>wholesale market</t>
        </is>
      </c>
      <c r="H1116" s="77" t="inlineStr">
        <is>
          <t>i</t>
        </is>
      </c>
      <c r="I1116" s="77">
        <f>IF(ISNUMBER(N1116),N1116*fx_deflator!$J$18*fx_deflator!$M$18,"")</f>
        <v/>
      </c>
      <c r="J1116" s="77" t="inlineStr">
        <is>
          <t>BNetzA Monitoringberichte — Phelix base front-year by trading yr -&gt; delivery yr; 2026 = D29</t>
        </is>
      </c>
      <c r="K1116" s="77" t="inlineStr">
        <is>
          <t>stage4_de r7</t>
        </is>
      </c>
      <c r="L1116" s="77" t="inlineStr">
        <is>
          <t>2026-07-15</t>
        </is>
      </c>
      <c r="M1116" s="77" t="inlineStr">
        <is>
          <t>Y</t>
        </is>
      </c>
      <c r="N1116" s="136">
        <f>IF(ISNUMBER(timeseries!Q57),timeseries!Q57,"")</f>
        <v/>
      </c>
      <c r="O1116" s="77" t="inlineStr">
        <is>
          <t>EUR/MWh nominal</t>
        </is>
      </c>
    </row>
    <row r="1117" ht="15" customHeight="1" s="78">
      <c r="A1117" s="77" t="inlineStr">
        <is>
          <t>DE</t>
        </is>
      </c>
      <c r="B1117" s="77" t="n">
        <v>2023</v>
      </c>
      <c r="C1117" s="77" t="inlineStr">
        <is>
          <t>medium</t>
        </is>
      </c>
      <c r="D1117" s="77" t="inlineStr">
        <is>
          <t>E2</t>
        </is>
      </c>
      <c r="E1117" s="77" t="inlineStr">
        <is>
          <t>Netzentgelte MS (Westnetz; MB bridge 2010-12)</t>
        </is>
      </c>
      <c r="F1117" s="77" t="inlineStr">
        <is>
          <t>3 Network</t>
        </is>
      </c>
      <c r="G1117" s="77" t="inlineStr">
        <is>
          <t>distribution network charge</t>
        </is>
      </c>
      <c r="H1117" s="77" t="inlineStr">
        <is>
          <t>i</t>
        </is>
      </c>
      <c r="I1117" s="77">
        <f>IF(ISNUMBER(N1117),N1117*fx_deflator!$J$18*fx_deflator!$M$18,"")</f>
        <v/>
      </c>
      <c r="J1117" s="77" t="inlineStr">
        <is>
          <t>Westnetz Preisblaetter (2013+, Wayback); BNetzA MB national avg bridge 2010-12 (D20)</t>
        </is>
      </c>
      <c r="K1117" s="77" t="inlineStr">
        <is>
          <t>stage4_de r15-17</t>
        </is>
      </c>
      <c r="L1117" s="77" t="inlineStr">
        <is>
          <t>2026-07-15</t>
        </is>
      </c>
      <c r="M1117" s="77" t="inlineStr">
        <is>
          <t>Y</t>
        </is>
      </c>
      <c r="N1117" s="136">
        <f>IF(ISNUMBER(timeseries!Q58),timeseries!Q58,"")</f>
        <v/>
      </c>
      <c r="O1117" s="77" t="inlineStr">
        <is>
          <t>EUR/MWh nominal</t>
        </is>
      </c>
      <c r="P1117" s="77" t="inlineStr">
        <is>
          <t>no sec.19 relief at 5,000h (fails Satz 2) — E1=E2</t>
        </is>
      </c>
    </row>
    <row r="1118" ht="15" customHeight="1" s="78">
      <c r="A1118" s="77" t="inlineStr">
        <is>
          <t>DE</t>
        </is>
      </c>
      <c r="B1118" s="77" t="n">
        <v>2023</v>
      </c>
      <c r="C1118" s="77" t="inlineStr">
        <is>
          <t>medium</t>
        </is>
      </c>
      <c r="D1118" s="77" t="inlineStr">
        <is>
          <t>E2</t>
        </is>
      </c>
      <c r="E1118" s="77" t="inlineStr">
        <is>
          <t>EEG-Umlage after BesAR (2012-13 sliding ~10 pct; 2014+ 1 GWh full + 15 pct above)</t>
        </is>
      </c>
      <c r="F1118" s="77" t="inlineStr">
        <is>
          <t>2 Gen capital recovery</t>
        </is>
      </c>
      <c r="G1118" s="77" t="inlineStr">
        <is>
          <t>renewables levy (Umlage)</t>
        </is>
      </c>
      <c r="H1118" s="77" t="inlineStr">
        <is>
          <t>i (relief = ii via Umlage on others)</t>
        </is>
      </c>
      <c r="I1118" s="77">
        <f>IF(ISNUMBER(N1118),N1118*fx_deflator!$J$18*fx_deflator!$M$18,"")</f>
        <v/>
      </c>
      <c r="J1118" s="77" t="inlineStr">
        <is>
          <t>EEG 2012 sec.41 / EEG 2014+ sec.64 (BesAR); D24/D25 conventions</t>
        </is>
      </c>
      <c r="K1118" s="77" t="inlineStr">
        <is>
          <t>stage4_de r21 + timeseries r45/62</t>
        </is>
      </c>
      <c r="L1118" s="77" t="inlineStr">
        <is>
          <t>2026-07-15</t>
        </is>
      </c>
      <c r="M1118" s="77" t="inlineStr">
        <is>
          <t>Y</t>
        </is>
      </c>
      <c r="N1118" s="136">
        <f>IF(ISNUMBER(timeseries!Q62),timeseries!Q62,"")</f>
        <v/>
      </c>
      <c r="O1118" s="77" t="inlineStr">
        <is>
          <t>EUR/MWh nominal</t>
        </is>
      </c>
    </row>
    <row r="1119" ht="15" customHeight="1" s="78">
      <c r="A1119" s="77" t="inlineStr">
        <is>
          <t>DE</t>
        </is>
      </c>
      <c r="B1119" s="77" t="n">
        <v>2023</v>
      </c>
      <c r="C1119" s="77" t="inlineStr">
        <is>
          <t>medium</t>
        </is>
      </c>
      <c r="D1119" s="77" t="inlineStr">
        <is>
          <t>E2</t>
        </is>
      </c>
      <c r="E1119" s="77" t="inlineStr">
        <is>
          <t>KWKG-Umlage (tranche blend at 20 GWh)</t>
        </is>
      </c>
      <c r="F1119" s="77" t="inlineStr">
        <is>
          <t>2 Gen capital recovery</t>
        </is>
      </c>
      <c r="G1119" s="77" t="inlineStr">
        <is>
          <t>CHP levy (Umlage)</t>
        </is>
      </c>
      <c r="H1119" s="77" t="inlineStr">
        <is>
          <t>i</t>
        </is>
      </c>
      <c r="I1119" s="77">
        <f>IF(ISNUMBER(N1119),N1119*fx_deflator!$J$18*fx_deflator!$M$18,"")</f>
        <v/>
      </c>
      <c r="J1119" s="77" t="inlineStr">
        <is>
          <t>netztransparenz Uebersicht KWKG-Aufschlaege 2002-2016 + per-year pages; tranche blends</t>
        </is>
      </c>
      <c r="K1119" s="77" t="inlineStr">
        <is>
          <t>stage4_de r22-24</t>
        </is>
      </c>
      <c r="L1119" s="77" t="inlineStr">
        <is>
          <t>2026-07-15</t>
        </is>
      </c>
      <c r="M1119" s="77" t="inlineStr">
        <is>
          <t>Y</t>
        </is>
      </c>
      <c r="N1119" s="77">
        <f>stage4_de!Q22*10</f>
        <v/>
      </c>
      <c r="O1119" s="77" t="inlineStr">
        <is>
          <t>EUR/MWh nominal</t>
        </is>
      </c>
    </row>
    <row r="1120" ht="15" customHeight="1" s="78">
      <c r="A1120" s="77" t="inlineStr">
        <is>
          <t>DE</t>
        </is>
      </c>
      <c r="B1120" s="77" t="n">
        <v>2023</v>
      </c>
      <c r="C1120" s="77" t="inlineStr">
        <is>
          <t>medium</t>
        </is>
      </c>
      <c r="D1120" s="77" t="inlineStr">
        <is>
          <t>E2</t>
        </is>
      </c>
      <c r="E1120" s="77" t="inlineStr">
        <is>
          <t>sec.19 StromNEV-Umlage (blend at 20 GWh)</t>
        </is>
      </c>
      <c r="F1120" s="77" t="inlineStr">
        <is>
          <t>4 System services &amp; balancing</t>
        </is>
      </c>
      <c r="G1120" s="77" t="inlineStr">
        <is>
          <t>network levy (Umlage)</t>
        </is>
      </c>
      <c r="H1120" s="77" t="inlineStr">
        <is>
          <t>ii (pays for other users relief)</t>
        </is>
      </c>
      <c r="I1120" s="77">
        <f>IF(ISNUMBER(N1120),N1120*fx_deflator!$J$18*fx_deflator!$M$18,"")</f>
        <v/>
      </c>
      <c r="J1120" s="77" t="inlineStr">
        <is>
          <t>netztransparenz per-year Umlagen pages (A-prime/B-prime/C-prime)</t>
        </is>
      </c>
      <c r="K1120" s="77" t="inlineStr">
        <is>
          <t>stage4_de r25-27</t>
        </is>
      </c>
      <c r="L1120" s="77" t="inlineStr">
        <is>
          <t>2026-07-15</t>
        </is>
      </c>
      <c r="M1120" s="77" t="inlineStr">
        <is>
          <t>Y</t>
        </is>
      </c>
      <c r="N1120" s="77">
        <f>(1*stage4_de!Q25+19*stage4_de!Q27)/20*10</f>
        <v/>
      </c>
      <c r="O1120" s="77" t="inlineStr">
        <is>
          <t>EUR/MWh nominal</t>
        </is>
      </c>
    </row>
    <row r="1121" ht="15" customHeight="1" s="78">
      <c r="A1121" s="77" t="inlineStr">
        <is>
          <t>DE</t>
        </is>
      </c>
      <c r="B1121" s="77" t="n">
        <v>2023</v>
      </c>
      <c r="C1121" s="77" t="inlineStr">
        <is>
          <t>medium</t>
        </is>
      </c>
      <c r="D1121" s="77" t="inlineStr">
        <is>
          <t>E2</t>
        </is>
      </c>
      <c r="E1121" s="77" t="inlineStr">
        <is>
          <t>Offshore-Netzumlage (blend at 20 GWh to 2018)</t>
        </is>
      </c>
      <c r="F1121" s="77" t="inlineStr">
        <is>
          <t>2 Gen capital recovery</t>
        </is>
      </c>
      <c r="G1121" s="77" t="inlineStr">
        <is>
          <t>offshore grid levy (Umlage)</t>
        </is>
      </c>
      <c r="H1121" s="77" t="inlineStr">
        <is>
          <t>i</t>
        </is>
      </c>
      <c r="I1121" s="77">
        <f>IF(ISNUMBER(N1121),N1121*fx_deflator!$J$18*fx_deflator!$M$18,"")</f>
        <v/>
      </c>
      <c r="J1121" s="77" t="inlineStr">
        <is>
          <t>netztransparenz Offshore-Umlage per-year pages</t>
        </is>
      </c>
      <c r="K1121" s="77" t="inlineStr">
        <is>
          <t>stage4_de r28-30</t>
        </is>
      </c>
      <c r="L1121" s="77" t="inlineStr">
        <is>
          <t>2026-07-15</t>
        </is>
      </c>
      <c r="M1121" s="77" t="inlineStr">
        <is>
          <t>Y</t>
        </is>
      </c>
      <c r="N1121" s="77">
        <f>stage4_de!Q28*10</f>
        <v/>
      </c>
      <c r="O1121" s="77" t="inlineStr">
        <is>
          <t>EUR/MWh nominal</t>
        </is>
      </c>
    </row>
    <row r="1122" ht="15" customHeight="1" s="78">
      <c r="A1122" s="77" t="inlineStr">
        <is>
          <t>DE</t>
        </is>
      </c>
      <c r="B1122" s="77" t="n">
        <v>2023</v>
      </c>
      <c r="C1122" s="77" t="inlineStr">
        <is>
          <t>medium</t>
        </is>
      </c>
      <c r="D1122" s="77" t="inlineStr">
        <is>
          <t>E2</t>
        </is>
      </c>
      <c r="E1122" s="77" t="inlineStr">
        <is>
          <t>AbLaV-Umlage</t>
        </is>
      </c>
      <c r="F1122" s="77" t="inlineStr">
        <is>
          <t>4 System services &amp; balancing</t>
        </is>
      </c>
      <c r="G1122" s="77" t="inlineStr">
        <is>
          <t>interruptible-load levy (Umlage)</t>
        </is>
      </c>
      <c r="H1122" s="77" t="inlineStr">
        <is>
          <t>i</t>
        </is>
      </c>
      <c r="I1122" s="77">
        <f>IF(ISNUMBER(N1122),N1122*fx_deflator!$J$18*fx_deflator!$M$18,"")</f>
        <v/>
      </c>
      <c r="J1122" s="77" t="inlineStr">
        <is>
          <t>netztransparenz AbLaV-Umlage per-year pages (ends 2022)</t>
        </is>
      </c>
      <c r="K1122" s="77" t="inlineStr">
        <is>
          <t>stage4_de r31</t>
        </is>
      </c>
      <c r="L1122" s="77" t="inlineStr">
        <is>
          <t>2026-07-15</t>
        </is>
      </c>
      <c r="M1122" s="77" t="inlineStr">
        <is>
          <t>N</t>
        </is>
      </c>
      <c r="N1122" s="77">
        <f>IF(ISNUMBER(stage4_de!Q31),stage4_de!Q31*10,"")</f>
        <v/>
      </c>
      <c r="O1122" s="77" t="inlineStr">
        <is>
          <t>EUR/MWh nominal</t>
        </is>
      </c>
    </row>
    <row r="1123" ht="15" customHeight="1" s="78">
      <c r="A1123" s="77" t="inlineStr">
        <is>
          <t>DE</t>
        </is>
      </c>
      <c r="B1123" s="77" t="n">
        <v>2023</v>
      </c>
      <c r="C1123" s="77" t="inlineStr">
        <is>
          <t>medium</t>
        </is>
      </c>
      <c r="D1123" s="77" t="inlineStr">
        <is>
          <t>E2</t>
        </is>
      </c>
      <c r="E1123" s="77" t="inlineStr">
        <is>
          <t>Stromsteuer relieved (sec.9b)</t>
        </is>
      </c>
      <c r="F1123" s="77" t="inlineStr">
        <is>
          <t>5 General taxation &amp; levies</t>
        </is>
      </c>
      <c r="G1123" s="77" t="inlineStr">
        <is>
          <t>electricity tax</t>
        </is>
      </c>
      <c r="H1123" s="77" t="inlineStr">
        <is>
          <t>i (relief = foregone tax, iii)</t>
        </is>
      </c>
      <c r="I1123" s="77">
        <f>IF(ISNUMBER(N1123),N1123*fx_deflator!$J$18*fx_deflator!$M$18,"")</f>
        <v/>
      </c>
      <c r="J1123" s="77" t="inlineStr">
        <is>
          <t>StromStG sec.3/sec.9b (BGBl. 2025 I Nr. 340: 0.50 permanent from 2026); gesetze-im-internet.de</t>
        </is>
      </c>
      <c r="K1123" s="77" t="inlineStr">
        <is>
          <t>stage4_de r34-35</t>
        </is>
      </c>
      <c r="L1123" s="77" t="inlineStr">
        <is>
          <t>2026-07-15</t>
        </is>
      </c>
      <c r="M1123" s="77" t="inlineStr">
        <is>
          <t>N</t>
        </is>
      </c>
      <c r="N1123" s="77">
        <f>IF(ISNUMBER(stage4_de!Q35),stage4_de!Q35,"")</f>
        <v/>
      </c>
      <c r="O1123" s="77" t="inlineStr">
        <is>
          <t>EUR/MWh nominal</t>
        </is>
      </c>
    </row>
    <row r="1124" ht="15" customHeight="1" s="78">
      <c r="A1124" s="77" t="inlineStr">
        <is>
          <t>DE</t>
        </is>
      </c>
      <c r="B1124" s="77" t="n">
        <v>2023</v>
      </c>
      <c r="C1124" s="77" t="inlineStr">
        <is>
          <t>medium</t>
        </is>
      </c>
      <c r="D1124" s="77" t="inlineStr">
        <is>
          <t>E2</t>
        </is>
      </c>
      <c r="E1124" s="77" t="inlineStr">
        <is>
          <t>Konzessionsabgabe (0 via Grenzpreis)</t>
        </is>
      </c>
      <c r="F1124" s="77" t="inlineStr">
        <is>
          <t>5 General taxation &amp; levies</t>
        </is>
      </c>
      <c r="G1124" s="77" t="inlineStr">
        <is>
          <t>concession fee</t>
        </is>
      </c>
      <c r="H1124" s="77" t="inlineStr">
        <is>
          <t>i</t>
        </is>
      </c>
      <c r="I1124" s="77">
        <f>IF(ISNUMBER(N1124),N1124*fx_deflator!$J$18*fx_deflator!$M$18,"")</f>
        <v/>
      </c>
      <c r="J1124" s="77" t="inlineStr">
        <is>
          <t>KAV sec.2(3)/(4) Grenzpreis rule -&gt; 0 for Sondervertragskunden</t>
        </is>
      </c>
      <c r="K1124" s="77" t="inlineStr">
        <is>
          <t>stage4_de r36</t>
        </is>
      </c>
      <c r="L1124" s="77" t="inlineStr">
        <is>
          <t>2026-07-15</t>
        </is>
      </c>
      <c r="M1124" s="77" t="inlineStr">
        <is>
          <t>N</t>
        </is>
      </c>
      <c r="N1124" s="77">
        <f>IF(ISNUMBER(stage4_de!Q36),stage4_de!Q36*10,"")</f>
        <v/>
      </c>
      <c r="O1124" s="77" t="inlineStr">
        <is>
          <t>EUR/MWh nominal</t>
        </is>
      </c>
    </row>
    <row r="1125" ht="15" customHeight="1" s="78">
      <c r="A1125" s="77" t="inlineStr">
        <is>
          <t>DE</t>
        </is>
      </c>
      <c r="B1125" s="77" t="n">
        <v>2024</v>
      </c>
      <c r="C1125" s="77" t="inlineStr">
        <is>
          <t>medium</t>
        </is>
      </c>
      <c r="D1125" s="77" t="inlineStr">
        <is>
          <t>E2</t>
        </is>
      </c>
      <c r="E1125" s="77" t="inlineStr">
        <is>
          <t>Wholesale (as large)</t>
        </is>
      </c>
      <c r="F1125" s="77" t="inlineStr">
        <is>
          <t>1 Commodity</t>
        </is>
      </c>
      <c r="G1125" s="77" t="inlineStr">
        <is>
          <t>wholesale market</t>
        </is>
      </c>
      <c r="H1125" s="77" t="inlineStr">
        <is>
          <t>i</t>
        </is>
      </c>
      <c r="I1125" s="77">
        <f>IF(ISNUMBER(N1125),N1125*fx_deflator!$J$19*fx_deflator!$M$19,"")</f>
        <v/>
      </c>
      <c r="J1125" s="77" t="inlineStr">
        <is>
          <t>BNetzA Monitoringberichte — Phelix base front-year by trading yr -&gt; delivery yr; 2026 = D29</t>
        </is>
      </c>
      <c r="K1125" s="77" t="inlineStr">
        <is>
          <t>stage4_de r7</t>
        </is>
      </c>
      <c r="L1125" s="77" t="inlineStr">
        <is>
          <t>2026-07-15</t>
        </is>
      </c>
      <c r="M1125" s="77" t="inlineStr">
        <is>
          <t>Y</t>
        </is>
      </c>
      <c r="N1125" s="136">
        <f>IF(ISNUMBER(timeseries!R57),timeseries!R57,"")</f>
        <v/>
      </c>
      <c r="O1125" s="77" t="inlineStr">
        <is>
          <t>EUR/MWh nominal</t>
        </is>
      </c>
    </row>
    <row r="1126" ht="15" customHeight="1" s="78">
      <c r="A1126" s="77" t="inlineStr">
        <is>
          <t>DE</t>
        </is>
      </c>
      <c r="B1126" s="77" t="n">
        <v>2024</v>
      </c>
      <c r="C1126" s="77" t="inlineStr">
        <is>
          <t>medium</t>
        </is>
      </c>
      <c r="D1126" s="77" t="inlineStr">
        <is>
          <t>E2</t>
        </is>
      </c>
      <c r="E1126" s="77" t="inlineStr">
        <is>
          <t>Netzentgelte MS (Westnetz; MB bridge 2010-12)</t>
        </is>
      </c>
      <c r="F1126" s="77" t="inlineStr">
        <is>
          <t>3 Network</t>
        </is>
      </c>
      <c r="G1126" s="77" t="inlineStr">
        <is>
          <t>distribution network charge</t>
        </is>
      </c>
      <c r="H1126" s="77" t="inlineStr">
        <is>
          <t>i</t>
        </is>
      </c>
      <c r="I1126" s="77">
        <f>IF(ISNUMBER(N1126),N1126*fx_deflator!$J$19*fx_deflator!$M$19,"")</f>
        <v/>
      </c>
      <c r="J1126" s="77" t="inlineStr">
        <is>
          <t>Westnetz Preisblaetter (2013+, Wayback); BNetzA MB national avg bridge 2010-12 (D20)</t>
        </is>
      </c>
      <c r="K1126" s="77" t="inlineStr">
        <is>
          <t>stage4_de r15-17</t>
        </is>
      </c>
      <c r="L1126" s="77" t="inlineStr">
        <is>
          <t>2026-07-15</t>
        </is>
      </c>
      <c r="M1126" s="77" t="inlineStr">
        <is>
          <t>Y</t>
        </is>
      </c>
      <c r="N1126" s="136">
        <f>IF(ISNUMBER(timeseries!R58),timeseries!R58,"")</f>
        <v/>
      </c>
      <c r="O1126" s="77" t="inlineStr">
        <is>
          <t>EUR/MWh nominal</t>
        </is>
      </c>
      <c r="P1126" s="77" t="inlineStr">
        <is>
          <t>no sec.19 relief at 5,000h (fails Satz 2) — E1=E2</t>
        </is>
      </c>
    </row>
    <row r="1127" ht="15" customHeight="1" s="78">
      <c r="A1127" s="77" t="inlineStr">
        <is>
          <t>DE</t>
        </is>
      </c>
      <c r="B1127" s="77" t="n">
        <v>2024</v>
      </c>
      <c r="C1127" s="77" t="inlineStr">
        <is>
          <t>medium</t>
        </is>
      </c>
      <c r="D1127" s="77" t="inlineStr">
        <is>
          <t>E2</t>
        </is>
      </c>
      <c r="E1127" s="77" t="inlineStr">
        <is>
          <t>EEG-Umlage after BesAR (2012-13 sliding ~10 pct; 2014+ 1 GWh full + 15 pct above)</t>
        </is>
      </c>
      <c r="F1127" s="77" t="inlineStr">
        <is>
          <t>2 Gen capital recovery</t>
        </is>
      </c>
      <c r="G1127" s="77" t="inlineStr">
        <is>
          <t>renewables levy (Umlage)</t>
        </is>
      </c>
      <c r="H1127" s="77" t="inlineStr">
        <is>
          <t>i (relief = ii via Umlage on others)</t>
        </is>
      </c>
      <c r="I1127" s="77">
        <f>IF(ISNUMBER(N1127),N1127*fx_deflator!$J$19*fx_deflator!$M$19,"")</f>
        <v/>
      </c>
      <c r="J1127" s="77" t="inlineStr">
        <is>
          <t>EEG 2012 sec.41 / EEG 2014+ sec.64 (BesAR); D24/D25 conventions</t>
        </is>
      </c>
      <c r="K1127" s="77" t="inlineStr">
        <is>
          <t>stage4_de r21 + timeseries r45/62</t>
        </is>
      </c>
      <c r="L1127" s="77" t="inlineStr">
        <is>
          <t>2026-07-15</t>
        </is>
      </c>
      <c r="M1127" s="77" t="inlineStr">
        <is>
          <t>Y</t>
        </is>
      </c>
      <c r="N1127" s="136">
        <f>IF(ISNUMBER(timeseries!R62),timeseries!R62,"")</f>
        <v/>
      </c>
      <c r="O1127" s="77" t="inlineStr">
        <is>
          <t>EUR/MWh nominal</t>
        </is>
      </c>
    </row>
    <row r="1128" ht="15" customHeight="1" s="78">
      <c r="A1128" s="77" t="inlineStr">
        <is>
          <t>DE</t>
        </is>
      </c>
      <c r="B1128" s="77" t="n">
        <v>2024</v>
      </c>
      <c r="C1128" s="77" t="inlineStr">
        <is>
          <t>medium</t>
        </is>
      </c>
      <c r="D1128" s="77" t="inlineStr">
        <is>
          <t>E2</t>
        </is>
      </c>
      <c r="E1128" s="77" t="inlineStr">
        <is>
          <t>KWKG-Umlage (tranche blend at 20 GWh)</t>
        </is>
      </c>
      <c r="F1128" s="77" t="inlineStr">
        <is>
          <t>2 Gen capital recovery</t>
        </is>
      </c>
      <c r="G1128" s="77" t="inlineStr">
        <is>
          <t>CHP levy (Umlage)</t>
        </is>
      </c>
      <c r="H1128" s="77" t="inlineStr">
        <is>
          <t>i</t>
        </is>
      </c>
      <c r="I1128" s="77">
        <f>IF(ISNUMBER(N1128),N1128*fx_deflator!$J$19*fx_deflator!$M$19,"")</f>
        <v/>
      </c>
      <c r="J1128" s="77" t="inlineStr">
        <is>
          <t>netztransparenz Uebersicht KWKG-Aufschlaege 2002-2016 + per-year pages; tranche blends</t>
        </is>
      </c>
      <c r="K1128" s="77" t="inlineStr">
        <is>
          <t>stage4_de r22-24</t>
        </is>
      </c>
      <c r="L1128" s="77" t="inlineStr">
        <is>
          <t>2026-07-15</t>
        </is>
      </c>
      <c r="M1128" s="77" t="inlineStr">
        <is>
          <t>Y</t>
        </is>
      </c>
      <c r="N1128" s="77">
        <f>stage4_de!R22*10</f>
        <v/>
      </c>
      <c r="O1128" s="77" t="inlineStr">
        <is>
          <t>EUR/MWh nominal</t>
        </is>
      </c>
    </row>
    <row r="1129" ht="15" customHeight="1" s="78">
      <c r="A1129" s="77" t="inlineStr">
        <is>
          <t>DE</t>
        </is>
      </c>
      <c r="B1129" s="77" t="n">
        <v>2024</v>
      </c>
      <c r="C1129" s="77" t="inlineStr">
        <is>
          <t>medium</t>
        </is>
      </c>
      <c r="D1129" s="77" t="inlineStr">
        <is>
          <t>E2</t>
        </is>
      </c>
      <c r="E1129" s="77" t="inlineStr">
        <is>
          <t>sec.19 StromNEV-Umlage (blend at 20 GWh)</t>
        </is>
      </c>
      <c r="F1129" s="77" t="inlineStr">
        <is>
          <t>4 System services &amp; balancing</t>
        </is>
      </c>
      <c r="G1129" s="77" t="inlineStr">
        <is>
          <t>network levy (Umlage)</t>
        </is>
      </c>
      <c r="H1129" s="77" t="inlineStr">
        <is>
          <t>ii (pays for other users relief)</t>
        </is>
      </c>
      <c r="I1129" s="77">
        <f>IF(ISNUMBER(N1129),N1129*fx_deflator!$J$19*fx_deflator!$M$19,"")</f>
        <v/>
      </c>
      <c r="J1129" s="77" t="inlineStr">
        <is>
          <t>netztransparenz per-year Umlagen pages (A-prime/B-prime/C-prime)</t>
        </is>
      </c>
      <c r="K1129" s="77" t="inlineStr">
        <is>
          <t>stage4_de r25-27</t>
        </is>
      </c>
      <c r="L1129" s="77" t="inlineStr">
        <is>
          <t>2026-07-15</t>
        </is>
      </c>
      <c r="M1129" s="77" t="inlineStr">
        <is>
          <t>Y</t>
        </is>
      </c>
      <c r="N1129" s="77">
        <f>(1*stage4_de!R25+19*stage4_de!R27)/20*10</f>
        <v/>
      </c>
      <c r="O1129" s="77" t="inlineStr">
        <is>
          <t>EUR/MWh nominal</t>
        </is>
      </c>
    </row>
    <row r="1130" ht="15" customHeight="1" s="78">
      <c r="A1130" s="77" t="inlineStr">
        <is>
          <t>DE</t>
        </is>
      </c>
      <c r="B1130" s="77" t="n">
        <v>2024</v>
      </c>
      <c r="C1130" s="77" t="inlineStr">
        <is>
          <t>medium</t>
        </is>
      </c>
      <c r="D1130" s="77" t="inlineStr">
        <is>
          <t>E2</t>
        </is>
      </c>
      <c r="E1130" s="77" t="inlineStr">
        <is>
          <t>Offshore-Netzumlage (blend at 20 GWh to 2018)</t>
        </is>
      </c>
      <c r="F1130" s="77" t="inlineStr">
        <is>
          <t>2 Gen capital recovery</t>
        </is>
      </c>
      <c r="G1130" s="77" t="inlineStr">
        <is>
          <t>offshore grid levy (Umlage)</t>
        </is>
      </c>
      <c r="H1130" s="77" t="inlineStr">
        <is>
          <t>i</t>
        </is>
      </c>
      <c r="I1130" s="77">
        <f>IF(ISNUMBER(N1130),N1130*fx_deflator!$J$19*fx_deflator!$M$19,"")</f>
        <v/>
      </c>
      <c r="J1130" s="77" t="inlineStr">
        <is>
          <t>netztransparenz Offshore-Umlage per-year pages</t>
        </is>
      </c>
      <c r="K1130" s="77" t="inlineStr">
        <is>
          <t>stage4_de r28-30</t>
        </is>
      </c>
      <c r="L1130" s="77" t="inlineStr">
        <is>
          <t>2026-07-15</t>
        </is>
      </c>
      <c r="M1130" s="77" t="inlineStr">
        <is>
          <t>Y</t>
        </is>
      </c>
      <c r="N1130" s="77">
        <f>stage4_de!R28*10</f>
        <v/>
      </c>
      <c r="O1130" s="77" t="inlineStr">
        <is>
          <t>EUR/MWh nominal</t>
        </is>
      </c>
    </row>
    <row r="1131" ht="15" customHeight="1" s="78">
      <c r="A1131" s="77" t="inlineStr">
        <is>
          <t>DE</t>
        </is>
      </c>
      <c r="B1131" s="77" t="n">
        <v>2024</v>
      </c>
      <c r="C1131" s="77" t="inlineStr">
        <is>
          <t>medium</t>
        </is>
      </c>
      <c r="D1131" s="77" t="inlineStr">
        <is>
          <t>E2</t>
        </is>
      </c>
      <c r="E1131" s="77" t="inlineStr">
        <is>
          <t>AbLaV-Umlage</t>
        </is>
      </c>
      <c r="F1131" s="77" t="inlineStr">
        <is>
          <t>4 System services &amp; balancing</t>
        </is>
      </c>
      <c r="G1131" s="77" t="inlineStr">
        <is>
          <t>interruptible-load levy (Umlage)</t>
        </is>
      </c>
      <c r="H1131" s="77" t="inlineStr">
        <is>
          <t>i</t>
        </is>
      </c>
      <c r="I1131" s="77">
        <f>IF(ISNUMBER(N1131),N1131*fx_deflator!$J$19*fx_deflator!$M$19,"")</f>
        <v/>
      </c>
      <c r="J1131" s="77" t="inlineStr">
        <is>
          <t>netztransparenz AbLaV-Umlage per-year pages (ends 2022)</t>
        </is>
      </c>
      <c r="K1131" s="77" t="inlineStr">
        <is>
          <t>stage4_de r31</t>
        </is>
      </c>
      <c r="L1131" s="77" t="inlineStr">
        <is>
          <t>2026-07-15</t>
        </is>
      </c>
      <c r="M1131" s="77" t="inlineStr">
        <is>
          <t>N</t>
        </is>
      </c>
      <c r="N1131" s="77">
        <f>IF(ISNUMBER(stage4_de!R31),stage4_de!R31*10,"")</f>
        <v/>
      </c>
      <c r="O1131" s="77" t="inlineStr">
        <is>
          <t>EUR/MWh nominal</t>
        </is>
      </c>
    </row>
    <row r="1132" ht="15" customHeight="1" s="78">
      <c r="A1132" s="77" t="inlineStr">
        <is>
          <t>DE</t>
        </is>
      </c>
      <c r="B1132" s="77" t="n">
        <v>2024</v>
      </c>
      <c r="C1132" s="77" t="inlineStr">
        <is>
          <t>medium</t>
        </is>
      </c>
      <c r="D1132" s="77" t="inlineStr">
        <is>
          <t>E2</t>
        </is>
      </c>
      <c r="E1132" s="77" t="inlineStr">
        <is>
          <t>Stromsteuer relieved (sec.9b)</t>
        </is>
      </c>
      <c r="F1132" s="77" t="inlineStr">
        <is>
          <t>5 General taxation &amp; levies</t>
        </is>
      </c>
      <c r="G1132" s="77" t="inlineStr">
        <is>
          <t>electricity tax</t>
        </is>
      </c>
      <c r="H1132" s="77" t="inlineStr">
        <is>
          <t>i (relief = foregone tax, iii)</t>
        </is>
      </c>
      <c r="I1132" s="77">
        <f>IF(ISNUMBER(N1132),N1132*fx_deflator!$J$19*fx_deflator!$M$19,"")</f>
        <v/>
      </c>
      <c r="J1132" s="77" t="inlineStr">
        <is>
          <t>StromStG sec.3/sec.9b (BGBl. 2025 I Nr. 340: 0.50 permanent from 2026); gesetze-im-internet.de</t>
        </is>
      </c>
      <c r="K1132" s="77" t="inlineStr">
        <is>
          <t>stage4_de r34-35</t>
        </is>
      </c>
      <c r="L1132" s="77" t="inlineStr">
        <is>
          <t>2026-07-15</t>
        </is>
      </c>
      <c r="M1132" s="77" t="inlineStr">
        <is>
          <t>N</t>
        </is>
      </c>
      <c r="N1132" s="77">
        <f>IF(ISNUMBER(stage4_de!R35),stage4_de!R35,"")</f>
        <v/>
      </c>
      <c r="O1132" s="77" t="inlineStr">
        <is>
          <t>EUR/MWh nominal</t>
        </is>
      </c>
    </row>
    <row r="1133" ht="15" customHeight="1" s="78">
      <c r="A1133" s="77" t="inlineStr">
        <is>
          <t>DE</t>
        </is>
      </c>
      <c r="B1133" s="77" t="n">
        <v>2024</v>
      </c>
      <c r="C1133" s="77" t="inlineStr">
        <is>
          <t>medium</t>
        </is>
      </c>
      <c r="D1133" s="77" t="inlineStr">
        <is>
          <t>E2</t>
        </is>
      </c>
      <c r="E1133" s="77" t="inlineStr">
        <is>
          <t>Konzessionsabgabe (0 via Grenzpreis)</t>
        </is>
      </c>
      <c r="F1133" s="77" t="inlineStr">
        <is>
          <t>5 General taxation &amp; levies</t>
        </is>
      </c>
      <c r="G1133" s="77" t="inlineStr">
        <is>
          <t>concession fee</t>
        </is>
      </c>
      <c r="H1133" s="77" t="inlineStr">
        <is>
          <t>i</t>
        </is>
      </c>
      <c r="I1133" s="77">
        <f>IF(ISNUMBER(N1133),N1133*fx_deflator!$J$19*fx_deflator!$M$19,"")</f>
        <v/>
      </c>
      <c r="J1133" s="77" t="inlineStr">
        <is>
          <t>KAV sec.2(3)/(4) Grenzpreis rule -&gt; 0 for Sondervertragskunden</t>
        </is>
      </c>
      <c r="K1133" s="77" t="inlineStr">
        <is>
          <t>stage4_de r36</t>
        </is>
      </c>
      <c r="L1133" s="77" t="inlineStr">
        <is>
          <t>2026-07-15</t>
        </is>
      </c>
      <c r="M1133" s="77" t="inlineStr">
        <is>
          <t>N</t>
        </is>
      </c>
      <c r="N1133" s="77">
        <f>IF(ISNUMBER(stage4_de!R36),stage4_de!R36*10,"")</f>
        <v/>
      </c>
      <c r="O1133" s="77" t="inlineStr">
        <is>
          <t>EUR/MWh nominal</t>
        </is>
      </c>
    </row>
    <row r="1134" ht="15" customHeight="1" s="78">
      <c r="A1134" s="77" t="inlineStr">
        <is>
          <t>DE</t>
        </is>
      </c>
      <c r="B1134" s="77" t="n">
        <v>2025</v>
      </c>
      <c r="C1134" s="77" t="inlineStr">
        <is>
          <t>medium</t>
        </is>
      </c>
      <c r="D1134" s="77" t="inlineStr">
        <is>
          <t>E2</t>
        </is>
      </c>
      <c r="E1134" s="77" t="inlineStr">
        <is>
          <t>Wholesale (as large)</t>
        </is>
      </c>
      <c r="F1134" s="77" t="inlineStr">
        <is>
          <t>1 Commodity</t>
        </is>
      </c>
      <c r="G1134" s="77" t="inlineStr">
        <is>
          <t>wholesale market</t>
        </is>
      </c>
      <c r="H1134" s="77" t="inlineStr">
        <is>
          <t>i</t>
        </is>
      </c>
      <c r="I1134" s="77">
        <f>IF(ISNUMBER(N1134),N1134*fx_deflator!$J$20*fx_deflator!$M$20,"")</f>
        <v/>
      </c>
      <c r="J1134" s="77" t="inlineStr">
        <is>
          <t>BNetzA Monitoringberichte — Phelix base front-year by trading yr -&gt; delivery yr; 2026 = D29</t>
        </is>
      </c>
      <c r="K1134" s="77" t="inlineStr">
        <is>
          <t>stage4_de r7</t>
        </is>
      </c>
      <c r="L1134" s="77" t="inlineStr">
        <is>
          <t>2026-07-15</t>
        </is>
      </c>
      <c r="M1134" s="77" t="inlineStr">
        <is>
          <t>Y</t>
        </is>
      </c>
      <c r="N1134" s="136">
        <f>IF(ISNUMBER(timeseries!S57),timeseries!S57,"")</f>
        <v/>
      </c>
      <c r="O1134" s="77" t="inlineStr">
        <is>
          <t>EUR/MWh nominal</t>
        </is>
      </c>
    </row>
    <row r="1135" ht="15" customHeight="1" s="78">
      <c r="A1135" s="77" t="inlineStr">
        <is>
          <t>DE</t>
        </is>
      </c>
      <c r="B1135" s="77" t="n">
        <v>2025</v>
      </c>
      <c r="C1135" s="77" t="inlineStr">
        <is>
          <t>medium</t>
        </is>
      </c>
      <c r="D1135" s="77" t="inlineStr">
        <is>
          <t>E2</t>
        </is>
      </c>
      <c r="E1135" s="77" t="inlineStr">
        <is>
          <t>Netzentgelte MS (Westnetz; MB bridge 2010-12)</t>
        </is>
      </c>
      <c r="F1135" s="77" t="inlineStr">
        <is>
          <t>3 Network</t>
        </is>
      </c>
      <c r="G1135" s="77" t="inlineStr">
        <is>
          <t>distribution network charge</t>
        </is>
      </c>
      <c r="H1135" s="77" t="inlineStr">
        <is>
          <t>i</t>
        </is>
      </c>
      <c r="I1135" s="77">
        <f>IF(ISNUMBER(N1135),N1135*fx_deflator!$J$20*fx_deflator!$M$20,"")</f>
        <v/>
      </c>
      <c r="J1135" s="77" t="inlineStr">
        <is>
          <t>Westnetz Preisblaetter (2013+, Wayback); BNetzA MB national avg bridge 2010-12 (D20)</t>
        </is>
      </c>
      <c r="K1135" s="77" t="inlineStr">
        <is>
          <t>stage4_de r15-17</t>
        </is>
      </c>
      <c r="L1135" s="77" t="inlineStr">
        <is>
          <t>2026-07-15</t>
        </is>
      </c>
      <c r="M1135" s="77" t="inlineStr">
        <is>
          <t>Y</t>
        </is>
      </c>
      <c r="N1135" s="136">
        <f>IF(ISNUMBER(timeseries!S58),timeseries!S58,"")</f>
        <v/>
      </c>
      <c r="O1135" s="77" t="inlineStr">
        <is>
          <t>EUR/MWh nominal</t>
        </is>
      </c>
      <c r="P1135" s="77" t="inlineStr">
        <is>
          <t>no sec.19 relief at 5,000h (fails Satz 2) — E1=E2</t>
        </is>
      </c>
    </row>
    <row r="1136" ht="15" customHeight="1" s="78">
      <c r="A1136" s="77" t="inlineStr">
        <is>
          <t>DE</t>
        </is>
      </c>
      <c r="B1136" s="77" t="n">
        <v>2025</v>
      </c>
      <c r="C1136" s="77" t="inlineStr">
        <is>
          <t>medium</t>
        </is>
      </c>
      <c r="D1136" s="77" t="inlineStr">
        <is>
          <t>E2</t>
        </is>
      </c>
      <c r="E1136" s="77" t="inlineStr">
        <is>
          <t>EEG-Umlage after BesAR (2012-13 sliding ~10 pct; 2014+ 1 GWh full + 15 pct above)</t>
        </is>
      </c>
      <c r="F1136" s="77" t="inlineStr">
        <is>
          <t>2 Gen capital recovery</t>
        </is>
      </c>
      <c r="G1136" s="77" t="inlineStr">
        <is>
          <t>renewables levy (Umlage)</t>
        </is>
      </c>
      <c r="H1136" s="77" t="inlineStr">
        <is>
          <t>i (relief = ii via Umlage on others)</t>
        </is>
      </c>
      <c r="I1136" s="77">
        <f>IF(ISNUMBER(N1136),N1136*fx_deflator!$J$20*fx_deflator!$M$20,"")</f>
        <v/>
      </c>
      <c r="J1136" s="77" t="inlineStr">
        <is>
          <t>EEG 2012 sec.41 / EEG 2014+ sec.64 (BesAR); D24/D25 conventions</t>
        </is>
      </c>
      <c r="K1136" s="77" t="inlineStr">
        <is>
          <t>stage4_de r21 + timeseries r45/62</t>
        </is>
      </c>
      <c r="L1136" s="77" t="inlineStr">
        <is>
          <t>2026-07-15</t>
        </is>
      </c>
      <c r="M1136" s="77" t="inlineStr">
        <is>
          <t>Y</t>
        </is>
      </c>
      <c r="N1136" s="136">
        <f>IF(ISNUMBER(timeseries!S62),timeseries!S62,"")</f>
        <v/>
      </c>
      <c r="O1136" s="77" t="inlineStr">
        <is>
          <t>EUR/MWh nominal</t>
        </is>
      </c>
    </row>
    <row r="1137" ht="15" customHeight="1" s="78">
      <c r="A1137" s="77" t="inlineStr">
        <is>
          <t>DE</t>
        </is>
      </c>
      <c r="B1137" s="77" t="n">
        <v>2025</v>
      </c>
      <c r="C1137" s="77" t="inlineStr">
        <is>
          <t>medium</t>
        </is>
      </c>
      <c r="D1137" s="77" t="inlineStr">
        <is>
          <t>E2</t>
        </is>
      </c>
      <c r="E1137" s="77" t="inlineStr">
        <is>
          <t>KWKG-Umlage (tranche blend at 20 GWh)</t>
        </is>
      </c>
      <c r="F1137" s="77" t="inlineStr">
        <is>
          <t>2 Gen capital recovery</t>
        </is>
      </c>
      <c r="G1137" s="77" t="inlineStr">
        <is>
          <t>CHP levy (Umlage)</t>
        </is>
      </c>
      <c r="H1137" s="77" t="inlineStr">
        <is>
          <t>i</t>
        </is>
      </c>
      <c r="I1137" s="77">
        <f>IF(ISNUMBER(N1137),N1137*fx_deflator!$J$20*fx_deflator!$M$20,"")</f>
        <v/>
      </c>
      <c r="J1137" s="77" t="inlineStr">
        <is>
          <t>netztransparenz Uebersicht KWKG-Aufschlaege 2002-2016 + per-year pages; tranche blends</t>
        </is>
      </c>
      <c r="K1137" s="77" t="inlineStr">
        <is>
          <t>stage4_de r22-24</t>
        </is>
      </c>
      <c r="L1137" s="77" t="inlineStr">
        <is>
          <t>2026-07-15</t>
        </is>
      </c>
      <c r="M1137" s="77" t="inlineStr">
        <is>
          <t>Y</t>
        </is>
      </c>
      <c r="N1137" s="77">
        <f>stage4_de!S22*10</f>
        <v/>
      </c>
      <c r="O1137" s="77" t="inlineStr">
        <is>
          <t>EUR/MWh nominal</t>
        </is>
      </c>
    </row>
    <row r="1138" ht="15" customHeight="1" s="78">
      <c r="A1138" s="77" t="inlineStr">
        <is>
          <t>DE</t>
        </is>
      </c>
      <c r="B1138" s="77" t="n">
        <v>2025</v>
      </c>
      <c r="C1138" s="77" t="inlineStr">
        <is>
          <t>medium</t>
        </is>
      </c>
      <c r="D1138" s="77" t="inlineStr">
        <is>
          <t>E2</t>
        </is>
      </c>
      <c r="E1138" s="77" t="inlineStr">
        <is>
          <t>sec.19 StromNEV-Umlage (blend at 20 GWh)</t>
        </is>
      </c>
      <c r="F1138" s="77" t="inlineStr">
        <is>
          <t>4 System services &amp; balancing</t>
        </is>
      </c>
      <c r="G1138" s="77" t="inlineStr">
        <is>
          <t>network levy (Umlage)</t>
        </is>
      </c>
      <c r="H1138" s="77" t="inlineStr">
        <is>
          <t>ii (pays for other users relief)</t>
        </is>
      </c>
      <c r="I1138" s="77">
        <f>IF(ISNUMBER(N1138),N1138*fx_deflator!$J$20*fx_deflator!$M$20,"")</f>
        <v/>
      </c>
      <c r="J1138" s="77" t="inlineStr">
        <is>
          <t>netztransparenz per-year Umlagen pages (A-prime/B-prime/C-prime)</t>
        </is>
      </c>
      <c r="K1138" s="77" t="inlineStr">
        <is>
          <t>stage4_de r25-27</t>
        </is>
      </c>
      <c r="L1138" s="77" t="inlineStr">
        <is>
          <t>2026-07-15</t>
        </is>
      </c>
      <c r="M1138" s="77" t="inlineStr">
        <is>
          <t>Y</t>
        </is>
      </c>
      <c r="N1138" s="77">
        <f>(1*stage4_de!S25+19*stage4_de!S27)/20*10</f>
        <v/>
      </c>
      <c r="O1138" s="77" t="inlineStr">
        <is>
          <t>EUR/MWh nominal</t>
        </is>
      </c>
    </row>
    <row r="1139" ht="15" customHeight="1" s="78">
      <c r="A1139" s="77" t="inlineStr">
        <is>
          <t>DE</t>
        </is>
      </c>
      <c r="B1139" s="77" t="n">
        <v>2025</v>
      </c>
      <c r="C1139" s="77" t="inlineStr">
        <is>
          <t>medium</t>
        </is>
      </c>
      <c r="D1139" s="77" t="inlineStr">
        <is>
          <t>E2</t>
        </is>
      </c>
      <c r="E1139" s="77" t="inlineStr">
        <is>
          <t>Offshore-Netzumlage (blend at 20 GWh to 2018)</t>
        </is>
      </c>
      <c r="F1139" s="77" t="inlineStr">
        <is>
          <t>2 Gen capital recovery</t>
        </is>
      </c>
      <c r="G1139" s="77" t="inlineStr">
        <is>
          <t>offshore grid levy (Umlage)</t>
        </is>
      </c>
      <c r="H1139" s="77" t="inlineStr">
        <is>
          <t>i</t>
        </is>
      </c>
      <c r="I1139" s="77">
        <f>IF(ISNUMBER(N1139),N1139*fx_deflator!$J$20*fx_deflator!$M$20,"")</f>
        <v/>
      </c>
      <c r="J1139" s="77" t="inlineStr">
        <is>
          <t>netztransparenz Offshore-Umlage per-year pages</t>
        </is>
      </c>
      <c r="K1139" s="77" t="inlineStr">
        <is>
          <t>stage4_de r28-30</t>
        </is>
      </c>
      <c r="L1139" s="77" t="inlineStr">
        <is>
          <t>2026-07-15</t>
        </is>
      </c>
      <c r="M1139" s="77" t="inlineStr">
        <is>
          <t>Y</t>
        </is>
      </c>
      <c r="N1139" s="77">
        <f>stage4_de!S28*10</f>
        <v/>
      </c>
      <c r="O1139" s="77" t="inlineStr">
        <is>
          <t>EUR/MWh nominal</t>
        </is>
      </c>
    </row>
    <row r="1140" ht="15" customHeight="1" s="78">
      <c r="A1140" s="77" t="inlineStr">
        <is>
          <t>DE</t>
        </is>
      </c>
      <c r="B1140" s="77" t="n">
        <v>2025</v>
      </c>
      <c r="C1140" s="77" t="inlineStr">
        <is>
          <t>medium</t>
        </is>
      </c>
      <c r="D1140" s="77" t="inlineStr">
        <is>
          <t>E2</t>
        </is>
      </c>
      <c r="E1140" s="77" t="inlineStr">
        <is>
          <t>AbLaV-Umlage</t>
        </is>
      </c>
      <c r="F1140" s="77" t="inlineStr">
        <is>
          <t>4 System services &amp; balancing</t>
        </is>
      </c>
      <c r="G1140" s="77" t="inlineStr">
        <is>
          <t>interruptible-load levy (Umlage)</t>
        </is>
      </c>
      <c r="H1140" s="77" t="inlineStr">
        <is>
          <t>i</t>
        </is>
      </c>
      <c r="I1140" s="77">
        <f>IF(ISNUMBER(N1140),N1140*fx_deflator!$J$20*fx_deflator!$M$20,"")</f>
        <v/>
      </c>
      <c r="J1140" s="77" t="inlineStr">
        <is>
          <t>netztransparenz AbLaV-Umlage per-year pages (ends 2022)</t>
        </is>
      </c>
      <c r="K1140" s="77" t="inlineStr">
        <is>
          <t>stage4_de r31</t>
        </is>
      </c>
      <c r="L1140" s="77" t="inlineStr">
        <is>
          <t>2026-07-15</t>
        </is>
      </c>
      <c r="M1140" s="77" t="inlineStr">
        <is>
          <t>N</t>
        </is>
      </c>
      <c r="N1140" s="77">
        <f>IF(ISNUMBER(stage4_de!S31),stage4_de!S31*10,"")</f>
        <v/>
      </c>
      <c r="O1140" s="77" t="inlineStr">
        <is>
          <t>EUR/MWh nominal</t>
        </is>
      </c>
    </row>
    <row r="1141" ht="15" customHeight="1" s="78">
      <c r="A1141" s="77" t="inlineStr">
        <is>
          <t>DE</t>
        </is>
      </c>
      <c r="B1141" s="77" t="n">
        <v>2025</v>
      </c>
      <c r="C1141" s="77" t="inlineStr">
        <is>
          <t>medium</t>
        </is>
      </c>
      <c r="D1141" s="77" t="inlineStr">
        <is>
          <t>E2</t>
        </is>
      </c>
      <c r="E1141" s="77" t="inlineStr">
        <is>
          <t>Stromsteuer relieved (sec.9b)</t>
        </is>
      </c>
      <c r="F1141" s="77" t="inlineStr">
        <is>
          <t>5 General taxation &amp; levies</t>
        </is>
      </c>
      <c r="G1141" s="77" t="inlineStr">
        <is>
          <t>electricity tax</t>
        </is>
      </c>
      <c r="H1141" s="77" t="inlineStr">
        <is>
          <t>i (relief = foregone tax, iii)</t>
        </is>
      </c>
      <c r="I1141" s="77">
        <f>IF(ISNUMBER(N1141),N1141*fx_deflator!$J$20*fx_deflator!$M$20,"")</f>
        <v/>
      </c>
      <c r="J1141" s="77" t="inlineStr">
        <is>
          <t>StromStG sec.3/sec.9b (BGBl. 2025 I Nr. 340: 0.50 permanent from 2026); gesetze-im-internet.de</t>
        </is>
      </c>
      <c r="K1141" s="77" t="inlineStr">
        <is>
          <t>stage4_de r34-35</t>
        </is>
      </c>
      <c r="L1141" s="77" t="inlineStr">
        <is>
          <t>2026-07-15</t>
        </is>
      </c>
      <c r="M1141" s="77" t="inlineStr">
        <is>
          <t>N</t>
        </is>
      </c>
      <c r="N1141" s="77">
        <f>IF(ISNUMBER(stage4_de!S35),stage4_de!S35,"")</f>
        <v/>
      </c>
      <c r="O1141" s="77" t="inlineStr">
        <is>
          <t>EUR/MWh nominal</t>
        </is>
      </c>
    </row>
    <row r="1142" ht="15" customHeight="1" s="78">
      <c r="A1142" s="77" t="inlineStr">
        <is>
          <t>DE</t>
        </is>
      </c>
      <c r="B1142" s="77" t="n">
        <v>2025</v>
      </c>
      <c r="C1142" s="77" t="inlineStr">
        <is>
          <t>medium</t>
        </is>
      </c>
      <c r="D1142" s="77" t="inlineStr">
        <is>
          <t>E2</t>
        </is>
      </c>
      <c r="E1142" s="77" t="inlineStr">
        <is>
          <t>Konzessionsabgabe (0 via Grenzpreis)</t>
        </is>
      </c>
      <c r="F1142" s="77" t="inlineStr">
        <is>
          <t>5 General taxation &amp; levies</t>
        </is>
      </c>
      <c r="G1142" s="77" t="inlineStr">
        <is>
          <t>concession fee</t>
        </is>
      </c>
      <c r="H1142" s="77" t="inlineStr">
        <is>
          <t>i</t>
        </is>
      </c>
      <c r="I1142" s="77">
        <f>IF(ISNUMBER(N1142),N1142*fx_deflator!$J$20*fx_deflator!$M$20,"")</f>
        <v/>
      </c>
      <c r="J1142" s="77" t="inlineStr">
        <is>
          <t>KAV sec.2(3)/(4) Grenzpreis rule -&gt; 0 for Sondervertragskunden</t>
        </is>
      </c>
      <c r="K1142" s="77" t="inlineStr">
        <is>
          <t>stage4_de r36</t>
        </is>
      </c>
      <c r="L1142" s="77" t="inlineStr">
        <is>
          <t>2026-07-15</t>
        </is>
      </c>
      <c r="M1142" s="77" t="inlineStr">
        <is>
          <t>N</t>
        </is>
      </c>
      <c r="N1142" s="77">
        <f>IF(ISNUMBER(stage4_de!S36),stage4_de!S36*10,"")</f>
        <v/>
      </c>
      <c r="O1142" s="77" t="inlineStr">
        <is>
          <t>EUR/MWh nominal</t>
        </is>
      </c>
    </row>
    <row r="1143" ht="15" customHeight="1" s="78">
      <c r="A1143" s="77" t="inlineStr">
        <is>
          <t>CN</t>
        </is>
      </c>
      <c r="B1143" s="77" t="n">
        <v>2012</v>
      </c>
      <c r="C1143" s="77" t="inlineStr">
        <is>
          <t>large</t>
        </is>
      </c>
      <c r="D1143" s="77" t="inlineStr">
        <is>
          <t>E1=E2</t>
        </is>
      </c>
      <c r="E1143" s="77" t="inlineStr">
        <is>
          <t>Catalogue all-in price (basket, renormalised D23; 2020 incl COVID rebate)</t>
        </is>
      </c>
      <c r="F1143" s="77" t="inlineStr">
        <is>
          <t>1-4 bundled (CN catalogue)</t>
        </is>
      </c>
      <c r="G1143" s="77" t="inlineStr">
        <is>
          <t>catalogue dao-hu price (bundled)</t>
        </is>
      </c>
      <c r="H1143" s="77" t="inlineStr">
        <is>
          <t>i (embeds reverse cross-subsidy: industrial users overpay to subsidise residential/agricultural — opposite direction to UK/DE EII relief)</t>
        </is>
      </c>
      <c r="I1143" s="77">
        <f>IF(ISNUMBER(N1143),N1143/fx_deflator!$K$7*fx_deflator!$M$7,"")</f>
        <v/>
      </c>
      <c r="J1143" s="77" t="inlineStr">
        <is>
          <t>Provincial catalogue notices per stage4_cn sec.A-D; D23 renormalised basket</t>
        </is>
      </c>
      <c r="K1143" s="77" t="inlineStr">
        <is>
          <t>stage4_cn r58/r60</t>
        </is>
      </c>
      <c r="L1143" s="77" t="inlineStr">
        <is>
          <t>2026-07-15</t>
        </is>
      </c>
      <c r="M1143" s="77" t="inlineStr">
        <is>
          <t>Y</t>
        </is>
      </c>
      <c r="N1143" s="136">
        <f>IF(ISNUMBER(timeseries!F67),timeseries!F67,"")</f>
        <v/>
      </c>
      <c r="O1143" s="77" t="inlineStr">
        <is>
          <t>CNY/MWh nominal</t>
        </is>
      </c>
      <c r="P1143" s="77" t="inlineStr">
        <is>
          <t>functions 1-4 inseparable at user level pre-reform (D41); coverage row stage4_cn r62</t>
        </is>
      </c>
    </row>
    <row r="1144" ht="15" customHeight="1" s="78">
      <c r="A1144" s="77" t="inlineStr">
        <is>
          <t>CN</t>
        </is>
      </c>
      <c r="B1144" s="77" t="n">
        <v>2013</v>
      </c>
      <c r="C1144" s="77" t="inlineStr">
        <is>
          <t>large</t>
        </is>
      </c>
      <c r="D1144" s="77" t="inlineStr">
        <is>
          <t>E1=E2</t>
        </is>
      </c>
      <c r="E1144" s="77" t="inlineStr">
        <is>
          <t>Catalogue all-in price (basket, renormalised D23; 2020 incl COVID rebate)</t>
        </is>
      </c>
      <c r="F1144" s="77" t="inlineStr">
        <is>
          <t>1-4 bundled (CN catalogue)</t>
        </is>
      </c>
      <c r="G1144" s="77" t="inlineStr">
        <is>
          <t>catalogue dao-hu price (bundled)</t>
        </is>
      </c>
      <c r="H1144" s="77" t="inlineStr">
        <is>
          <t>i (embeds reverse cross-subsidy: industrial users overpay to subsidise residential/agricultural — opposite direction to UK/DE EII relief)</t>
        </is>
      </c>
      <c r="I1144" s="77">
        <f>IF(ISNUMBER(N1144),N1144/fx_deflator!$K$8*fx_deflator!$M$8,"")</f>
        <v/>
      </c>
      <c r="J1144" s="77" t="inlineStr">
        <is>
          <t>Provincial catalogue notices per stage4_cn sec.A-D; D23 renormalised basket</t>
        </is>
      </c>
      <c r="K1144" s="77" t="inlineStr">
        <is>
          <t>stage4_cn r58/r60</t>
        </is>
      </c>
      <c r="L1144" s="77" t="inlineStr">
        <is>
          <t>2026-07-15</t>
        </is>
      </c>
      <c r="M1144" s="77" t="inlineStr">
        <is>
          <t>Y</t>
        </is>
      </c>
      <c r="N1144" s="136">
        <f>IF(ISNUMBER(timeseries!G67),timeseries!G67,"")</f>
        <v/>
      </c>
      <c r="O1144" s="77" t="inlineStr">
        <is>
          <t>CNY/MWh nominal</t>
        </is>
      </c>
      <c r="P1144" s="77" t="inlineStr">
        <is>
          <t>functions 1-4 inseparable at user level pre-reform (D41); coverage row stage4_cn r62</t>
        </is>
      </c>
    </row>
    <row r="1145" ht="15" customHeight="1" s="78">
      <c r="A1145" s="77" t="inlineStr">
        <is>
          <t>CN</t>
        </is>
      </c>
      <c r="B1145" s="77" t="n">
        <v>2014</v>
      </c>
      <c r="C1145" s="77" t="inlineStr">
        <is>
          <t>large</t>
        </is>
      </c>
      <c r="D1145" s="77" t="inlineStr">
        <is>
          <t>E1=E2</t>
        </is>
      </c>
      <c r="E1145" s="77" t="inlineStr">
        <is>
          <t>Catalogue all-in price (basket, renormalised D23; 2020 incl COVID rebate)</t>
        </is>
      </c>
      <c r="F1145" s="77" t="inlineStr">
        <is>
          <t>1-4 bundled (CN catalogue)</t>
        </is>
      </c>
      <c r="G1145" s="77" t="inlineStr">
        <is>
          <t>catalogue dao-hu price (bundled)</t>
        </is>
      </c>
      <c r="H1145" s="77" t="inlineStr">
        <is>
          <t>i (embeds reverse cross-subsidy: industrial users overpay to subsidise residential/agricultural — opposite direction to UK/DE EII relief)</t>
        </is>
      </c>
      <c r="I1145" s="77">
        <f>IF(ISNUMBER(N1145),N1145/fx_deflator!$K$9*fx_deflator!$M$9,"")</f>
        <v/>
      </c>
      <c r="J1145" s="77" t="inlineStr">
        <is>
          <t>Provincial catalogue notices per stage4_cn sec.A-D; D23 renormalised basket</t>
        </is>
      </c>
      <c r="K1145" s="77" t="inlineStr">
        <is>
          <t>stage4_cn r58/r60</t>
        </is>
      </c>
      <c r="L1145" s="77" t="inlineStr">
        <is>
          <t>2026-07-15</t>
        </is>
      </c>
      <c r="M1145" s="77" t="inlineStr">
        <is>
          <t>Y</t>
        </is>
      </c>
      <c r="N1145" s="136">
        <f>IF(ISNUMBER(timeseries!H67),timeseries!H67,"")</f>
        <v/>
      </c>
      <c r="O1145" s="77" t="inlineStr">
        <is>
          <t>CNY/MWh nominal</t>
        </is>
      </c>
      <c r="P1145" s="77" t="inlineStr">
        <is>
          <t>functions 1-4 inseparable at user level pre-reform (D41); coverage row stage4_cn r62</t>
        </is>
      </c>
    </row>
    <row r="1146" ht="15" customHeight="1" s="78">
      <c r="A1146" s="77" t="inlineStr">
        <is>
          <t>CN</t>
        </is>
      </c>
      <c r="B1146" s="77" t="n">
        <v>2015</v>
      </c>
      <c r="C1146" s="77" t="inlineStr">
        <is>
          <t>large</t>
        </is>
      </c>
      <c r="D1146" s="77" t="inlineStr">
        <is>
          <t>E1=E2</t>
        </is>
      </c>
      <c r="E1146" s="77" t="inlineStr">
        <is>
          <t>Catalogue all-in price (basket, renormalised D23; 2020 incl COVID rebate)</t>
        </is>
      </c>
      <c r="F1146" s="77" t="inlineStr">
        <is>
          <t>1-4 bundled (CN catalogue)</t>
        </is>
      </c>
      <c r="G1146" s="77" t="inlineStr">
        <is>
          <t>catalogue dao-hu price (bundled)</t>
        </is>
      </c>
      <c r="H1146" s="77" t="inlineStr">
        <is>
          <t>i (embeds reverse cross-subsidy: industrial users overpay to subsidise residential/agricultural — opposite direction to UK/DE EII relief)</t>
        </is>
      </c>
      <c r="I1146" s="77">
        <f>IF(ISNUMBER(N1146),N1146/fx_deflator!$K$10*fx_deflator!$M$10,"")</f>
        <v/>
      </c>
      <c r="J1146" s="77" t="inlineStr">
        <is>
          <t>Provincial catalogue notices per stage4_cn sec.A-D; D23 renormalised basket</t>
        </is>
      </c>
      <c r="K1146" s="77" t="inlineStr">
        <is>
          <t>stage4_cn r58/r60</t>
        </is>
      </c>
      <c r="L1146" s="77" t="inlineStr">
        <is>
          <t>2026-07-15</t>
        </is>
      </c>
      <c r="M1146" s="77" t="inlineStr">
        <is>
          <t>Y</t>
        </is>
      </c>
      <c r="N1146" s="136">
        <f>IF(ISNUMBER(timeseries!I67),timeseries!I67,"")</f>
        <v/>
      </c>
      <c r="O1146" s="77" t="inlineStr">
        <is>
          <t>CNY/MWh nominal</t>
        </is>
      </c>
      <c r="P1146" s="77" t="inlineStr">
        <is>
          <t>functions 1-4 inseparable at user level pre-reform (D41); coverage row stage4_cn r62</t>
        </is>
      </c>
    </row>
    <row r="1147" ht="15" customHeight="1" s="78">
      <c r="A1147" s="77" t="inlineStr">
        <is>
          <t>CN</t>
        </is>
      </c>
      <c r="B1147" s="77" t="n">
        <v>2016</v>
      </c>
      <c r="C1147" s="77" t="inlineStr">
        <is>
          <t>large</t>
        </is>
      </c>
      <c r="D1147" s="77" t="inlineStr">
        <is>
          <t>E1=E2</t>
        </is>
      </c>
      <c r="E1147" s="77" t="inlineStr">
        <is>
          <t>Catalogue all-in price (basket, renormalised D23; 2020 incl COVID rebate)</t>
        </is>
      </c>
      <c r="F1147" s="77" t="inlineStr">
        <is>
          <t>1-4 bundled (CN catalogue)</t>
        </is>
      </c>
      <c r="G1147" s="77" t="inlineStr">
        <is>
          <t>catalogue dao-hu price (bundled)</t>
        </is>
      </c>
      <c r="H1147" s="77" t="inlineStr">
        <is>
          <t>i (embeds reverse cross-subsidy: industrial users overpay to subsidise residential/agricultural — opposite direction to UK/DE EII relief)</t>
        </is>
      </c>
      <c r="I1147" s="77">
        <f>IF(ISNUMBER(N1147),N1147/fx_deflator!$K$11*fx_deflator!$M$11,"")</f>
        <v/>
      </c>
      <c r="J1147" s="77" t="inlineStr">
        <is>
          <t>Provincial catalogue notices per stage4_cn sec.A-D; D23 renormalised basket</t>
        </is>
      </c>
      <c r="K1147" s="77" t="inlineStr">
        <is>
          <t>stage4_cn r58/r60</t>
        </is>
      </c>
      <c r="L1147" s="77" t="inlineStr">
        <is>
          <t>2026-07-15</t>
        </is>
      </c>
      <c r="M1147" s="77" t="inlineStr">
        <is>
          <t>Y</t>
        </is>
      </c>
      <c r="N1147" s="136">
        <f>IF(ISNUMBER(timeseries!J67),timeseries!J67,"")</f>
        <v/>
      </c>
      <c r="O1147" s="77" t="inlineStr">
        <is>
          <t>CNY/MWh nominal</t>
        </is>
      </c>
      <c r="P1147" s="77" t="inlineStr">
        <is>
          <t>functions 1-4 inseparable at user level pre-reform (D41); coverage row stage4_cn r62</t>
        </is>
      </c>
    </row>
    <row r="1148" ht="15" customHeight="1" s="78">
      <c r="A1148" s="77" t="inlineStr">
        <is>
          <t>CN</t>
        </is>
      </c>
      <c r="B1148" s="77" t="n">
        <v>2017</v>
      </c>
      <c r="C1148" s="77" t="inlineStr">
        <is>
          <t>large</t>
        </is>
      </c>
      <c r="D1148" s="77" t="inlineStr">
        <is>
          <t>E1=E2</t>
        </is>
      </c>
      <c r="E1148" s="77" t="inlineStr">
        <is>
          <t>Catalogue all-in price (basket, renormalised D23; 2020 incl COVID rebate)</t>
        </is>
      </c>
      <c r="F1148" s="77" t="inlineStr">
        <is>
          <t>1-4 bundled (CN catalogue)</t>
        </is>
      </c>
      <c r="G1148" s="77" t="inlineStr">
        <is>
          <t>catalogue dao-hu price (bundled)</t>
        </is>
      </c>
      <c r="H1148" s="77" t="inlineStr">
        <is>
          <t>i (embeds reverse cross-subsidy: industrial users overpay to subsidise residential/agricultural — opposite direction to UK/DE EII relief)</t>
        </is>
      </c>
      <c r="I1148" s="77">
        <f>IF(ISNUMBER(N1148),N1148/fx_deflator!$K$12*fx_deflator!$M$12,"")</f>
        <v/>
      </c>
      <c r="J1148" s="77" t="inlineStr">
        <is>
          <t>Provincial catalogue notices per stage4_cn sec.A-D; D23 renormalised basket</t>
        </is>
      </c>
      <c r="K1148" s="77" t="inlineStr">
        <is>
          <t>stage4_cn r58/r60</t>
        </is>
      </c>
      <c r="L1148" s="77" t="inlineStr">
        <is>
          <t>2026-07-15</t>
        </is>
      </c>
      <c r="M1148" s="77" t="inlineStr">
        <is>
          <t>Y</t>
        </is>
      </c>
      <c r="N1148" s="136">
        <f>IF(ISNUMBER(timeseries!K67),timeseries!K67,"")</f>
        <v/>
      </c>
      <c r="O1148" s="77" t="inlineStr">
        <is>
          <t>CNY/MWh nominal</t>
        </is>
      </c>
      <c r="P1148" s="77" t="inlineStr">
        <is>
          <t>functions 1-4 inseparable at user level pre-reform (D41); coverage row stage4_cn r62</t>
        </is>
      </c>
    </row>
    <row r="1149" ht="15" customHeight="1" s="78">
      <c r="A1149" s="77" t="inlineStr">
        <is>
          <t>CN</t>
        </is>
      </c>
      <c r="B1149" s="77" t="n">
        <v>2018</v>
      </c>
      <c r="C1149" s="77" t="inlineStr">
        <is>
          <t>large</t>
        </is>
      </c>
      <c r="D1149" s="77" t="inlineStr">
        <is>
          <t>E1=E2</t>
        </is>
      </c>
      <c r="E1149" s="77" t="inlineStr">
        <is>
          <t>Catalogue all-in price (basket, renormalised D23; 2020 incl COVID rebate)</t>
        </is>
      </c>
      <c r="F1149" s="77" t="inlineStr">
        <is>
          <t>1-4 bundled (CN catalogue)</t>
        </is>
      </c>
      <c r="G1149" s="77" t="inlineStr">
        <is>
          <t>catalogue dao-hu price (bundled)</t>
        </is>
      </c>
      <c r="H1149" s="77" t="inlineStr">
        <is>
          <t>i (embeds reverse cross-subsidy: industrial users overpay to subsidise residential/agricultural — opposite direction to UK/DE EII relief)</t>
        </is>
      </c>
      <c r="I1149" s="77">
        <f>IF(ISNUMBER(N1149),N1149/fx_deflator!$K$13*fx_deflator!$M$13,"")</f>
        <v/>
      </c>
      <c r="J1149" s="77" t="inlineStr">
        <is>
          <t>Provincial catalogue notices per stage4_cn sec.A-D; D23 renormalised basket</t>
        </is>
      </c>
      <c r="K1149" s="77" t="inlineStr">
        <is>
          <t>stage4_cn r58/r60</t>
        </is>
      </c>
      <c r="L1149" s="77" t="inlineStr">
        <is>
          <t>2026-07-15</t>
        </is>
      </c>
      <c r="M1149" s="77" t="inlineStr">
        <is>
          <t>Y</t>
        </is>
      </c>
      <c r="N1149" s="136">
        <f>IF(ISNUMBER(timeseries!L67),timeseries!L67,"")</f>
        <v/>
      </c>
      <c r="O1149" s="77" t="inlineStr">
        <is>
          <t>CNY/MWh nominal</t>
        </is>
      </c>
      <c r="P1149" s="77" t="inlineStr">
        <is>
          <t>functions 1-4 inseparable at user level pre-reform (D41); coverage row stage4_cn r62</t>
        </is>
      </c>
    </row>
    <row r="1150" ht="15" customHeight="1" s="78">
      <c r="A1150" s="77" t="inlineStr">
        <is>
          <t>CN</t>
        </is>
      </c>
      <c r="B1150" s="77" t="n">
        <v>2019</v>
      </c>
      <c r="C1150" s="77" t="inlineStr">
        <is>
          <t>large</t>
        </is>
      </c>
      <c r="D1150" s="77" t="inlineStr">
        <is>
          <t>E1=E2</t>
        </is>
      </c>
      <c r="E1150" s="77" t="inlineStr">
        <is>
          <t>Catalogue all-in price (basket, renormalised D23; 2020 incl COVID rebate)</t>
        </is>
      </c>
      <c r="F1150" s="77" t="inlineStr">
        <is>
          <t>1-4 bundled (CN catalogue)</t>
        </is>
      </c>
      <c r="G1150" s="77" t="inlineStr">
        <is>
          <t>catalogue dao-hu price (bundled)</t>
        </is>
      </c>
      <c r="H1150" s="77" t="inlineStr">
        <is>
          <t>i (embeds reverse cross-subsidy: industrial users overpay to subsidise residential/agricultural — opposite direction to UK/DE EII relief)</t>
        </is>
      </c>
      <c r="I1150" s="77">
        <f>IF(ISNUMBER(N1150),N1150/fx_deflator!$K$14*fx_deflator!$M$14,"")</f>
        <v/>
      </c>
      <c r="J1150" s="77" t="inlineStr">
        <is>
          <t>Provincial catalogue notices per stage4_cn sec.A-D; D23 renormalised basket</t>
        </is>
      </c>
      <c r="K1150" s="77" t="inlineStr">
        <is>
          <t>stage4_cn r58/r60</t>
        </is>
      </c>
      <c r="L1150" s="77" t="inlineStr">
        <is>
          <t>2026-07-15</t>
        </is>
      </c>
      <c r="M1150" s="77" t="inlineStr">
        <is>
          <t>Y</t>
        </is>
      </c>
      <c r="N1150" s="136">
        <f>IF(ISNUMBER(timeseries!M67),timeseries!M67,"")</f>
        <v/>
      </c>
      <c r="O1150" s="77" t="inlineStr">
        <is>
          <t>CNY/MWh nominal</t>
        </is>
      </c>
      <c r="P1150" s="77" t="inlineStr">
        <is>
          <t>functions 1-4 inseparable at user level pre-reform (D41); coverage row stage4_cn r62</t>
        </is>
      </c>
    </row>
    <row r="1151" ht="15" customHeight="1" s="78">
      <c r="A1151" s="77" t="inlineStr">
        <is>
          <t>CN</t>
        </is>
      </c>
      <c r="B1151" s="77" t="n">
        <v>2020</v>
      </c>
      <c r="C1151" s="77" t="inlineStr">
        <is>
          <t>large</t>
        </is>
      </c>
      <c r="D1151" s="77" t="inlineStr">
        <is>
          <t>E1=E2</t>
        </is>
      </c>
      <c r="E1151" s="77" t="inlineStr">
        <is>
          <t>Catalogue all-in price (basket, renormalised D23; 2020 incl COVID rebate)</t>
        </is>
      </c>
      <c r="F1151" s="77" t="inlineStr">
        <is>
          <t>1-4 bundled (CN catalogue)</t>
        </is>
      </c>
      <c r="G1151" s="77" t="inlineStr">
        <is>
          <t>catalogue dao-hu price (bundled)</t>
        </is>
      </c>
      <c r="H1151" s="77" t="inlineStr">
        <is>
          <t>i (embeds reverse cross-subsidy: industrial users overpay to subsidise residential/agricultural — opposite direction to UK/DE EII relief)</t>
        </is>
      </c>
      <c r="I1151" s="77">
        <f>IF(ISNUMBER(N1151),N1151/fx_deflator!$K$15*fx_deflator!$M$15,"")</f>
        <v/>
      </c>
      <c r="J1151" s="77" t="inlineStr">
        <is>
          <t>Provincial catalogue notices per stage4_cn sec.A-D; D23 renormalised basket</t>
        </is>
      </c>
      <c r="K1151" s="77" t="inlineStr">
        <is>
          <t>stage4_cn r58/r60</t>
        </is>
      </c>
      <c r="L1151" s="77" t="inlineStr">
        <is>
          <t>2026-07-15</t>
        </is>
      </c>
      <c r="M1151" s="77" t="inlineStr">
        <is>
          <t>Y</t>
        </is>
      </c>
      <c r="N1151" s="136">
        <f>IF(ISNUMBER(timeseries!N67),timeseries!N67,"")</f>
        <v/>
      </c>
      <c r="O1151" s="77" t="inlineStr">
        <is>
          <t>CNY/MWh nominal</t>
        </is>
      </c>
      <c r="P1151" s="77" t="inlineStr">
        <is>
          <t>functions 1-4 inseparable at user level pre-reform (D41); coverage row stage4_cn r62</t>
        </is>
      </c>
    </row>
    <row r="1152" ht="15" customHeight="1" s="78">
      <c r="A1152" s="77" t="inlineStr">
        <is>
          <t>CN</t>
        </is>
      </c>
      <c r="B1152" s="77" t="n">
        <v>2021</v>
      </c>
      <c r="C1152" s="77" t="inlineStr">
        <is>
          <t>large</t>
        </is>
      </c>
      <c r="D1152" s="77" t="inlineStr">
        <is>
          <t>E1=E2</t>
        </is>
      </c>
      <c r="E1152" s="77" t="inlineStr">
        <is>
          <t>Catalogue all-in price (basket, renormalised D23; 2020 incl COVID rebate)</t>
        </is>
      </c>
      <c r="F1152" s="77" t="inlineStr">
        <is>
          <t>1-4 bundled (CN catalogue)</t>
        </is>
      </c>
      <c r="G1152" s="77" t="inlineStr">
        <is>
          <t>catalogue dao-hu price (bundled)</t>
        </is>
      </c>
      <c r="H1152" s="77" t="inlineStr">
        <is>
          <t>i (embeds reverse cross-subsidy: industrial users overpay to subsidise residential/agricultural — opposite direction to UK/DE EII relief)</t>
        </is>
      </c>
      <c r="I1152" s="77">
        <f>IF(ISNUMBER(N1152),N1152/fx_deflator!$K$16*fx_deflator!$M$16,"")</f>
        <v/>
      </c>
      <c r="J1152" s="77" t="inlineStr">
        <is>
          <t>Provincial catalogue notices per stage4_cn sec.A-D; D23 renormalised basket</t>
        </is>
      </c>
      <c r="K1152" s="77" t="inlineStr">
        <is>
          <t>stage4_cn r58/r60</t>
        </is>
      </c>
      <c r="L1152" s="77" t="inlineStr">
        <is>
          <t>2026-07-15</t>
        </is>
      </c>
      <c r="M1152" s="77" t="inlineStr">
        <is>
          <t>Y</t>
        </is>
      </c>
      <c r="N1152" s="136">
        <f>IF(ISNUMBER(timeseries!O67),timeseries!O67,"")</f>
        <v/>
      </c>
      <c r="O1152" s="77" t="inlineStr">
        <is>
          <t>CNY/MWh nominal</t>
        </is>
      </c>
      <c r="P1152" s="77" t="inlineStr">
        <is>
          <t>functions 1-4 inseparable at user level pre-reform (D41); coverage row stage4_cn r62</t>
        </is>
      </c>
    </row>
    <row r="1153" ht="16.5" customHeight="1" s="78">
      <c r="A1153" s="77" t="inlineStr">
        <is>
          <t>CN</t>
        </is>
      </c>
      <c r="B1153" s="77" t="n">
        <v>2016</v>
      </c>
      <c r="C1153" s="77" t="inlineStr">
        <is>
          <t>large</t>
        </is>
      </c>
      <c r="D1153" s="77" t="inlineStr">
        <is>
          <t>E1=E2</t>
        </is>
      </c>
      <c r="E1153" s="77" t="inlineStr">
        <is>
          <t>MEMO within bundle — renewables surcharge (kezaisheng fujia)</t>
        </is>
      </c>
      <c r="F1153" s="77" t="inlineStr">
        <is>
          <t>MEMO — 2 Gen capital recovery (within bundle)</t>
        </is>
      </c>
      <c r="G1153" s="77" t="inlineStr">
        <is>
          <t>government funds &amp; surcharges</t>
        </is>
      </c>
      <c r="H1153" s="77" t="inlineStr">
        <is>
          <t>i (embeds reverse cross-subsidy: industrial users overpay to subsidise residential/agricultural — opposite direction to UK/DE EII relief)</t>
        </is>
      </c>
      <c r="I1153" s="77">
        <f>IF(ISNUMBER(N1153),N1153/fx_deflator!$K$11*fx_deflator!$M$11,"")</f>
        <v/>
      </c>
      <c r="J1153" s="77" t="inlineStr">
        <is>
          <t>NDRC 发改价格[2015]3105号 (1.9 fen/kWh step)</t>
        </is>
      </c>
      <c r="K1153" s="77" t="inlineStr">
        <is>
          <t>national rate; provincial application assumed</t>
        </is>
      </c>
      <c r="L1153" s="77" t="inlineStr">
        <is>
          <t>2026-07-15</t>
        </is>
      </c>
      <c r="M1153" s="77" t="inlineStr">
        <is>
          <t>Y</t>
        </is>
      </c>
      <c r="N1153" s="77" t="n">
        <v>19</v>
      </c>
      <c r="O1153" s="77" t="inlineStr">
        <is>
          <t>CNY/MWh nominal</t>
        </is>
      </c>
      <c r="P1153" s="77" t="inlineStr">
        <is>
          <t>memo only — already inside the bundled catalogue price; earlier (pre-2016) steps not modelled</t>
        </is>
      </c>
    </row>
    <row r="1154" ht="16.5" customHeight="1" s="78">
      <c r="A1154" s="77" t="inlineStr">
        <is>
          <t>CN</t>
        </is>
      </c>
      <c r="B1154" s="77" t="n">
        <v>2017</v>
      </c>
      <c r="C1154" s="77" t="inlineStr">
        <is>
          <t>large</t>
        </is>
      </c>
      <c r="D1154" s="77" t="inlineStr">
        <is>
          <t>E1=E2</t>
        </is>
      </c>
      <c r="E1154" s="77" t="inlineStr">
        <is>
          <t>MEMO within bundle — renewables surcharge (kezaisheng fujia)</t>
        </is>
      </c>
      <c r="F1154" s="77" t="inlineStr">
        <is>
          <t>MEMO — 2 Gen capital recovery (within bundle)</t>
        </is>
      </c>
      <c r="G1154" s="77" t="inlineStr">
        <is>
          <t>government funds &amp; surcharges</t>
        </is>
      </c>
      <c r="H1154" s="77" t="inlineStr">
        <is>
          <t>i (embeds reverse cross-subsidy: industrial users overpay to subsidise residential/agricultural — opposite direction to UK/DE EII relief)</t>
        </is>
      </c>
      <c r="I1154" s="77">
        <f>IF(ISNUMBER(N1154),N1154/fx_deflator!$K$12*fx_deflator!$M$12,"")</f>
        <v/>
      </c>
      <c r="J1154" s="77" t="inlineStr">
        <is>
          <t>NDRC 发改价格[2015]3105号 (1.9 fen/kWh step)</t>
        </is>
      </c>
      <c r="K1154" s="77" t="inlineStr">
        <is>
          <t>national rate; provincial application assumed</t>
        </is>
      </c>
      <c r="L1154" s="77" t="inlineStr">
        <is>
          <t>2026-07-15</t>
        </is>
      </c>
      <c r="M1154" s="77" t="inlineStr">
        <is>
          <t>Y</t>
        </is>
      </c>
      <c r="N1154" s="77" t="n">
        <v>19</v>
      </c>
      <c r="O1154" s="77" t="inlineStr">
        <is>
          <t>CNY/MWh nominal</t>
        </is>
      </c>
      <c r="P1154" s="77" t="inlineStr">
        <is>
          <t>memo only — already inside the bundled catalogue price; earlier (pre-2016) steps not modelled</t>
        </is>
      </c>
    </row>
    <row r="1155" ht="16.5" customHeight="1" s="78">
      <c r="A1155" s="77" t="inlineStr">
        <is>
          <t>CN</t>
        </is>
      </c>
      <c r="B1155" s="77" t="n">
        <v>2018</v>
      </c>
      <c r="C1155" s="77" t="inlineStr">
        <is>
          <t>large</t>
        </is>
      </c>
      <c r="D1155" s="77" t="inlineStr">
        <is>
          <t>E1=E2</t>
        </is>
      </c>
      <c r="E1155" s="77" t="inlineStr">
        <is>
          <t>MEMO within bundle — renewables surcharge (kezaisheng fujia)</t>
        </is>
      </c>
      <c r="F1155" s="77" t="inlineStr">
        <is>
          <t>MEMO — 2 Gen capital recovery (within bundle)</t>
        </is>
      </c>
      <c r="G1155" s="77" t="inlineStr">
        <is>
          <t>government funds &amp; surcharges</t>
        </is>
      </c>
      <c r="H1155" s="77" t="inlineStr">
        <is>
          <t>i (embeds reverse cross-subsidy: industrial users overpay to subsidise residential/agricultural — opposite direction to UK/DE EII relief)</t>
        </is>
      </c>
      <c r="I1155" s="77">
        <f>IF(ISNUMBER(N1155),N1155/fx_deflator!$K$13*fx_deflator!$M$13,"")</f>
        <v/>
      </c>
      <c r="J1155" s="77" t="inlineStr">
        <is>
          <t>NDRC 发改价格[2015]3105号 (1.9 fen/kWh step)</t>
        </is>
      </c>
      <c r="K1155" s="77" t="inlineStr">
        <is>
          <t>national rate; provincial application assumed</t>
        </is>
      </c>
      <c r="L1155" s="77" t="inlineStr">
        <is>
          <t>2026-07-15</t>
        </is>
      </c>
      <c r="M1155" s="77" t="inlineStr">
        <is>
          <t>Y</t>
        </is>
      </c>
      <c r="N1155" s="77" t="n">
        <v>19</v>
      </c>
      <c r="O1155" s="77" t="inlineStr">
        <is>
          <t>CNY/MWh nominal</t>
        </is>
      </c>
      <c r="P1155" s="77" t="inlineStr">
        <is>
          <t>memo only — already inside the bundled catalogue price; earlier (pre-2016) steps not modelled</t>
        </is>
      </c>
    </row>
    <row r="1156" ht="16.5" customHeight="1" s="78">
      <c r="A1156" s="77" t="inlineStr">
        <is>
          <t>CN</t>
        </is>
      </c>
      <c r="B1156" s="77" t="n">
        <v>2019</v>
      </c>
      <c r="C1156" s="77" t="inlineStr">
        <is>
          <t>large</t>
        </is>
      </c>
      <c r="D1156" s="77" t="inlineStr">
        <is>
          <t>E1=E2</t>
        </is>
      </c>
      <c r="E1156" s="77" t="inlineStr">
        <is>
          <t>MEMO within bundle — renewables surcharge (kezaisheng fujia)</t>
        </is>
      </c>
      <c r="F1156" s="77" t="inlineStr">
        <is>
          <t>MEMO — 2 Gen capital recovery (within bundle)</t>
        </is>
      </c>
      <c r="G1156" s="77" t="inlineStr">
        <is>
          <t>government funds &amp; surcharges</t>
        </is>
      </c>
      <c r="H1156" s="77" t="inlineStr">
        <is>
          <t>i (embeds reverse cross-subsidy: industrial users overpay to subsidise residential/agricultural — opposite direction to UK/DE EII relief)</t>
        </is>
      </c>
      <c r="I1156" s="77">
        <f>IF(ISNUMBER(N1156),N1156/fx_deflator!$K$14*fx_deflator!$M$14,"")</f>
        <v/>
      </c>
      <c r="J1156" s="77" t="inlineStr">
        <is>
          <t>NDRC 发改价格[2015]3105号 (1.9 fen/kWh step)</t>
        </is>
      </c>
      <c r="K1156" s="77" t="inlineStr">
        <is>
          <t>national rate; provincial application assumed</t>
        </is>
      </c>
      <c r="L1156" s="77" t="inlineStr">
        <is>
          <t>2026-07-15</t>
        </is>
      </c>
      <c r="M1156" s="77" t="inlineStr">
        <is>
          <t>Y</t>
        </is>
      </c>
      <c r="N1156" s="77" t="n">
        <v>19</v>
      </c>
      <c r="O1156" s="77" t="inlineStr">
        <is>
          <t>CNY/MWh nominal</t>
        </is>
      </c>
      <c r="P1156" s="77" t="inlineStr">
        <is>
          <t>memo only — already inside the bundled catalogue price; earlier (pre-2016) steps not modelled</t>
        </is>
      </c>
    </row>
    <row r="1157" ht="16.5" customHeight="1" s="78">
      <c r="A1157" s="77" t="inlineStr">
        <is>
          <t>CN</t>
        </is>
      </c>
      <c r="B1157" s="77" t="n">
        <v>2020</v>
      </c>
      <c r="C1157" s="77" t="inlineStr">
        <is>
          <t>large</t>
        </is>
      </c>
      <c r="D1157" s="77" t="inlineStr">
        <is>
          <t>E1=E2</t>
        </is>
      </c>
      <c r="E1157" s="77" t="inlineStr">
        <is>
          <t>MEMO within bundle — renewables surcharge (kezaisheng fujia)</t>
        </is>
      </c>
      <c r="F1157" s="77" t="inlineStr">
        <is>
          <t>MEMO — 2 Gen capital recovery (within bundle)</t>
        </is>
      </c>
      <c r="G1157" s="77" t="inlineStr">
        <is>
          <t>government funds &amp; surcharges</t>
        </is>
      </c>
      <c r="H1157" s="77" t="inlineStr">
        <is>
          <t>i (embeds reverse cross-subsidy: industrial users overpay to subsidise residential/agricultural — opposite direction to UK/DE EII relief)</t>
        </is>
      </c>
      <c r="I1157" s="77">
        <f>IF(ISNUMBER(N1157),N1157/fx_deflator!$K$15*fx_deflator!$M$15,"")</f>
        <v/>
      </c>
      <c r="J1157" s="77" t="inlineStr">
        <is>
          <t>NDRC 发改价格[2015]3105号 (1.9 fen/kWh step)</t>
        </is>
      </c>
      <c r="K1157" s="77" t="inlineStr">
        <is>
          <t>national rate; provincial application assumed</t>
        </is>
      </c>
      <c r="L1157" s="77" t="inlineStr">
        <is>
          <t>2026-07-15</t>
        </is>
      </c>
      <c r="M1157" s="77" t="inlineStr">
        <is>
          <t>Y</t>
        </is>
      </c>
      <c r="N1157" s="77" t="n">
        <v>19</v>
      </c>
      <c r="O1157" s="77" t="inlineStr">
        <is>
          <t>CNY/MWh nominal</t>
        </is>
      </c>
      <c r="P1157" s="77" t="inlineStr">
        <is>
          <t>memo only — already inside the bundled catalogue price; earlier (pre-2016) steps not modelled</t>
        </is>
      </c>
    </row>
    <row r="1158" ht="16.5" customHeight="1" s="78">
      <c r="A1158" s="77" t="inlineStr">
        <is>
          <t>CN</t>
        </is>
      </c>
      <c r="B1158" s="77" t="n">
        <v>2021</v>
      </c>
      <c r="C1158" s="77" t="inlineStr">
        <is>
          <t>large</t>
        </is>
      </c>
      <c r="D1158" s="77" t="inlineStr">
        <is>
          <t>E1=E2</t>
        </is>
      </c>
      <c r="E1158" s="77" t="inlineStr">
        <is>
          <t>MEMO within bundle — renewables surcharge (kezaisheng fujia)</t>
        </is>
      </c>
      <c r="F1158" s="77" t="inlineStr">
        <is>
          <t>MEMO — 2 Gen capital recovery (within bundle)</t>
        </is>
      </c>
      <c r="G1158" s="77" t="inlineStr">
        <is>
          <t>government funds &amp; surcharges</t>
        </is>
      </c>
      <c r="H1158" s="77" t="inlineStr">
        <is>
          <t>i (embeds reverse cross-subsidy: industrial users overpay to subsidise residential/agricultural — opposite direction to UK/DE EII relief)</t>
        </is>
      </c>
      <c r="I1158" s="77">
        <f>IF(ISNUMBER(N1158),N1158/fx_deflator!$K$16*fx_deflator!$M$16,"")</f>
        <v/>
      </c>
      <c r="J1158" s="77" t="inlineStr">
        <is>
          <t>NDRC 发改价格[2015]3105号 (1.9 fen/kWh step)</t>
        </is>
      </c>
      <c r="K1158" s="77" t="inlineStr">
        <is>
          <t>national rate; provincial application assumed</t>
        </is>
      </c>
      <c r="L1158" s="77" t="inlineStr">
        <is>
          <t>2026-07-15</t>
        </is>
      </c>
      <c r="M1158" s="77" t="inlineStr">
        <is>
          <t>Y</t>
        </is>
      </c>
      <c r="N1158" s="77" t="n">
        <v>19</v>
      </c>
      <c r="O1158" s="77" t="inlineStr">
        <is>
          <t>CNY/MWh nominal</t>
        </is>
      </c>
      <c r="P1158" s="77" t="inlineStr">
        <is>
          <t>memo only — already inside the bundled catalogue price; earlier (pre-2016) steps not modelled</t>
        </is>
      </c>
    </row>
    <row r="1159" ht="15" customHeight="1" s="78">
      <c r="A1159" s="77" t="inlineStr">
        <is>
          <t>CN</t>
        </is>
      </c>
      <c r="B1159" s="77" t="n">
        <v>2012</v>
      </c>
      <c r="C1159" s="77" t="inlineStr">
        <is>
          <t>medium</t>
        </is>
      </c>
      <c r="D1159" s="77" t="inlineStr">
        <is>
          <t>E1=E2</t>
        </is>
      </c>
      <c r="E1159" s="77" t="inlineStr">
        <is>
          <t>Catalogue all-in price (basket, renormalised D23; 2020 incl COVID rebate)</t>
        </is>
      </c>
      <c r="F1159" s="77" t="inlineStr">
        <is>
          <t>1-4 bundled (CN catalogue)</t>
        </is>
      </c>
      <c r="G1159" s="77" t="inlineStr">
        <is>
          <t>catalogue dao-hu price (bundled)</t>
        </is>
      </c>
      <c r="H1159" s="77" t="inlineStr">
        <is>
          <t>i (embeds reverse cross-subsidy: industrial users overpay to subsidise residential/agricultural — opposite direction to UK/DE EII relief)</t>
        </is>
      </c>
      <c r="I1159" s="77">
        <f>IF(ISNUMBER(N1159),N1159/fx_deflator!$K$7*fx_deflator!$M$7,"")</f>
        <v/>
      </c>
      <c r="J1159" s="77" t="inlineStr">
        <is>
          <t>Provincial catalogue notices per stage4_cn sec.A-D; D23 renormalised basket</t>
        </is>
      </c>
      <c r="K1159" s="77" t="inlineStr">
        <is>
          <t>stage4_cn r58/r60</t>
        </is>
      </c>
      <c r="L1159" s="77" t="inlineStr">
        <is>
          <t>2026-07-15</t>
        </is>
      </c>
      <c r="M1159" s="77" t="inlineStr">
        <is>
          <t>Y</t>
        </is>
      </c>
      <c r="N1159" s="136">
        <f>IF(ISNUMBER(timeseries!F70),timeseries!F70,"")</f>
        <v/>
      </c>
      <c r="O1159" s="77" t="inlineStr">
        <is>
          <t>CNY/MWh nominal</t>
        </is>
      </c>
      <c r="P1159" s="77" t="inlineStr">
        <is>
          <t>functions 1-4 inseparable at user level pre-reform (D41); coverage row stage4_cn r62</t>
        </is>
      </c>
    </row>
    <row r="1160" ht="15" customHeight="1" s="78">
      <c r="A1160" s="77" t="inlineStr">
        <is>
          <t>CN</t>
        </is>
      </c>
      <c r="B1160" s="77" t="n">
        <v>2013</v>
      </c>
      <c r="C1160" s="77" t="inlineStr">
        <is>
          <t>medium</t>
        </is>
      </c>
      <c r="D1160" s="77" t="inlineStr">
        <is>
          <t>E1=E2</t>
        </is>
      </c>
      <c r="E1160" s="77" t="inlineStr">
        <is>
          <t>Catalogue all-in price (basket, renormalised D23; 2020 incl COVID rebate)</t>
        </is>
      </c>
      <c r="F1160" s="77" t="inlineStr">
        <is>
          <t>1-4 bundled (CN catalogue)</t>
        </is>
      </c>
      <c r="G1160" s="77" t="inlineStr">
        <is>
          <t>catalogue dao-hu price (bundled)</t>
        </is>
      </c>
      <c r="H1160" s="77" t="inlineStr">
        <is>
          <t>i (embeds reverse cross-subsidy: industrial users overpay to subsidise residential/agricultural — opposite direction to UK/DE EII relief)</t>
        </is>
      </c>
      <c r="I1160" s="77">
        <f>IF(ISNUMBER(N1160),N1160/fx_deflator!$K$8*fx_deflator!$M$8,"")</f>
        <v/>
      </c>
      <c r="J1160" s="77" t="inlineStr">
        <is>
          <t>Provincial catalogue notices per stage4_cn sec.A-D; D23 renormalised basket</t>
        </is>
      </c>
      <c r="K1160" s="77" t="inlineStr">
        <is>
          <t>stage4_cn r58/r60</t>
        </is>
      </c>
      <c r="L1160" s="77" t="inlineStr">
        <is>
          <t>2026-07-15</t>
        </is>
      </c>
      <c r="M1160" s="77" t="inlineStr">
        <is>
          <t>Y</t>
        </is>
      </c>
      <c r="N1160" s="136">
        <f>IF(ISNUMBER(timeseries!G70),timeseries!G70,"")</f>
        <v/>
      </c>
      <c r="O1160" s="77" t="inlineStr">
        <is>
          <t>CNY/MWh nominal</t>
        </is>
      </c>
      <c r="P1160" s="77" t="inlineStr">
        <is>
          <t>functions 1-4 inseparable at user level pre-reform (D41); coverage row stage4_cn r62</t>
        </is>
      </c>
    </row>
    <row r="1161" ht="15" customHeight="1" s="78">
      <c r="A1161" s="77" t="inlineStr">
        <is>
          <t>CN</t>
        </is>
      </c>
      <c r="B1161" s="77" t="n">
        <v>2014</v>
      </c>
      <c r="C1161" s="77" t="inlineStr">
        <is>
          <t>medium</t>
        </is>
      </c>
      <c r="D1161" s="77" t="inlineStr">
        <is>
          <t>E1=E2</t>
        </is>
      </c>
      <c r="E1161" s="77" t="inlineStr">
        <is>
          <t>Catalogue all-in price (basket, renormalised D23; 2020 incl COVID rebate)</t>
        </is>
      </c>
      <c r="F1161" s="77" t="inlineStr">
        <is>
          <t>1-4 bundled (CN catalogue)</t>
        </is>
      </c>
      <c r="G1161" s="77" t="inlineStr">
        <is>
          <t>catalogue dao-hu price (bundled)</t>
        </is>
      </c>
      <c r="H1161" s="77" t="inlineStr">
        <is>
          <t>i (embeds reverse cross-subsidy: industrial users overpay to subsidise residential/agricultural — opposite direction to UK/DE EII relief)</t>
        </is>
      </c>
      <c r="I1161" s="77">
        <f>IF(ISNUMBER(N1161),N1161/fx_deflator!$K$9*fx_deflator!$M$9,"")</f>
        <v/>
      </c>
      <c r="J1161" s="77" t="inlineStr">
        <is>
          <t>Provincial catalogue notices per stage4_cn sec.A-D; D23 renormalised basket</t>
        </is>
      </c>
      <c r="K1161" s="77" t="inlineStr">
        <is>
          <t>stage4_cn r58/r60</t>
        </is>
      </c>
      <c r="L1161" s="77" t="inlineStr">
        <is>
          <t>2026-07-15</t>
        </is>
      </c>
      <c r="M1161" s="77" t="inlineStr">
        <is>
          <t>Y</t>
        </is>
      </c>
      <c r="N1161" s="136">
        <f>IF(ISNUMBER(timeseries!H70),timeseries!H70,"")</f>
        <v/>
      </c>
      <c r="O1161" s="77" t="inlineStr">
        <is>
          <t>CNY/MWh nominal</t>
        </is>
      </c>
      <c r="P1161" s="77" t="inlineStr">
        <is>
          <t>functions 1-4 inseparable at user level pre-reform (D41); coverage row stage4_cn r62</t>
        </is>
      </c>
    </row>
    <row r="1162" ht="15" customHeight="1" s="78">
      <c r="A1162" s="77" t="inlineStr">
        <is>
          <t>CN</t>
        </is>
      </c>
      <c r="B1162" s="77" t="n">
        <v>2015</v>
      </c>
      <c r="C1162" s="77" t="inlineStr">
        <is>
          <t>medium</t>
        </is>
      </c>
      <c r="D1162" s="77" t="inlineStr">
        <is>
          <t>E1=E2</t>
        </is>
      </c>
      <c r="E1162" s="77" t="inlineStr">
        <is>
          <t>Catalogue all-in price (basket, renormalised D23; 2020 incl COVID rebate)</t>
        </is>
      </c>
      <c r="F1162" s="77" t="inlineStr">
        <is>
          <t>1-4 bundled (CN catalogue)</t>
        </is>
      </c>
      <c r="G1162" s="77" t="inlineStr">
        <is>
          <t>catalogue dao-hu price (bundled)</t>
        </is>
      </c>
      <c r="H1162" s="77" t="inlineStr">
        <is>
          <t>i (embeds reverse cross-subsidy: industrial users overpay to subsidise residential/agricultural — opposite direction to UK/DE EII relief)</t>
        </is>
      </c>
      <c r="I1162" s="77">
        <f>IF(ISNUMBER(N1162),N1162/fx_deflator!$K$10*fx_deflator!$M$10,"")</f>
        <v/>
      </c>
      <c r="J1162" s="77" t="inlineStr">
        <is>
          <t>Provincial catalogue notices per stage4_cn sec.A-D; D23 renormalised basket</t>
        </is>
      </c>
      <c r="K1162" s="77" t="inlineStr">
        <is>
          <t>stage4_cn r58/r60</t>
        </is>
      </c>
      <c r="L1162" s="77" t="inlineStr">
        <is>
          <t>2026-07-15</t>
        </is>
      </c>
      <c r="M1162" s="77" t="inlineStr">
        <is>
          <t>Y</t>
        </is>
      </c>
      <c r="N1162" s="136">
        <f>IF(ISNUMBER(timeseries!I70),timeseries!I70,"")</f>
        <v/>
      </c>
      <c r="O1162" s="77" t="inlineStr">
        <is>
          <t>CNY/MWh nominal</t>
        </is>
      </c>
      <c r="P1162" s="77" t="inlineStr">
        <is>
          <t>functions 1-4 inseparable at user level pre-reform (D41); coverage row stage4_cn r62</t>
        </is>
      </c>
    </row>
    <row r="1163" ht="15" customHeight="1" s="78">
      <c r="A1163" s="77" t="inlineStr">
        <is>
          <t>CN</t>
        </is>
      </c>
      <c r="B1163" s="77" t="n">
        <v>2016</v>
      </c>
      <c r="C1163" s="77" t="inlineStr">
        <is>
          <t>medium</t>
        </is>
      </c>
      <c r="D1163" s="77" t="inlineStr">
        <is>
          <t>E1=E2</t>
        </is>
      </c>
      <c r="E1163" s="77" t="inlineStr">
        <is>
          <t>Catalogue all-in price (basket, renormalised D23; 2020 incl COVID rebate)</t>
        </is>
      </c>
      <c r="F1163" s="77" t="inlineStr">
        <is>
          <t>1-4 bundled (CN catalogue)</t>
        </is>
      </c>
      <c r="G1163" s="77" t="inlineStr">
        <is>
          <t>catalogue dao-hu price (bundled)</t>
        </is>
      </c>
      <c r="H1163" s="77" t="inlineStr">
        <is>
          <t>i (embeds reverse cross-subsidy: industrial users overpay to subsidise residential/agricultural — opposite direction to UK/DE EII relief)</t>
        </is>
      </c>
      <c r="I1163" s="77">
        <f>IF(ISNUMBER(N1163),N1163/fx_deflator!$K$11*fx_deflator!$M$11,"")</f>
        <v/>
      </c>
      <c r="J1163" s="77" t="inlineStr">
        <is>
          <t>Provincial catalogue notices per stage4_cn sec.A-D; D23 renormalised basket</t>
        </is>
      </c>
      <c r="K1163" s="77" t="inlineStr">
        <is>
          <t>stage4_cn r58/r60</t>
        </is>
      </c>
      <c r="L1163" s="77" t="inlineStr">
        <is>
          <t>2026-07-15</t>
        </is>
      </c>
      <c r="M1163" s="77" t="inlineStr">
        <is>
          <t>Y</t>
        </is>
      </c>
      <c r="N1163" s="136">
        <f>IF(ISNUMBER(timeseries!J70),timeseries!J70,"")</f>
        <v/>
      </c>
      <c r="O1163" s="77" t="inlineStr">
        <is>
          <t>CNY/MWh nominal</t>
        </is>
      </c>
      <c r="P1163" s="77" t="inlineStr">
        <is>
          <t>functions 1-4 inseparable at user level pre-reform (D41); coverage row stage4_cn r62</t>
        </is>
      </c>
    </row>
    <row r="1164" ht="15" customHeight="1" s="78">
      <c r="A1164" s="77" t="inlineStr">
        <is>
          <t>CN</t>
        </is>
      </c>
      <c r="B1164" s="77" t="n">
        <v>2017</v>
      </c>
      <c r="C1164" s="77" t="inlineStr">
        <is>
          <t>medium</t>
        </is>
      </c>
      <c r="D1164" s="77" t="inlineStr">
        <is>
          <t>E1=E2</t>
        </is>
      </c>
      <c r="E1164" s="77" t="inlineStr">
        <is>
          <t>Catalogue all-in price (basket, renormalised D23; 2020 incl COVID rebate)</t>
        </is>
      </c>
      <c r="F1164" s="77" t="inlineStr">
        <is>
          <t>1-4 bundled (CN catalogue)</t>
        </is>
      </c>
      <c r="G1164" s="77" t="inlineStr">
        <is>
          <t>catalogue dao-hu price (bundled)</t>
        </is>
      </c>
      <c r="H1164" s="77" t="inlineStr">
        <is>
          <t>i (embeds reverse cross-subsidy: industrial users overpay to subsidise residential/agricultural — opposite direction to UK/DE EII relief)</t>
        </is>
      </c>
      <c r="I1164" s="77">
        <f>IF(ISNUMBER(N1164),N1164/fx_deflator!$K$12*fx_deflator!$M$12,"")</f>
        <v/>
      </c>
      <c r="J1164" s="77" t="inlineStr">
        <is>
          <t>Provincial catalogue notices per stage4_cn sec.A-D; D23 renormalised basket</t>
        </is>
      </c>
      <c r="K1164" s="77" t="inlineStr">
        <is>
          <t>stage4_cn r58/r60</t>
        </is>
      </c>
      <c r="L1164" s="77" t="inlineStr">
        <is>
          <t>2026-07-15</t>
        </is>
      </c>
      <c r="M1164" s="77" t="inlineStr">
        <is>
          <t>Y</t>
        </is>
      </c>
      <c r="N1164" s="136">
        <f>IF(ISNUMBER(timeseries!K70),timeseries!K70,"")</f>
        <v/>
      </c>
      <c r="O1164" s="77" t="inlineStr">
        <is>
          <t>CNY/MWh nominal</t>
        </is>
      </c>
      <c r="P1164" s="77" t="inlineStr">
        <is>
          <t>functions 1-4 inseparable at user level pre-reform (D41); coverage row stage4_cn r62</t>
        </is>
      </c>
    </row>
    <row r="1165" ht="15" customHeight="1" s="78">
      <c r="A1165" s="77" t="inlineStr">
        <is>
          <t>CN</t>
        </is>
      </c>
      <c r="B1165" s="77" t="n">
        <v>2018</v>
      </c>
      <c r="C1165" s="77" t="inlineStr">
        <is>
          <t>medium</t>
        </is>
      </c>
      <c r="D1165" s="77" t="inlineStr">
        <is>
          <t>E1=E2</t>
        </is>
      </c>
      <c r="E1165" s="77" t="inlineStr">
        <is>
          <t>Catalogue all-in price (basket, renormalised D23; 2020 incl COVID rebate)</t>
        </is>
      </c>
      <c r="F1165" s="77" t="inlineStr">
        <is>
          <t>1-4 bundled (CN catalogue)</t>
        </is>
      </c>
      <c r="G1165" s="77" t="inlineStr">
        <is>
          <t>catalogue dao-hu price (bundled)</t>
        </is>
      </c>
      <c r="H1165" s="77" t="inlineStr">
        <is>
          <t>i (embeds reverse cross-subsidy: industrial users overpay to subsidise residential/agricultural — opposite direction to UK/DE EII relief)</t>
        </is>
      </c>
      <c r="I1165" s="77">
        <f>IF(ISNUMBER(N1165),N1165/fx_deflator!$K$13*fx_deflator!$M$13,"")</f>
        <v/>
      </c>
      <c r="J1165" s="77" t="inlineStr">
        <is>
          <t>Provincial catalogue notices per stage4_cn sec.A-D; D23 renormalised basket</t>
        </is>
      </c>
      <c r="K1165" s="77" t="inlineStr">
        <is>
          <t>stage4_cn r58/r60</t>
        </is>
      </c>
      <c r="L1165" s="77" t="inlineStr">
        <is>
          <t>2026-07-15</t>
        </is>
      </c>
      <c r="M1165" s="77" t="inlineStr">
        <is>
          <t>Y</t>
        </is>
      </c>
      <c r="N1165" s="136">
        <f>IF(ISNUMBER(timeseries!L70),timeseries!L70,"")</f>
        <v/>
      </c>
      <c r="O1165" s="77" t="inlineStr">
        <is>
          <t>CNY/MWh nominal</t>
        </is>
      </c>
      <c r="P1165" s="77" t="inlineStr">
        <is>
          <t>functions 1-4 inseparable at user level pre-reform (D41); coverage row stage4_cn r62</t>
        </is>
      </c>
    </row>
    <row r="1166" ht="15" customHeight="1" s="78">
      <c r="A1166" s="77" t="inlineStr">
        <is>
          <t>CN</t>
        </is>
      </c>
      <c r="B1166" s="77" t="n">
        <v>2019</v>
      </c>
      <c r="C1166" s="77" t="inlineStr">
        <is>
          <t>medium</t>
        </is>
      </c>
      <c r="D1166" s="77" t="inlineStr">
        <is>
          <t>E1=E2</t>
        </is>
      </c>
      <c r="E1166" s="77" t="inlineStr">
        <is>
          <t>Catalogue all-in price (basket, renormalised D23; 2020 incl COVID rebate)</t>
        </is>
      </c>
      <c r="F1166" s="77" t="inlineStr">
        <is>
          <t>1-4 bundled (CN catalogue)</t>
        </is>
      </c>
      <c r="G1166" s="77" t="inlineStr">
        <is>
          <t>catalogue dao-hu price (bundled)</t>
        </is>
      </c>
      <c r="H1166" s="77" t="inlineStr">
        <is>
          <t>i (embeds reverse cross-subsidy: industrial users overpay to subsidise residential/agricultural — opposite direction to UK/DE EII relief)</t>
        </is>
      </c>
      <c r="I1166" s="77">
        <f>IF(ISNUMBER(N1166),N1166/fx_deflator!$K$14*fx_deflator!$M$14,"")</f>
        <v/>
      </c>
      <c r="J1166" s="77" t="inlineStr">
        <is>
          <t>Provincial catalogue notices per stage4_cn sec.A-D; D23 renormalised basket</t>
        </is>
      </c>
      <c r="K1166" s="77" t="inlineStr">
        <is>
          <t>stage4_cn r58/r60</t>
        </is>
      </c>
      <c r="L1166" s="77" t="inlineStr">
        <is>
          <t>2026-07-15</t>
        </is>
      </c>
      <c r="M1166" s="77" t="inlineStr">
        <is>
          <t>Y</t>
        </is>
      </c>
      <c r="N1166" s="136">
        <f>IF(ISNUMBER(timeseries!M70),timeseries!M70,"")</f>
        <v/>
      </c>
      <c r="O1166" s="77" t="inlineStr">
        <is>
          <t>CNY/MWh nominal</t>
        </is>
      </c>
      <c r="P1166" s="77" t="inlineStr">
        <is>
          <t>functions 1-4 inseparable at user level pre-reform (D41); coverage row stage4_cn r62</t>
        </is>
      </c>
    </row>
    <row r="1167" ht="15" customHeight="1" s="78">
      <c r="A1167" s="77" t="inlineStr">
        <is>
          <t>CN</t>
        </is>
      </c>
      <c r="B1167" s="77" t="n">
        <v>2020</v>
      </c>
      <c r="C1167" s="77" t="inlineStr">
        <is>
          <t>medium</t>
        </is>
      </c>
      <c r="D1167" s="77" t="inlineStr">
        <is>
          <t>E1=E2</t>
        </is>
      </c>
      <c r="E1167" s="77" t="inlineStr">
        <is>
          <t>Catalogue all-in price (basket, renormalised D23; 2020 incl COVID rebate)</t>
        </is>
      </c>
      <c r="F1167" s="77" t="inlineStr">
        <is>
          <t>1-4 bundled (CN catalogue)</t>
        </is>
      </c>
      <c r="G1167" s="77" t="inlineStr">
        <is>
          <t>catalogue dao-hu price (bundled)</t>
        </is>
      </c>
      <c r="H1167" s="77" t="inlineStr">
        <is>
          <t>i (embeds reverse cross-subsidy: industrial users overpay to subsidise residential/agricultural — opposite direction to UK/DE EII relief)</t>
        </is>
      </c>
      <c r="I1167" s="77">
        <f>IF(ISNUMBER(N1167),N1167/fx_deflator!$K$15*fx_deflator!$M$15,"")</f>
        <v/>
      </c>
      <c r="J1167" s="77" t="inlineStr">
        <is>
          <t>Provincial catalogue notices per stage4_cn sec.A-D; D23 renormalised basket</t>
        </is>
      </c>
      <c r="K1167" s="77" t="inlineStr">
        <is>
          <t>stage4_cn r58/r60</t>
        </is>
      </c>
      <c r="L1167" s="77" t="inlineStr">
        <is>
          <t>2026-07-15</t>
        </is>
      </c>
      <c r="M1167" s="77" t="inlineStr">
        <is>
          <t>Y</t>
        </is>
      </c>
      <c r="N1167" s="136">
        <f>IF(ISNUMBER(timeseries!N70),timeseries!N70,"")</f>
        <v/>
      </c>
      <c r="O1167" s="77" t="inlineStr">
        <is>
          <t>CNY/MWh nominal</t>
        </is>
      </c>
      <c r="P1167" s="77" t="inlineStr">
        <is>
          <t>functions 1-4 inseparable at user level pre-reform (D41); coverage row stage4_cn r62</t>
        </is>
      </c>
    </row>
    <row r="1168" ht="15" customHeight="1" s="78">
      <c r="A1168" s="77" t="inlineStr">
        <is>
          <t>CN</t>
        </is>
      </c>
      <c r="B1168" s="77" t="n">
        <v>2021</v>
      </c>
      <c r="C1168" s="77" t="inlineStr">
        <is>
          <t>medium</t>
        </is>
      </c>
      <c r="D1168" s="77" t="inlineStr">
        <is>
          <t>E1=E2</t>
        </is>
      </c>
      <c r="E1168" s="77" t="inlineStr">
        <is>
          <t>Catalogue all-in price (basket, renormalised D23; 2020 incl COVID rebate)</t>
        </is>
      </c>
      <c r="F1168" s="77" t="inlineStr">
        <is>
          <t>1-4 bundled (CN catalogue)</t>
        </is>
      </c>
      <c r="G1168" s="77" t="inlineStr">
        <is>
          <t>catalogue dao-hu price (bundled)</t>
        </is>
      </c>
      <c r="H1168" s="77" t="inlineStr">
        <is>
          <t>i (embeds reverse cross-subsidy: industrial users overpay to subsidise residential/agricultural — opposite direction to UK/DE EII relief)</t>
        </is>
      </c>
      <c r="I1168" s="77">
        <f>IF(ISNUMBER(N1168),N1168/fx_deflator!$K$16*fx_deflator!$M$16,"")</f>
        <v/>
      </c>
      <c r="J1168" s="77" t="inlineStr">
        <is>
          <t>Provincial catalogue notices per stage4_cn sec.A-D; D23 renormalised basket</t>
        </is>
      </c>
      <c r="K1168" s="77" t="inlineStr">
        <is>
          <t>stage4_cn r58/r60</t>
        </is>
      </c>
      <c r="L1168" s="77" t="inlineStr">
        <is>
          <t>2026-07-15</t>
        </is>
      </c>
      <c r="M1168" s="77" t="inlineStr">
        <is>
          <t>Y</t>
        </is>
      </c>
      <c r="N1168" s="136">
        <f>IF(ISNUMBER(timeseries!O70),timeseries!O70,"")</f>
        <v/>
      </c>
      <c r="O1168" s="77" t="inlineStr">
        <is>
          <t>CNY/MWh nominal</t>
        </is>
      </c>
      <c r="P1168" s="77" t="inlineStr">
        <is>
          <t>functions 1-4 inseparable at user level pre-reform (D41); coverage row stage4_cn r62</t>
        </is>
      </c>
    </row>
    <row r="1169" ht="16.5" customHeight="1" s="78">
      <c r="A1169" s="77" t="inlineStr">
        <is>
          <t>CN</t>
        </is>
      </c>
      <c r="B1169" s="77" t="n">
        <v>2016</v>
      </c>
      <c r="C1169" s="77" t="inlineStr">
        <is>
          <t>medium</t>
        </is>
      </c>
      <c r="D1169" s="77" t="inlineStr">
        <is>
          <t>E1=E2</t>
        </is>
      </c>
      <c r="E1169" s="77" t="inlineStr">
        <is>
          <t>MEMO within bundle — renewables surcharge (kezaisheng fujia)</t>
        </is>
      </c>
      <c r="F1169" s="77" t="inlineStr">
        <is>
          <t>MEMO — 2 Gen capital recovery (within bundle)</t>
        </is>
      </c>
      <c r="G1169" s="77" t="inlineStr">
        <is>
          <t>government funds &amp; surcharges</t>
        </is>
      </c>
      <c r="H1169" s="77" t="inlineStr">
        <is>
          <t>i (embeds reverse cross-subsidy: industrial users overpay to subsidise residential/agricultural — opposite direction to UK/DE EII relief)</t>
        </is>
      </c>
      <c r="I1169" s="77">
        <f>IF(ISNUMBER(N1169),N1169/fx_deflator!$K$11*fx_deflator!$M$11,"")</f>
        <v/>
      </c>
      <c r="J1169" s="77" t="inlineStr">
        <is>
          <t>NDRC 发改价格[2015]3105号 (1.9 fen/kWh step)</t>
        </is>
      </c>
      <c r="K1169" s="77" t="inlineStr">
        <is>
          <t>national rate; provincial application assumed</t>
        </is>
      </c>
      <c r="L1169" s="77" t="inlineStr">
        <is>
          <t>2026-07-15</t>
        </is>
      </c>
      <c r="M1169" s="77" t="inlineStr">
        <is>
          <t>Y</t>
        </is>
      </c>
      <c r="N1169" s="77" t="n">
        <v>19</v>
      </c>
      <c r="O1169" s="77" t="inlineStr">
        <is>
          <t>CNY/MWh nominal</t>
        </is>
      </c>
      <c r="P1169" s="77" t="inlineStr">
        <is>
          <t>memo only — already inside the bundled catalogue price; earlier (pre-2016) steps not modelled</t>
        </is>
      </c>
    </row>
    <row r="1170" ht="16.5" customHeight="1" s="78">
      <c r="A1170" s="77" t="inlineStr">
        <is>
          <t>CN</t>
        </is>
      </c>
      <c r="B1170" s="77" t="n">
        <v>2017</v>
      </c>
      <c r="C1170" s="77" t="inlineStr">
        <is>
          <t>medium</t>
        </is>
      </c>
      <c r="D1170" s="77" t="inlineStr">
        <is>
          <t>E1=E2</t>
        </is>
      </c>
      <c r="E1170" s="77" t="inlineStr">
        <is>
          <t>MEMO within bundle — renewables surcharge (kezaisheng fujia)</t>
        </is>
      </c>
      <c r="F1170" s="77" t="inlineStr">
        <is>
          <t>MEMO — 2 Gen capital recovery (within bundle)</t>
        </is>
      </c>
      <c r="G1170" s="77" t="inlineStr">
        <is>
          <t>government funds &amp; surcharges</t>
        </is>
      </c>
      <c r="H1170" s="77" t="inlineStr">
        <is>
          <t>i (embeds reverse cross-subsidy: industrial users overpay to subsidise residential/agricultural — opposite direction to UK/DE EII relief)</t>
        </is>
      </c>
      <c r="I1170" s="77">
        <f>IF(ISNUMBER(N1170),N1170/fx_deflator!$K$12*fx_deflator!$M$12,"")</f>
        <v/>
      </c>
      <c r="J1170" s="77" t="inlineStr">
        <is>
          <t>NDRC 发改价格[2015]3105号 (1.9 fen/kWh step)</t>
        </is>
      </c>
      <c r="K1170" s="77" t="inlineStr">
        <is>
          <t>national rate; provincial application assumed</t>
        </is>
      </c>
      <c r="L1170" s="77" t="inlineStr">
        <is>
          <t>2026-07-15</t>
        </is>
      </c>
      <c r="M1170" s="77" t="inlineStr">
        <is>
          <t>Y</t>
        </is>
      </c>
      <c r="N1170" s="77" t="n">
        <v>19</v>
      </c>
      <c r="O1170" s="77" t="inlineStr">
        <is>
          <t>CNY/MWh nominal</t>
        </is>
      </c>
      <c r="P1170" s="77" t="inlineStr">
        <is>
          <t>memo only — already inside the bundled catalogue price; earlier (pre-2016) steps not modelled</t>
        </is>
      </c>
    </row>
    <row r="1171" ht="16.5" customHeight="1" s="78">
      <c r="A1171" s="77" t="inlineStr">
        <is>
          <t>CN</t>
        </is>
      </c>
      <c r="B1171" s="77" t="n">
        <v>2018</v>
      </c>
      <c r="C1171" s="77" t="inlineStr">
        <is>
          <t>medium</t>
        </is>
      </c>
      <c r="D1171" s="77" t="inlineStr">
        <is>
          <t>E1=E2</t>
        </is>
      </c>
      <c r="E1171" s="77" t="inlineStr">
        <is>
          <t>MEMO within bundle — renewables surcharge (kezaisheng fujia)</t>
        </is>
      </c>
      <c r="F1171" s="77" t="inlineStr">
        <is>
          <t>MEMO — 2 Gen capital recovery (within bundle)</t>
        </is>
      </c>
      <c r="G1171" s="77" t="inlineStr">
        <is>
          <t>government funds &amp; surcharges</t>
        </is>
      </c>
      <c r="H1171" s="77" t="inlineStr">
        <is>
          <t>i (embeds reverse cross-subsidy: industrial users overpay to subsidise residential/agricultural — opposite direction to UK/DE EII relief)</t>
        </is>
      </c>
      <c r="I1171" s="77">
        <f>IF(ISNUMBER(N1171),N1171/fx_deflator!$K$13*fx_deflator!$M$13,"")</f>
        <v/>
      </c>
      <c r="J1171" s="77" t="inlineStr">
        <is>
          <t>NDRC 发改价格[2015]3105号 (1.9 fen/kWh step)</t>
        </is>
      </c>
      <c r="K1171" s="77" t="inlineStr">
        <is>
          <t>national rate; provincial application assumed</t>
        </is>
      </c>
      <c r="L1171" s="77" t="inlineStr">
        <is>
          <t>2026-07-15</t>
        </is>
      </c>
      <c r="M1171" s="77" t="inlineStr">
        <is>
          <t>Y</t>
        </is>
      </c>
      <c r="N1171" s="77" t="n">
        <v>19</v>
      </c>
      <c r="O1171" s="77" t="inlineStr">
        <is>
          <t>CNY/MWh nominal</t>
        </is>
      </c>
      <c r="P1171" s="77" t="inlineStr">
        <is>
          <t>memo only — already inside the bundled catalogue price; earlier (pre-2016) steps not modelled</t>
        </is>
      </c>
    </row>
    <row r="1172" ht="16.5" customHeight="1" s="78">
      <c r="A1172" s="77" t="inlineStr">
        <is>
          <t>CN</t>
        </is>
      </c>
      <c r="B1172" s="77" t="n">
        <v>2019</v>
      </c>
      <c r="C1172" s="77" t="inlineStr">
        <is>
          <t>medium</t>
        </is>
      </c>
      <c r="D1172" s="77" t="inlineStr">
        <is>
          <t>E1=E2</t>
        </is>
      </c>
      <c r="E1172" s="77" t="inlineStr">
        <is>
          <t>MEMO within bundle — renewables surcharge (kezaisheng fujia)</t>
        </is>
      </c>
      <c r="F1172" s="77" t="inlineStr">
        <is>
          <t>MEMO — 2 Gen capital recovery (within bundle)</t>
        </is>
      </c>
      <c r="G1172" s="77" t="inlineStr">
        <is>
          <t>government funds &amp; surcharges</t>
        </is>
      </c>
      <c r="H1172" s="77" t="inlineStr">
        <is>
          <t>i (embeds reverse cross-subsidy: industrial users overpay to subsidise residential/agricultural — opposite direction to UK/DE EII relief)</t>
        </is>
      </c>
      <c r="I1172" s="77">
        <f>IF(ISNUMBER(N1172),N1172/fx_deflator!$K$14*fx_deflator!$M$14,"")</f>
        <v/>
      </c>
      <c r="J1172" s="77" t="inlineStr">
        <is>
          <t>NDRC 发改价格[2015]3105号 (1.9 fen/kWh step)</t>
        </is>
      </c>
      <c r="K1172" s="77" t="inlineStr">
        <is>
          <t>national rate; provincial application assumed</t>
        </is>
      </c>
      <c r="L1172" s="77" t="inlineStr">
        <is>
          <t>2026-07-15</t>
        </is>
      </c>
      <c r="M1172" s="77" t="inlineStr">
        <is>
          <t>Y</t>
        </is>
      </c>
      <c r="N1172" s="77" t="n">
        <v>19</v>
      </c>
      <c r="O1172" s="77" t="inlineStr">
        <is>
          <t>CNY/MWh nominal</t>
        </is>
      </c>
      <c r="P1172" s="77" t="inlineStr">
        <is>
          <t>memo only — already inside the bundled catalogue price; earlier (pre-2016) steps not modelled</t>
        </is>
      </c>
    </row>
    <row r="1173" ht="16.5" customHeight="1" s="78">
      <c r="A1173" s="77" t="inlineStr">
        <is>
          <t>CN</t>
        </is>
      </c>
      <c r="B1173" s="77" t="n">
        <v>2020</v>
      </c>
      <c r="C1173" s="77" t="inlineStr">
        <is>
          <t>medium</t>
        </is>
      </c>
      <c r="D1173" s="77" t="inlineStr">
        <is>
          <t>E1=E2</t>
        </is>
      </c>
      <c r="E1173" s="77" t="inlineStr">
        <is>
          <t>MEMO within bundle — renewables surcharge (kezaisheng fujia)</t>
        </is>
      </c>
      <c r="F1173" s="77" t="inlineStr">
        <is>
          <t>MEMO — 2 Gen capital recovery (within bundle)</t>
        </is>
      </c>
      <c r="G1173" s="77" t="inlineStr">
        <is>
          <t>government funds &amp; surcharges</t>
        </is>
      </c>
      <c r="H1173" s="77" t="inlineStr">
        <is>
          <t>i (embeds reverse cross-subsidy: industrial users overpay to subsidise residential/agricultural — opposite direction to UK/DE EII relief)</t>
        </is>
      </c>
      <c r="I1173" s="77">
        <f>IF(ISNUMBER(N1173),N1173/fx_deflator!$K$15*fx_deflator!$M$15,"")</f>
        <v/>
      </c>
      <c r="J1173" s="77" t="inlineStr">
        <is>
          <t>NDRC 发改价格[2015]3105号 (1.9 fen/kWh step)</t>
        </is>
      </c>
      <c r="K1173" s="77" t="inlineStr">
        <is>
          <t>national rate; provincial application assumed</t>
        </is>
      </c>
      <c r="L1173" s="77" t="inlineStr">
        <is>
          <t>2026-07-15</t>
        </is>
      </c>
      <c r="M1173" s="77" t="inlineStr">
        <is>
          <t>Y</t>
        </is>
      </c>
      <c r="N1173" s="77" t="n">
        <v>19</v>
      </c>
      <c r="O1173" s="77" t="inlineStr">
        <is>
          <t>CNY/MWh nominal</t>
        </is>
      </c>
      <c r="P1173" s="77" t="inlineStr">
        <is>
          <t>memo only — already inside the bundled catalogue price; earlier (pre-2016) steps not modelled</t>
        </is>
      </c>
    </row>
    <row r="1174" ht="16.5" customHeight="1" s="78">
      <c r="A1174" s="77" t="inlineStr">
        <is>
          <t>CN</t>
        </is>
      </c>
      <c r="B1174" s="77" t="n">
        <v>2021</v>
      </c>
      <c r="C1174" s="77" t="inlineStr">
        <is>
          <t>medium</t>
        </is>
      </c>
      <c r="D1174" s="77" t="inlineStr">
        <is>
          <t>E1=E2</t>
        </is>
      </c>
      <c r="E1174" s="77" t="inlineStr">
        <is>
          <t>MEMO within bundle — renewables surcharge (kezaisheng fujia)</t>
        </is>
      </c>
      <c r="F1174" s="77" t="inlineStr">
        <is>
          <t>MEMO — 2 Gen capital recovery (within bundle)</t>
        </is>
      </c>
      <c r="G1174" s="77" t="inlineStr">
        <is>
          <t>government funds &amp; surcharges</t>
        </is>
      </c>
      <c r="H1174" s="77" t="inlineStr">
        <is>
          <t>i (embeds reverse cross-subsidy: industrial users overpay to subsidise residential/agricultural — opposite direction to UK/DE EII relief)</t>
        </is>
      </c>
      <c r="I1174" s="77">
        <f>IF(ISNUMBER(N1174),N1174/fx_deflator!$K$16*fx_deflator!$M$16,"")</f>
        <v/>
      </c>
      <c r="J1174" s="77" t="inlineStr">
        <is>
          <t>NDRC 发改价格[2015]3105号 (1.9 fen/kWh step)</t>
        </is>
      </c>
      <c r="K1174" s="77" t="inlineStr">
        <is>
          <t>national rate; provincial application assumed</t>
        </is>
      </c>
      <c r="L1174" s="77" t="inlineStr">
        <is>
          <t>2026-07-15</t>
        </is>
      </c>
      <c r="M1174" s="77" t="inlineStr">
        <is>
          <t>Y</t>
        </is>
      </c>
      <c r="N1174" s="77" t="n">
        <v>19</v>
      </c>
      <c r="O1174" s="77" t="inlineStr">
        <is>
          <t>CNY/MWh nominal</t>
        </is>
      </c>
      <c r="P1174" s="77" t="inlineStr">
        <is>
          <t>memo only — already inside the bundled catalogue price; earlier (pre-2016) steps not modelled</t>
        </is>
      </c>
    </row>
    <row r="1175" ht="15" customHeight="1" s="78">
      <c r="A1175" s="77" t="inlineStr">
        <is>
          <t>CN</t>
        </is>
      </c>
      <c r="B1175" s="77" t="n">
        <v>2022</v>
      </c>
      <c r="C1175" s="77" t="inlineStr">
        <is>
          <t>large</t>
        </is>
      </c>
      <c r="D1175" s="77" t="inlineStr">
        <is>
          <t>E1=E2</t>
        </is>
      </c>
      <c r="E1175" s="77" t="inlineStr">
        <is>
          <t>JS direct-market energy price (annual avg) [JS representative, D41]</t>
        </is>
      </c>
      <c r="F1175" s="77" t="inlineStr">
        <is>
          <t>1 Commodity</t>
        </is>
      </c>
      <c r="G1175" s="77" t="inlineStr">
        <is>
          <t>market transaction price</t>
        </is>
      </c>
      <c r="H1175" s="77" t="inlineStr">
        <is>
          <t>i (embeds reverse cross-subsidy: industrial users overpay to subsidise residential/agricultural — opposite direction to UK/DE EII relief)</t>
        </is>
      </c>
      <c r="I1175" s="77">
        <f>IF(ISNUMBER(N1175),N1175/fx_deflator!$K$17*fx_deflator!$M$17,"")</f>
        <v/>
      </c>
      <c r="J1175" s="77" t="inlineStr">
        <is>
          <t>Jiangsu exchange via aggregators (Tier-2 relay, flagged)</t>
        </is>
      </c>
      <c r="K1175" s="77" t="inlineStr">
        <is>
          <t>stage4_cn r66</t>
        </is>
      </c>
      <c r="L1175" s="77" t="inlineStr">
        <is>
          <t>2026-07-15</t>
        </is>
      </c>
      <c r="M1175" s="77" t="inlineStr">
        <is>
          <t>Y</t>
        </is>
      </c>
      <c r="N1175" s="77">
        <f>IF(ISNUMBER(stage4_cn!P66),stage4_cn!P66,"")</f>
        <v/>
      </c>
      <c r="O1175" s="77" t="inlineStr">
        <is>
          <t>CNY/MWh nominal</t>
        </is>
      </c>
    </row>
    <row r="1176" ht="15" customHeight="1" s="78">
      <c r="A1176" s="77" t="inlineStr">
        <is>
          <t>CN</t>
        </is>
      </c>
      <c r="B1176" s="77" t="n">
        <v>2022</v>
      </c>
      <c r="C1176" s="77" t="inlineStr">
        <is>
          <t>large</t>
        </is>
      </c>
      <c r="D1176" s="77" t="inlineStr">
        <is>
          <t>E1=E2</t>
        </is>
      </c>
      <c r="E1176" s="77" t="inlineStr">
        <is>
          <t>Line-loss cost (market price x 3.18 pct) [JS representative, D41]</t>
        </is>
      </c>
      <c r="F1176" s="77" t="inlineStr">
        <is>
          <t>1 Commodity</t>
        </is>
      </c>
      <c r="G1176" s="77" t="inlineStr">
        <is>
          <t>shangwang line loss</t>
        </is>
      </c>
      <c r="H1176" s="77" t="inlineStr">
        <is>
          <t>i (embeds reverse cross-subsidy: industrial users overpay to subsidise residential/agricultural — opposite direction to UK/DE EII relief)</t>
        </is>
      </c>
      <c r="I1176" s="77">
        <f>IF(ISNUMBER(N1176),N1176/fx_deflator!$K$17*fx_deflator!$M$17,"")</f>
        <v/>
      </c>
      <c r="J1176" s="77" t="inlineStr">
        <is>
          <t>526-hao JS line-loss rate</t>
        </is>
      </c>
      <c r="K1176" s="77" t="inlineStr">
        <is>
          <t>stage4_cn r78</t>
        </is>
      </c>
      <c r="L1176" s="77" t="inlineStr">
        <is>
          <t>2026-07-15</t>
        </is>
      </c>
      <c r="M1176" s="77" t="inlineStr">
        <is>
          <t>Y</t>
        </is>
      </c>
      <c r="N1176" s="77">
        <f>IF(ISNUMBER(stage4_cn!P66),stage4_cn!P66*stage4_cn!$D$78,"")</f>
        <v/>
      </c>
      <c r="O1176" s="77" t="inlineStr">
        <is>
          <t>CNY/MWh nominal</t>
        </is>
      </c>
    </row>
    <row r="1177" ht="15" customHeight="1" s="78">
      <c r="A1177" s="77" t="inlineStr">
        <is>
          <t>CN</t>
        </is>
      </c>
      <c r="B1177" s="77" t="n">
        <v>2022</v>
      </c>
      <c r="C1177" s="77" t="inlineStr">
        <is>
          <t>large</t>
        </is>
      </c>
      <c r="D1177" s="77" t="inlineStr">
        <is>
          <t>E1=E2</t>
        </is>
      </c>
      <c r="E1177" s="77" t="inlineStr">
        <is>
          <t>T&amp;D price, volumetric (220kV; P2/P3 per effective dates) [JS representative, D41]</t>
        </is>
      </c>
      <c r="F1177" s="77" t="inlineStr">
        <is>
          <t>3 Network</t>
        </is>
      </c>
      <c r="G1177" s="77" t="inlineStr">
        <is>
          <t>shupeidianjia (T&amp;D tariff)</t>
        </is>
      </c>
      <c r="H1177" s="77" t="inlineStr">
        <is>
          <t>i (embeds reverse cross-subsidy: industrial users overpay to subsidise residential/agricultural — opposite direction to UK/DE EII relief)</t>
        </is>
      </c>
      <c r="I1177" s="77">
        <f>IF(ISNUMBER(N1177),N1177/fx_deflator!$K$17*fx_deflator!$M$17,"")</f>
        <v/>
      </c>
      <c r="J1177" s="77" t="inlineStr">
        <is>
          <t>1508-hao / 526-hao annexes (cn_td tab)</t>
        </is>
      </c>
      <c r="K1177" s="77" t="inlineStr">
        <is>
          <t>cn_td r5; stage4_cn r73</t>
        </is>
      </c>
      <c r="L1177" s="77" t="inlineStr">
        <is>
          <t>2026-07-15</t>
        </is>
      </c>
      <c r="M1177" s="77" t="inlineStr">
        <is>
          <t>Y</t>
        </is>
      </c>
      <c r="N1177" s="77">
        <f>stage4_cn!$D$73*1000</f>
        <v/>
      </c>
      <c r="O1177" s="77" t="inlineStr">
        <is>
          <t>CNY/MWh nominal</t>
        </is>
      </c>
    </row>
    <row r="1178" ht="15" customHeight="1" s="78">
      <c r="A1178" s="77" t="inlineStr">
        <is>
          <t>CN</t>
        </is>
      </c>
      <c r="B1178" s="77" t="n">
        <v>2022</v>
      </c>
      <c r="C1178" s="77" t="inlineStr">
        <is>
          <t>large</t>
        </is>
      </c>
      <c r="D1178" s="77" t="inlineStr">
        <is>
          <t>E1=E2</t>
        </is>
      </c>
      <c r="E1178" s="77" t="inlineStr">
        <is>
          <t>T&amp;D demand charge, amortised (41.6 yuan/kW-month at 8,000h) [JS representative, D41]</t>
        </is>
      </c>
      <c r="F1178" s="77" t="inlineStr">
        <is>
          <t>3 Network</t>
        </is>
      </c>
      <c r="G1178" s="77" t="inlineStr">
        <is>
          <t>shupeidianjia demand charge</t>
        </is>
      </c>
      <c r="H1178" s="77" t="inlineStr">
        <is>
          <t>i (embeds reverse cross-subsidy: industrial users overpay to subsidise residential/agricultural — opposite direction to UK/DE EII relief)</t>
        </is>
      </c>
      <c r="I1178" s="77">
        <f>IF(ISNUMBER(N1178),N1178/fx_deflator!$K$17*fx_deflator!$M$17,"")</f>
        <v/>
      </c>
      <c r="J1178" s="77" t="inlineStr">
        <is>
          <t>526-hao annex (cn_td tab)</t>
        </is>
      </c>
      <c r="K1178" s="77" t="inlineStr">
        <is>
          <t>cn_td r5</t>
        </is>
      </c>
      <c r="L1178" s="77" t="inlineStr">
        <is>
          <t>2026-07-15</t>
        </is>
      </c>
      <c r="M1178" s="77" t="inlineStr">
        <is>
          <t>Y</t>
        </is>
      </c>
      <c r="N1178" s="77">
        <f>stage4_cn!$D$74*12*1000/assumptions!$B$7</f>
        <v/>
      </c>
      <c r="O1178" s="77" t="inlineStr">
        <is>
          <t>CNY/MWh nominal</t>
        </is>
      </c>
    </row>
    <row r="1179" ht="15" customHeight="1" s="78">
      <c r="A1179" s="77" t="inlineStr">
        <is>
          <t>CN</t>
        </is>
      </c>
      <c r="B1179" s="77" t="n">
        <v>2022</v>
      </c>
      <c r="C1179" s="77" t="inlineStr">
        <is>
          <t>large</t>
        </is>
      </c>
      <c r="D1179" s="77" t="inlineStr">
        <is>
          <t>E1=E2</t>
        </is>
      </c>
      <c r="E1179" s="77" t="inlineStr">
        <is>
          <t>System operation fee (xitong yunxing fei; JS true annuals) [JS representative, D41]</t>
        </is>
      </c>
      <c r="F1179" s="77" t="inlineStr">
        <is>
          <t>4 System services &amp; balancing</t>
        </is>
      </c>
      <c r="G1179" s="77" t="inlineStr">
        <is>
          <t>system operation fee</t>
        </is>
      </c>
      <c r="H1179" s="77" t="inlineStr">
        <is>
          <t>i (embeds reverse cross-subsidy: industrial users overpay to subsidise residential/agricultural — opposite direction to UK/DE EII relief)</t>
        </is>
      </c>
      <c r="I1179" s="77">
        <f>IF(ISNUMBER(N1179),N1179/fx_deflator!$K$17*fx_deflator!$M$17,"")</f>
        <v/>
      </c>
      <c r="J1179" s="77" t="inlineStr">
        <is>
          <t>SGCC JS monthly daigou gongdian notices</t>
        </is>
      </c>
      <c r="K1179" s="77" t="inlineStr">
        <is>
          <t>stage4_cn r81</t>
        </is>
      </c>
      <c r="L1179" s="77" t="inlineStr">
        <is>
          <t>2026-07-15</t>
        </is>
      </c>
      <c r="M1179" s="77" t="inlineStr">
        <is>
          <t>Y</t>
        </is>
      </c>
      <c r="N1179" s="77">
        <f>IF(ISNUMBER(stage4_cn!P81),stage4_cn!P81*1000,"")</f>
        <v/>
      </c>
      <c r="O1179" s="77" t="inlineStr">
        <is>
          <t>CNY/MWh nominal</t>
        </is>
      </c>
      <c r="P1179" s="77" t="inlineStr">
        <is>
          <t>system-op fee embeds meidian rongliang capacity charge (function 2 per D9) — split unpublished, Q43</t>
        </is>
      </c>
    </row>
    <row r="1180" ht="15" customHeight="1" s="78">
      <c r="A1180" s="77" t="inlineStr">
        <is>
          <t>CN</t>
        </is>
      </c>
      <c r="B1180" s="77" t="n">
        <v>2022</v>
      </c>
      <c r="C1180" s="77" t="inlineStr">
        <is>
          <t>large</t>
        </is>
      </c>
      <c r="D1180" s="77" t="inlineStr">
        <is>
          <t>E1=E2</t>
        </is>
      </c>
      <c r="E1180" s="77" t="inlineStr">
        <is>
          <t>Government funds — renewables surcharge (1.9 fen) [JS representative, D41]</t>
        </is>
      </c>
      <c r="F1180" s="77" t="inlineStr">
        <is>
          <t>2 Gen capital recovery</t>
        </is>
      </c>
      <c r="G1180" s="77" t="inlineStr">
        <is>
          <t>government funds &amp; surcharges</t>
        </is>
      </c>
      <c r="H1180" s="77" t="inlineStr">
        <is>
          <t>i (embeds reverse cross-subsidy: industrial users overpay to subsidise residential/agricultural — opposite direction to UK/DE EII relief)</t>
        </is>
      </c>
      <c r="I1180" s="77">
        <f>IF(ISNUMBER(N1180),N1180/fx_deflator!$K$17*fx_deflator!$M$17,"")</f>
        <v/>
      </c>
      <c r="J1180" s="77" t="inlineStr">
        <is>
          <t>3105-hao within JS funds total</t>
        </is>
      </c>
      <c r="K1180" s="77" t="inlineStr">
        <is>
          <t>stage4_cn r79</t>
        </is>
      </c>
      <c r="L1180" s="77" t="inlineStr">
        <is>
          <t>2026-07-15</t>
        </is>
      </c>
      <c r="M1180" s="77" t="inlineStr">
        <is>
          <t>Y</t>
        </is>
      </c>
      <c r="N1180" s="77">
        <f>19</f>
        <v/>
      </c>
      <c r="O1180" s="77" t="inlineStr">
        <is>
          <t>CNY/MWh nominal</t>
        </is>
      </c>
    </row>
    <row r="1181" ht="15" customHeight="1" s="78">
      <c r="A1181" s="77" t="inlineStr">
        <is>
          <t>CN</t>
        </is>
      </c>
      <c r="B1181" s="77" t="n">
        <v>2022</v>
      </c>
      <c r="C1181" s="77" t="inlineStr">
        <is>
          <t>large</t>
        </is>
      </c>
      <c r="D1181" s="77" t="inlineStr">
        <is>
          <t>E1=E2</t>
        </is>
      </c>
      <c r="E1181" s="77" t="inlineStr">
        <is>
          <t>Government funds — other (water conservancy, reservoir resettlement) [JS representative, D41]</t>
        </is>
      </c>
      <c r="F1181" s="77" t="inlineStr">
        <is>
          <t>5 General taxation &amp; levies</t>
        </is>
      </c>
      <c r="G1181" s="77" t="inlineStr">
        <is>
          <t>government funds &amp; surcharges</t>
        </is>
      </c>
      <c r="H1181" s="77" t="inlineStr">
        <is>
          <t>i (embeds reverse cross-subsidy: industrial users overpay to subsidise residential/agricultural — opposite direction to UK/DE EII relief)</t>
        </is>
      </c>
      <c r="I1181" s="77">
        <f>IF(ISNUMBER(N1181),N1181/fx_deflator!$K$17*fx_deflator!$M$17,"")</f>
        <v/>
      </c>
      <c r="J1181" s="77" t="inlineStr">
        <is>
          <t>JS daigou gongdian table funds total minus renewables</t>
        </is>
      </c>
      <c r="K1181" s="77" t="inlineStr">
        <is>
          <t>stage4_cn r79</t>
        </is>
      </c>
      <c r="L1181" s="77" t="inlineStr">
        <is>
          <t>2026-07-15</t>
        </is>
      </c>
      <c r="M1181" s="77" t="inlineStr">
        <is>
          <t>Y</t>
        </is>
      </c>
      <c r="N1181" s="77">
        <f>stage4_cn!$D$79*1000-19</f>
        <v/>
      </c>
      <c r="O1181" s="77" t="inlineStr">
        <is>
          <t>CNY/MWh nominal</t>
        </is>
      </c>
    </row>
    <row r="1182" ht="15" customHeight="1" s="78">
      <c r="A1182" s="77" t="inlineStr">
        <is>
          <t>CN</t>
        </is>
      </c>
      <c r="B1182" s="77" t="n">
        <v>2022</v>
      </c>
      <c r="C1182" s="77" t="inlineStr">
        <is>
          <t>medium</t>
        </is>
      </c>
      <c r="D1182" s="77" t="inlineStr">
        <is>
          <t>E1=E2</t>
        </is>
      </c>
      <c r="E1182" s="77" t="inlineStr">
        <is>
          <t>JS agency-purchase price (daigou gongdian, 1-10kV) [JS representative, D41]</t>
        </is>
      </c>
      <c r="F1182" s="77" t="inlineStr">
        <is>
          <t>1 Commodity</t>
        </is>
      </c>
      <c r="G1182" s="77" t="inlineStr">
        <is>
          <t>agency purchase price</t>
        </is>
      </c>
      <c r="H1182" s="77" t="inlineStr">
        <is>
          <t>i (embeds reverse cross-subsidy: industrial users overpay to subsidise residential/agricultural — opposite direction to UK/DE EII relief)</t>
        </is>
      </c>
      <c r="I1182" s="77">
        <f>IF(ISNUMBER(N1182),N1182/fx_deflator!$K$17*fx_deflator!$M$17,"")</f>
        <v/>
      </c>
      <c r="J1182" s="77" t="inlineStr">
        <is>
          <t>SGCC JS monthly daigou gongdian notices</t>
        </is>
      </c>
      <c r="K1182" s="77" t="inlineStr">
        <is>
          <t>stage4_cn r92</t>
        </is>
      </c>
      <c r="L1182" s="77" t="inlineStr">
        <is>
          <t>2026-07-15</t>
        </is>
      </c>
      <c r="M1182" s="77" t="inlineStr">
        <is>
          <t>Y</t>
        </is>
      </c>
      <c r="N1182" s="77">
        <f>IF(ISNUMBER(stage4_cn!P92),stage4_cn!P92*1000,"")</f>
        <v/>
      </c>
      <c r="O1182" s="77" t="inlineStr">
        <is>
          <t>CNY/MWh nominal</t>
        </is>
      </c>
    </row>
    <row r="1183" ht="15" customHeight="1" s="78">
      <c r="A1183" s="77" t="inlineStr">
        <is>
          <t>CN</t>
        </is>
      </c>
      <c r="B1183" s="77" t="n">
        <v>2022</v>
      </c>
      <c r="C1183" s="77" t="inlineStr">
        <is>
          <t>medium</t>
        </is>
      </c>
      <c r="D1183" s="77" t="inlineStr">
        <is>
          <t>E1=E2</t>
        </is>
      </c>
      <c r="E1183" s="77" t="inlineStr">
        <is>
          <t>T&amp;D price, volumetric (1-10kV) [JS representative, D41]</t>
        </is>
      </c>
      <c r="F1183" s="77" t="inlineStr">
        <is>
          <t>3 Network</t>
        </is>
      </c>
      <c r="G1183" s="77" t="inlineStr">
        <is>
          <t>shupeidianjia (T&amp;D tariff)</t>
        </is>
      </c>
      <c r="H1183" s="77" t="inlineStr">
        <is>
          <t>i (embeds reverse cross-subsidy: industrial users overpay to subsidise residential/agricultural — opposite direction to UK/DE EII relief)</t>
        </is>
      </c>
      <c r="I1183" s="77">
        <f>IF(ISNUMBER(N1183),N1183/fx_deflator!$K$17*fx_deflator!$M$17,"")</f>
        <v/>
      </c>
      <c r="J1183" s="77" t="inlineStr">
        <is>
          <t>1508/526-hao annexes</t>
        </is>
      </c>
      <c r="K1183" s="77" t="inlineStr">
        <is>
          <t>cn_td r5; stage4_cn r75</t>
        </is>
      </c>
      <c r="L1183" s="77" t="inlineStr">
        <is>
          <t>2026-07-15</t>
        </is>
      </c>
      <c r="M1183" s="77" t="inlineStr">
        <is>
          <t>Y</t>
        </is>
      </c>
      <c r="N1183" s="77">
        <f>stage4_cn!$D$75*1000</f>
        <v/>
      </c>
      <c r="O1183" s="77" t="inlineStr">
        <is>
          <t>CNY/MWh nominal</t>
        </is>
      </c>
    </row>
    <row r="1184" ht="15" customHeight="1" s="78">
      <c r="A1184" s="77" t="inlineStr">
        <is>
          <t>CN</t>
        </is>
      </c>
      <c r="B1184" s="77" t="n">
        <v>2022</v>
      </c>
      <c r="C1184" s="77" t="inlineStr">
        <is>
          <t>medium</t>
        </is>
      </c>
      <c r="D1184" s="77" t="inlineStr">
        <is>
          <t>E1=E2</t>
        </is>
      </c>
      <c r="E1184" s="77" t="inlineStr">
        <is>
          <t>T&amp;D demand charge, amortised (at 5,000h) [JS representative, D41]</t>
        </is>
      </c>
      <c r="F1184" s="77" t="inlineStr">
        <is>
          <t>3 Network</t>
        </is>
      </c>
      <c r="G1184" s="77" t="inlineStr">
        <is>
          <t>shupeidianjia demand charge</t>
        </is>
      </c>
      <c r="H1184" s="77" t="inlineStr">
        <is>
          <t>i (embeds reverse cross-subsidy: industrial users overpay to subsidise residential/agricultural — opposite direction to UK/DE EII relief)</t>
        </is>
      </c>
      <c r="I1184" s="77">
        <f>IF(ISNUMBER(N1184),N1184/fx_deflator!$K$17*fx_deflator!$M$17,"")</f>
        <v/>
      </c>
      <c r="J1184" s="77" t="inlineStr">
        <is>
          <t>1508/526-hao annexes</t>
        </is>
      </c>
      <c r="K1184" s="77" t="inlineStr">
        <is>
          <t>stage4_cn r74/76</t>
        </is>
      </c>
      <c r="L1184" s="77" t="inlineStr">
        <is>
          <t>2026-07-15</t>
        </is>
      </c>
      <c r="M1184" s="77" t="inlineStr">
        <is>
          <t>Y</t>
        </is>
      </c>
      <c r="N1184" s="77">
        <f>stage4_cn!$D$74*12*1000/assumptions!$C$7</f>
        <v/>
      </c>
      <c r="O1184" s="77" t="inlineStr">
        <is>
          <t>CNY/MWh nominal</t>
        </is>
      </c>
    </row>
    <row r="1185" ht="15" customHeight="1" s="78">
      <c r="A1185" s="77" t="inlineStr">
        <is>
          <t>CN</t>
        </is>
      </c>
      <c r="B1185" s="77" t="n">
        <v>2022</v>
      </c>
      <c r="C1185" s="77" t="inlineStr">
        <is>
          <t>medium</t>
        </is>
      </c>
      <c r="D1185" s="77" t="inlineStr">
        <is>
          <t>E1=E2</t>
        </is>
      </c>
      <c r="E1185" s="77" t="inlineStr">
        <is>
          <t>Government funds — renewables surcharge [JS representative, D41]</t>
        </is>
      </c>
      <c r="F1185" s="77" t="inlineStr">
        <is>
          <t>2 Gen capital recovery</t>
        </is>
      </c>
      <c r="G1185" s="77" t="inlineStr">
        <is>
          <t>government funds &amp; surcharges</t>
        </is>
      </c>
      <c r="H1185" s="77" t="inlineStr">
        <is>
          <t>i (embeds reverse cross-subsidy: industrial users overpay to subsidise residential/agricultural — opposite direction to UK/DE EII relief)</t>
        </is>
      </c>
      <c r="I1185" s="77">
        <f>IF(ISNUMBER(N1185),N1185/fx_deflator!$K$17*fx_deflator!$M$17,"")</f>
        <v/>
      </c>
      <c r="J1185" s="77" t="inlineStr">
        <is>
          <t>3105-hao</t>
        </is>
      </c>
      <c r="K1185" s="77" t="inlineStr">
        <is>
          <t>stage4_cn r79</t>
        </is>
      </c>
      <c r="L1185" s="77" t="inlineStr">
        <is>
          <t>2026-07-15</t>
        </is>
      </c>
      <c r="M1185" s="77" t="inlineStr">
        <is>
          <t>Y</t>
        </is>
      </c>
      <c r="N1185" s="77">
        <f>19</f>
        <v/>
      </c>
      <c r="O1185" s="77" t="inlineStr">
        <is>
          <t>CNY/MWh nominal</t>
        </is>
      </c>
    </row>
    <row r="1186" ht="15" customHeight="1" s="78">
      <c r="A1186" s="77" t="inlineStr">
        <is>
          <t>CN</t>
        </is>
      </c>
      <c r="B1186" s="77" t="n">
        <v>2022</v>
      </c>
      <c r="C1186" s="77" t="inlineStr">
        <is>
          <t>medium</t>
        </is>
      </c>
      <c r="D1186" s="77" t="inlineStr">
        <is>
          <t>E1=E2</t>
        </is>
      </c>
      <c r="E1186" s="77" t="inlineStr">
        <is>
          <t>Government funds — other [JS representative, D41]</t>
        </is>
      </c>
      <c r="F1186" s="77" t="inlineStr">
        <is>
          <t>5 General taxation &amp; levies</t>
        </is>
      </c>
      <c r="G1186" s="77" t="inlineStr">
        <is>
          <t>government funds &amp; surcharges</t>
        </is>
      </c>
      <c r="H1186" s="77" t="inlineStr">
        <is>
          <t>i (embeds reverse cross-subsidy: industrial users overpay to subsidise residential/agricultural — opposite direction to UK/DE EII relief)</t>
        </is>
      </c>
      <c r="I1186" s="77">
        <f>IF(ISNUMBER(N1186),N1186/fx_deflator!$K$17*fx_deflator!$M$17,"")</f>
        <v/>
      </c>
      <c r="J1186" s="77" t="inlineStr">
        <is>
          <t>JS funds total minus renewables</t>
        </is>
      </c>
      <c r="K1186" s="77" t="inlineStr">
        <is>
          <t>stage4_cn r79</t>
        </is>
      </c>
      <c r="L1186" s="77" t="inlineStr">
        <is>
          <t>2026-07-15</t>
        </is>
      </c>
      <c r="M1186" s="77" t="inlineStr">
        <is>
          <t>Y</t>
        </is>
      </c>
      <c r="N1186" s="77">
        <f>stage4_cn!$D$79*1000-19</f>
        <v/>
      </c>
      <c r="O1186" s="77" t="inlineStr">
        <is>
          <t>CNY/MWh nominal</t>
        </is>
      </c>
    </row>
    <row r="1187" ht="15" customHeight="1" s="78">
      <c r="A1187" s="77" t="inlineStr">
        <is>
          <t>CN</t>
        </is>
      </c>
      <c r="B1187" s="77" t="n">
        <v>2023</v>
      </c>
      <c r="C1187" s="77" t="inlineStr">
        <is>
          <t>large</t>
        </is>
      </c>
      <c r="D1187" s="77" t="inlineStr">
        <is>
          <t>E1=E2</t>
        </is>
      </c>
      <c r="E1187" s="77" t="inlineStr">
        <is>
          <t>JS direct-market energy price (annual avg) [JS representative, D41]</t>
        </is>
      </c>
      <c r="F1187" s="77" t="inlineStr">
        <is>
          <t>1 Commodity</t>
        </is>
      </c>
      <c r="G1187" s="77" t="inlineStr">
        <is>
          <t>market transaction price</t>
        </is>
      </c>
      <c r="H1187" s="77" t="inlineStr">
        <is>
          <t>i (embeds reverse cross-subsidy: industrial users overpay to subsidise residential/agricultural — opposite direction to UK/DE EII relief)</t>
        </is>
      </c>
      <c r="I1187" s="77">
        <f>IF(ISNUMBER(N1187),N1187/fx_deflator!$K$18*fx_deflator!$M$18,"")</f>
        <v/>
      </c>
      <c r="J1187" s="77" t="inlineStr">
        <is>
          <t>Jiangsu exchange via aggregators (Tier-2 relay, flagged)</t>
        </is>
      </c>
      <c r="K1187" s="77" t="inlineStr">
        <is>
          <t>stage4_cn r66</t>
        </is>
      </c>
      <c r="L1187" s="77" t="inlineStr">
        <is>
          <t>2026-07-15</t>
        </is>
      </c>
      <c r="M1187" s="77" t="inlineStr">
        <is>
          <t>Y</t>
        </is>
      </c>
      <c r="N1187" s="77">
        <f>IF(ISNUMBER(stage4_cn!Q66),stage4_cn!Q66,"")</f>
        <v/>
      </c>
      <c r="O1187" s="77" t="inlineStr">
        <is>
          <t>CNY/MWh nominal</t>
        </is>
      </c>
    </row>
    <row r="1188" ht="15" customHeight="1" s="78">
      <c r="A1188" s="77" t="inlineStr">
        <is>
          <t>CN</t>
        </is>
      </c>
      <c r="B1188" s="77" t="n">
        <v>2023</v>
      </c>
      <c r="C1188" s="77" t="inlineStr">
        <is>
          <t>large</t>
        </is>
      </c>
      <c r="D1188" s="77" t="inlineStr">
        <is>
          <t>E1=E2</t>
        </is>
      </c>
      <c r="E1188" s="77" t="inlineStr">
        <is>
          <t>Line-loss cost (market price x 3.18 pct) [JS representative, D41]</t>
        </is>
      </c>
      <c r="F1188" s="77" t="inlineStr">
        <is>
          <t>1 Commodity</t>
        </is>
      </c>
      <c r="G1188" s="77" t="inlineStr">
        <is>
          <t>shangwang line loss</t>
        </is>
      </c>
      <c r="H1188" s="77" t="inlineStr">
        <is>
          <t>i (embeds reverse cross-subsidy: industrial users overpay to subsidise residential/agricultural — opposite direction to UK/DE EII relief)</t>
        </is>
      </c>
      <c r="I1188" s="77">
        <f>IF(ISNUMBER(N1188),N1188/fx_deflator!$K$18*fx_deflator!$M$18,"")</f>
        <v/>
      </c>
      <c r="J1188" s="77" t="inlineStr">
        <is>
          <t>526-hao JS line-loss rate</t>
        </is>
      </c>
      <c r="K1188" s="77" t="inlineStr">
        <is>
          <t>stage4_cn r78</t>
        </is>
      </c>
      <c r="L1188" s="77" t="inlineStr">
        <is>
          <t>2026-07-15</t>
        </is>
      </c>
      <c r="M1188" s="77" t="inlineStr">
        <is>
          <t>Y</t>
        </is>
      </c>
      <c r="N1188" s="77">
        <f>IF(ISNUMBER(stage4_cn!Q66),stage4_cn!Q66*stage4_cn!$D$78,"")</f>
        <v/>
      </c>
      <c r="O1188" s="77" t="inlineStr">
        <is>
          <t>CNY/MWh nominal</t>
        </is>
      </c>
    </row>
    <row r="1189" ht="15" customHeight="1" s="78">
      <c r="A1189" s="77" t="inlineStr">
        <is>
          <t>CN</t>
        </is>
      </c>
      <c r="B1189" s="77" t="n">
        <v>2023</v>
      </c>
      <c r="C1189" s="77" t="inlineStr">
        <is>
          <t>large</t>
        </is>
      </c>
      <c r="D1189" s="77" t="inlineStr">
        <is>
          <t>E1=E2</t>
        </is>
      </c>
      <c r="E1189" s="77" t="inlineStr">
        <is>
          <t>T&amp;D price, volumetric (220kV; P2/P3 per effective dates) [JS representative, D41]</t>
        </is>
      </c>
      <c r="F1189" s="77" t="inlineStr">
        <is>
          <t>3 Network</t>
        </is>
      </c>
      <c r="G1189" s="77" t="inlineStr">
        <is>
          <t>shupeidianjia (T&amp;D tariff)</t>
        </is>
      </c>
      <c r="H1189" s="77" t="inlineStr">
        <is>
          <t>i (embeds reverse cross-subsidy: industrial users overpay to subsidise residential/agricultural — opposite direction to UK/DE EII relief)</t>
        </is>
      </c>
      <c r="I1189" s="77">
        <f>IF(ISNUMBER(N1189),N1189/fx_deflator!$K$18*fx_deflator!$M$18,"")</f>
        <v/>
      </c>
      <c r="J1189" s="77" t="inlineStr">
        <is>
          <t>1508-hao / 526-hao annexes (cn_td tab)</t>
        </is>
      </c>
      <c r="K1189" s="77" t="inlineStr">
        <is>
          <t>cn_td r5; stage4_cn r73</t>
        </is>
      </c>
      <c r="L1189" s="77" t="inlineStr">
        <is>
          <t>2026-07-15</t>
        </is>
      </c>
      <c r="M1189" s="77" t="inlineStr">
        <is>
          <t>Y</t>
        </is>
      </c>
      <c r="N1189" s="77">
        <f>(5/12*stage4_cn!$D$73+7/12*cn_td!$B$5)*1000</f>
        <v/>
      </c>
      <c r="O1189" s="77" t="inlineStr">
        <is>
          <t>CNY/MWh nominal</t>
        </is>
      </c>
    </row>
    <row r="1190" ht="15" customHeight="1" s="78">
      <c r="A1190" s="77" t="inlineStr">
        <is>
          <t>CN</t>
        </is>
      </c>
      <c r="B1190" s="77" t="n">
        <v>2023</v>
      </c>
      <c r="C1190" s="77" t="inlineStr">
        <is>
          <t>large</t>
        </is>
      </c>
      <c r="D1190" s="77" t="inlineStr">
        <is>
          <t>E1=E2</t>
        </is>
      </c>
      <c r="E1190" s="77" t="inlineStr">
        <is>
          <t>T&amp;D demand charge, amortised (41.6 yuan/kW-month at 8,000h) [JS representative, D41]</t>
        </is>
      </c>
      <c r="F1190" s="77" t="inlineStr">
        <is>
          <t>3 Network</t>
        </is>
      </c>
      <c r="G1190" s="77" t="inlineStr">
        <is>
          <t>shupeidianjia demand charge</t>
        </is>
      </c>
      <c r="H1190" s="77" t="inlineStr">
        <is>
          <t>i (embeds reverse cross-subsidy: industrial users overpay to subsidise residential/agricultural — opposite direction to UK/DE EII relief)</t>
        </is>
      </c>
      <c r="I1190" s="77">
        <f>IF(ISNUMBER(N1190),N1190/fx_deflator!$K$18*fx_deflator!$M$18,"")</f>
        <v/>
      </c>
      <c r="J1190" s="77" t="inlineStr">
        <is>
          <t>526-hao annex (cn_td tab)</t>
        </is>
      </c>
      <c r="K1190" s="77" t="inlineStr">
        <is>
          <t>cn_td r5</t>
        </is>
      </c>
      <c r="L1190" s="77" t="inlineStr">
        <is>
          <t>2026-07-15</t>
        </is>
      </c>
      <c r="M1190" s="77" t="inlineStr">
        <is>
          <t>Y</t>
        </is>
      </c>
      <c r="N1190" s="77">
        <f>(5/12*stage4_cn!$D$74+7/12*cn_td!$C$5)*12*1000/assumptions!$B$7</f>
        <v/>
      </c>
      <c r="O1190" s="77" t="inlineStr">
        <is>
          <t>CNY/MWh nominal</t>
        </is>
      </c>
    </row>
    <row r="1191" ht="15" customHeight="1" s="78">
      <c r="A1191" s="77" t="inlineStr">
        <is>
          <t>CN</t>
        </is>
      </c>
      <c r="B1191" s="77" t="n">
        <v>2023</v>
      </c>
      <c r="C1191" s="77" t="inlineStr">
        <is>
          <t>large</t>
        </is>
      </c>
      <c r="D1191" s="77" t="inlineStr">
        <is>
          <t>E1=E2</t>
        </is>
      </c>
      <c r="E1191" s="77" t="inlineStr">
        <is>
          <t>System operation fee (xitong yunxing fei; JS true annuals) [JS representative, D41]</t>
        </is>
      </c>
      <c r="F1191" s="77" t="inlineStr">
        <is>
          <t>4 System services &amp; balancing</t>
        </is>
      </c>
      <c r="G1191" s="77" t="inlineStr">
        <is>
          <t>system operation fee</t>
        </is>
      </c>
      <c r="H1191" s="77" t="inlineStr">
        <is>
          <t>i (embeds reverse cross-subsidy: industrial users overpay to subsidise residential/agricultural — opposite direction to UK/DE EII relief)</t>
        </is>
      </c>
      <c r="I1191" s="77">
        <f>IF(ISNUMBER(N1191),N1191/fx_deflator!$K$18*fx_deflator!$M$18,"")</f>
        <v/>
      </c>
      <c r="J1191" s="77" t="inlineStr">
        <is>
          <t>SGCC JS monthly daigou gongdian notices</t>
        </is>
      </c>
      <c r="K1191" s="77" t="inlineStr">
        <is>
          <t>stage4_cn r81</t>
        </is>
      </c>
      <c r="L1191" s="77" t="inlineStr">
        <is>
          <t>2026-07-15</t>
        </is>
      </c>
      <c r="M1191" s="77" t="inlineStr">
        <is>
          <t>Y</t>
        </is>
      </c>
      <c r="N1191" s="77">
        <f>7/12*stage4_cn!Q81*1000</f>
        <v/>
      </c>
      <c r="O1191" s="77" t="inlineStr">
        <is>
          <t>CNY/MWh nominal</t>
        </is>
      </c>
      <c r="P1191" s="77" t="inlineStr">
        <is>
          <t>system-op fee embeds meidian rongliang capacity charge (function 2 per D9) — split unpublished, Q43</t>
        </is>
      </c>
    </row>
    <row r="1192" ht="15" customHeight="1" s="78">
      <c r="A1192" s="77" t="inlineStr">
        <is>
          <t>CN</t>
        </is>
      </c>
      <c r="B1192" s="77" t="n">
        <v>2023</v>
      </c>
      <c r="C1192" s="77" t="inlineStr">
        <is>
          <t>large</t>
        </is>
      </c>
      <c r="D1192" s="77" t="inlineStr">
        <is>
          <t>E1=E2</t>
        </is>
      </c>
      <c r="E1192" s="77" t="inlineStr">
        <is>
          <t>Government funds — renewables surcharge (1.9 fen) [JS representative, D41]</t>
        </is>
      </c>
      <c r="F1192" s="77" t="inlineStr">
        <is>
          <t>2 Gen capital recovery</t>
        </is>
      </c>
      <c r="G1192" s="77" t="inlineStr">
        <is>
          <t>government funds &amp; surcharges</t>
        </is>
      </c>
      <c r="H1192" s="77" t="inlineStr">
        <is>
          <t>i (embeds reverse cross-subsidy: industrial users overpay to subsidise residential/agricultural — opposite direction to UK/DE EII relief)</t>
        </is>
      </c>
      <c r="I1192" s="77">
        <f>IF(ISNUMBER(N1192),N1192/fx_deflator!$K$18*fx_deflator!$M$18,"")</f>
        <v/>
      </c>
      <c r="J1192" s="77" t="inlineStr">
        <is>
          <t>3105-hao within JS funds total</t>
        </is>
      </c>
      <c r="K1192" s="77" t="inlineStr">
        <is>
          <t>stage4_cn r79</t>
        </is>
      </c>
      <c r="L1192" s="77" t="inlineStr">
        <is>
          <t>2026-07-15</t>
        </is>
      </c>
      <c r="M1192" s="77" t="inlineStr">
        <is>
          <t>Y</t>
        </is>
      </c>
      <c r="N1192" s="77">
        <f>19</f>
        <v/>
      </c>
      <c r="O1192" s="77" t="inlineStr">
        <is>
          <t>CNY/MWh nominal</t>
        </is>
      </c>
    </row>
    <row r="1193" ht="15" customHeight="1" s="78">
      <c r="A1193" s="77" t="inlineStr">
        <is>
          <t>CN</t>
        </is>
      </c>
      <c r="B1193" s="77" t="n">
        <v>2023</v>
      </c>
      <c r="C1193" s="77" t="inlineStr">
        <is>
          <t>large</t>
        </is>
      </c>
      <c r="D1193" s="77" t="inlineStr">
        <is>
          <t>E1=E2</t>
        </is>
      </c>
      <c r="E1193" s="77" t="inlineStr">
        <is>
          <t>Government funds — other (water conservancy, reservoir resettlement) [JS representative, D41]</t>
        </is>
      </c>
      <c r="F1193" s="77" t="inlineStr">
        <is>
          <t>5 General taxation &amp; levies</t>
        </is>
      </c>
      <c r="G1193" s="77" t="inlineStr">
        <is>
          <t>government funds &amp; surcharges</t>
        </is>
      </c>
      <c r="H1193" s="77" t="inlineStr">
        <is>
          <t>i (embeds reverse cross-subsidy: industrial users overpay to subsidise residential/agricultural — opposite direction to UK/DE EII relief)</t>
        </is>
      </c>
      <c r="I1193" s="77">
        <f>IF(ISNUMBER(N1193),N1193/fx_deflator!$K$18*fx_deflator!$M$18,"")</f>
        <v/>
      </c>
      <c r="J1193" s="77" t="inlineStr">
        <is>
          <t>JS daigou gongdian table funds total minus renewables</t>
        </is>
      </c>
      <c r="K1193" s="77" t="inlineStr">
        <is>
          <t>stage4_cn r79</t>
        </is>
      </c>
      <c r="L1193" s="77" t="inlineStr">
        <is>
          <t>2026-07-15</t>
        </is>
      </c>
      <c r="M1193" s="77" t="inlineStr">
        <is>
          <t>Y</t>
        </is>
      </c>
      <c r="N1193" s="77">
        <f>stage4_cn!$D$79*1000-19</f>
        <v/>
      </c>
      <c r="O1193" s="77" t="inlineStr">
        <is>
          <t>CNY/MWh nominal</t>
        </is>
      </c>
    </row>
    <row r="1194" ht="15" customHeight="1" s="78">
      <c r="A1194" s="77" t="inlineStr">
        <is>
          <t>CN</t>
        </is>
      </c>
      <c r="B1194" s="77" t="n">
        <v>2023</v>
      </c>
      <c r="C1194" s="77" t="inlineStr">
        <is>
          <t>medium</t>
        </is>
      </c>
      <c r="D1194" s="77" t="inlineStr">
        <is>
          <t>E1=E2</t>
        </is>
      </c>
      <c r="E1194" s="77" t="inlineStr">
        <is>
          <t>JS agency-purchase price (daigou gongdian, 1-10kV) [JS representative, D41]</t>
        </is>
      </c>
      <c r="F1194" s="77" t="inlineStr">
        <is>
          <t>1 Commodity</t>
        </is>
      </c>
      <c r="G1194" s="77" t="inlineStr">
        <is>
          <t>agency purchase price</t>
        </is>
      </c>
      <c r="H1194" s="77" t="inlineStr">
        <is>
          <t>i (embeds reverse cross-subsidy: industrial users overpay to subsidise residential/agricultural — opposite direction to UK/DE EII relief)</t>
        </is>
      </c>
      <c r="I1194" s="77">
        <f>IF(ISNUMBER(N1194),N1194/fx_deflator!$K$18*fx_deflator!$M$18,"")</f>
        <v/>
      </c>
      <c r="J1194" s="77" t="inlineStr">
        <is>
          <t>SGCC JS monthly daigou gongdian notices</t>
        </is>
      </c>
      <c r="K1194" s="77" t="inlineStr">
        <is>
          <t>stage4_cn r92</t>
        </is>
      </c>
      <c r="L1194" s="77" t="inlineStr">
        <is>
          <t>2026-07-15</t>
        </is>
      </c>
      <c r="M1194" s="77" t="inlineStr">
        <is>
          <t>Y</t>
        </is>
      </c>
      <c r="N1194" s="77">
        <f>IF(ISNUMBER(stage4_cn!Q92),stage4_cn!Q92*1000,"")</f>
        <v/>
      </c>
      <c r="O1194" s="77" t="inlineStr">
        <is>
          <t>CNY/MWh nominal</t>
        </is>
      </c>
    </row>
    <row r="1195" ht="15" customHeight="1" s="78">
      <c r="A1195" s="77" t="inlineStr">
        <is>
          <t>CN</t>
        </is>
      </c>
      <c r="B1195" s="77" t="n">
        <v>2023</v>
      </c>
      <c r="C1195" s="77" t="inlineStr">
        <is>
          <t>medium</t>
        </is>
      </c>
      <c r="D1195" s="77" t="inlineStr">
        <is>
          <t>E1=E2</t>
        </is>
      </c>
      <c r="E1195" s="77" t="inlineStr">
        <is>
          <t>Line-loss cost (definitional break 06/2023; Q45-corrected) [JS representative, D41]</t>
        </is>
      </c>
      <c r="F1195" s="77" t="inlineStr">
        <is>
          <t>1 Commodity</t>
        </is>
      </c>
      <c r="G1195" s="77" t="inlineStr">
        <is>
          <t>shangwang line loss</t>
        </is>
      </c>
      <c r="H1195" s="77" t="inlineStr">
        <is>
          <t>i (embeds reverse cross-subsidy: industrial users overpay to subsidise residential/agricultural — opposite direction to UK/DE EII relief)</t>
        </is>
      </c>
      <c r="I1195" s="77">
        <f>IF(ISNUMBER(N1195),N1195/fx_deflator!$K$18*fx_deflator!$M$18,"")</f>
        <v/>
      </c>
      <c r="J1195" s="77" t="inlineStr">
        <is>
          <t>526-hao JS rate; Q45 correction 2026-07-16</t>
        </is>
      </c>
      <c r="K1195" s="77" t="inlineStr">
        <is>
          <t>stage4_cn r78/r93</t>
        </is>
      </c>
      <c r="L1195" s="77" t="inlineStr">
        <is>
          <t>2026-07-15</t>
        </is>
      </c>
      <c r="M1195" s="77" t="inlineStr">
        <is>
          <t>Y</t>
        </is>
      </c>
      <c r="N1195" s="77">
        <f>7/12*stage4_cn!Q92*stage4_cn!$D$78*1000</f>
        <v/>
      </c>
      <c r="O1195" s="77" t="inlineStr">
        <is>
          <t>CNY/MWh nominal</t>
        </is>
      </c>
    </row>
    <row r="1196" ht="15" customHeight="1" s="78">
      <c r="A1196" s="77" t="inlineStr">
        <is>
          <t>CN</t>
        </is>
      </c>
      <c r="B1196" s="77" t="n">
        <v>2023</v>
      </c>
      <c r="C1196" s="77" t="inlineStr">
        <is>
          <t>medium</t>
        </is>
      </c>
      <c r="D1196" s="77" t="inlineStr">
        <is>
          <t>E1=E2</t>
        </is>
      </c>
      <c r="E1196" s="77" t="inlineStr">
        <is>
          <t>T&amp;D price, volumetric (1-10kV) [JS representative, D41]</t>
        </is>
      </c>
      <c r="F1196" s="77" t="inlineStr">
        <is>
          <t>3 Network</t>
        </is>
      </c>
      <c r="G1196" s="77" t="inlineStr">
        <is>
          <t>shupeidianjia (T&amp;D tariff)</t>
        </is>
      </c>
      <c r="H1196" s="77" t="inlineStr">
        <is>
          <t>i (embeds reverse cross-subsidy: industrial users overpay to subsidise residential/agricultural — opposite direction to UK/DE EII relief)</t>
        </is>
      </c>
      <c r="I1196" s="77">
        <f>IF(ISNUMBER(N1196),N1196/fx_deflator!$K$18*fx_deflator!$M$18,"")</f>
        <v/>
      </c>
      <c r="J1196" s="77" t="inlineStr">
        <is>
          <t>1508/526-hao annexes</t>
        </is>
      </c>
      <c r="K1196" s="77" t="inlineStr">
        <is>
          <t>cn_td r5; stage4_cn r75</t>
        </is>
      </c>
      <c r="L1196" s="77" t="inlineStr">
        <is>
          <t>2026-07-15</t>
        </is>
      </c>
      <c r="M1196" s="77" t="inlineStr">
        <is>
          <t>Y</t>
        </is>
      </c>
      <c r="N1196" s="77">
        <f>(5/12*stage4_cn!$D$75+7/12*cn_td!$F$5)*1000</f>
        <v/>
      </c>
      <c r="O1196" s="77" t="inlineStr">
        <is>
          <t>CNY/MWh nominal</t>
        </is>
      </c>
    </row>
    <row r="1197" ht="15" customHeight="1" s="78">
      <c r="A1197" s="77" t="inlineStr">
        <is>
          <t>CN</t>
        </is>
      </c>
      <c r="B1197" s="77" t="n">
        <v>2023</v>
      </c>
      <c r="C1197" s="77" t="inlineStr">
        <is>
          <t>medium</t>
        </is>
      </c>
      <c r="D1197" s="77" t="inlineStr">
        <is>
          <t>E1=E2</t>
        </is>
      </c>
      <c r="E1197" s="77" t="inlineStr">
        <is>
          <t>T&amp;D demand charge, amortised (at 5,000h) [JS representative, D41]</t>
        </is>
      </c>
      <c r="F1197" s="77" t="inlineStr">
        <is>
          <t>3 Network</t>
        </is>
      </c>
      <c r="G1197" s="77" t="inlineStr">
        <is>
          <t>shupeidianjia demand charge</t>
        </is>
      </c>
      <c r="H1197" s="77" t="inlineStr">
        <is>
          <t>i (embeds reverse cross-subsidy: industrial users overpay to subsidise residential/agricultural — opposite direction to UK/DE EII relief)</t>
        </is>
      </c>
      <c r="I1197" s="77">
        <f>IF(ISNUMBER(N1197),N1197/fx_deflator!$K$18*fx_deflator!$M$18,"")</f>
        <v/>
      </c>
      <c r="J1197" s="77" t="inlineStr">
        <is>
          <t>1508/526-hao annexes</t>
        </is>
      </c>
      <c r="K1197" s="77" t="inlineStr">
        <is>
          <t>stage4_cn r74/76</t>
        </is>
      </c>
      <c r="L1197" s="77" t="inlineStr">
        <is>
          <t>2026-07-15</t>
        </is>
      </c>
      <c r="M1197" s="77" t="inlineStr">
        <is>
          <t>Y</t>
        </is>
      </c>
      <c r="N1197" s="77">
        <f>(5/12*stage4_cn!$D$74+7/12*stage4_cn!$D$76)*12*1000/assumptions!$C$7</f>
        <v/>
      </c>
      <c r="O1197" s="77" t="inlineStr">
        <is>
          <t>CNY/MWh nominal</t>
        </is>
      </c>
    </row>
    <row r="1198" ht="15" customHeight="1" s="78">
      <c r="A1198" s="77" t="inlineStr">
        <is>
          <t>CN</t>
        </is>
      </c>
      <c r="B1198" s="77" t="n">
        <v>2023</v>
      </c>
      <c r="C1198" s="77" t="inlineStr">
        <is>
          <t>medium</t>
        </is>
      </c>
      <c r="D1198" s="77" t="inlineStr">
        <is>
          <t>E1=E2</t>
        </is>
      </c>
      <c r="E1198" s="77" t="inlineStr">
        <is>
          <t>System operation fee (JS) [JS representative, D41]</t>
        </is>
      </c>
      <c r="F1198" s="77" t="inlineStr">
        <is>
          <t>4 System services &amp; balancing</t>
        </is>
      </c>
      <c r="G1198" s="77" t="inlineStr">
        <is>
          <t>system operation fee</t>
        </is>
      </c>
      <c r="H1198" s="77" t="inlineStr">
        <is>
          <t>i (embeds reverse cross-subsidy: industrial users overpay to subsidise residential/agricultural — opposite direction to UK/DE EII relief)</t>
        </is>
      </c>
      <c r="I1198" s="77">
        <f>IF(ISNUMBER(N1198),N1198/fx_deflator!$K$18*fx_deflator!$M$18,"")</f>
        <v/>
      </c>
      <c r="J1198" s="77" t="inlineStr">
        <is>
          <t>SGCC JS daigou notices</t>
        </is>
      </c>
      <c r="K1198" s="77" t="inlineStr">
        <is>
          <t>stage4_cn r81</t>
        </is>
      </c>
      <c r="L1198" s="77" t="inlineStr">
        <is>
          <t>2026-07-15</t>
        </is>
      </c>
      <c r="M1198" s="77" t="inlineStr">
        <is>
          <t>Y</t>
        </is>
      </c>
      <c r="N1198" s="77">
        <f>7/12*stage4_cn!Q81*1000</f>
        <v/>
      </c>
      <c r="O1198" s="77" t="inlineStr">
        <is>
          <t>CNY/MWh nominal</t>
        </is>
      </c>
      <c r="P1198" s="77" t="inlineStr">
        <is>
          <t>capacity charge embedded (Q43)</t>
        </is>
      </c>
    </row>
    <row r="1199" ht="15" customHeight="1" s="78">
      <c r="A1199" s="77" t="inlineStr">
        <is>
          <t>CN</t>
        </is>
      </c>
      <c r="B1199" s="77" t="n">
        <v>2023</v>
      </c>
      <c r="C1199" s="77" t="inlineStr">
        <is>
          <t>medium</t>
        </is>
      </c>
      <c r="D1199" s="77" t="inlineStr">
        <is>
          <t>E1=E2</t>
        </is>
      </c>
      <c r="E1199" s="77" t="inlineStr">
        <is>
          <t>Government funds — renewables surcharge [JS representative, D41]</t>
        </is>
      </c>
      <c r="F1199" s="77" t="inlineStr">
        <is>
          <t>2 Gen capital recovery</t>
        </is>
      </c>
      <c r="G1199" s="77" t="inlineStr">
        <is>
          <t>government funds &amp; surcharges</t>
        </is>
      </c>
      <c r="H1199" s="77" t="inlineStr">
        <is>
          <t>i (embeds reverse cross-subsidy: industrial users overpay to subsidise residential/agricultural — opposite direction to UK/DE EII relief)</t>
        </is>
      </c>
      <c r="I1199" s="77">
        <f>IF(ISNUMBER(N1199),N1199/fx_deflator!$K$18*fx_deflator!$M$18,"")</f>
        <v/>
      </c>
      <c r="J1199" s="77" t="inlineStr">
        <is>
          <t>3105-hao</t>
        </is>
      </c>
      <c r="K1199" s="77" t="inlineStr">
        <is>
          <t>stage4_cn r79</t>
        </is>
      </c>
      <c r="L1199" s="77" t="inlineStr">
        <is>
          <t>2026-07-15</t>
        </is>
      </c>
      <c r="M1199" s="77" t="inlineStr">
        <is>
          <t>Y</t>
        </is>
      </c>
      <c r="N1199" s="77">
        <f>19</f>
        <v/>
      </c>
      <c r="O1199" s="77" t="inlineStr">
        <is>
          <t>CNY/MWh nominal</t>
        </is>
      </c>
    </row>
    <row r="1200" ht="15" customHeight="1" s="78">
      <c r="A1200" s="77" t="inlineStr">
        <is>
          <t>CN</t>
        </is>
      </c>
      <c r="B1200" s="77" t="n">
        <v>2023</v>
      </c>
      <c r="C1200" s="77" t="inlineStr">
        <is>
          <t>medium</t>
        </is>
      </c>
      <c r="D1200" s="77" t="inlineStr">
        <is>
          <t>E1=E2</t>
        </is>
      </c>
      <c r="E1200" s="77" t="inlineStr">
        <is>
          <t>Government funds — other [JS representative, D41]</t>
        </is>
      </c>
      <c r="F1200" s="77" t="inlineStr">
        <is>
          <t>5 General taxation &amp; levies</t>
        </is>
      </c>
      <c r="G1200" s="77" t="inlineStr">
        <is>
          <t>government funds &amp; surcharges</t>
        </is>
      </c>
      <c r="H1200" s="77" t="inlineStr">
        <is>
          <t>i (embeds reverse cross-subsidy: industrial users overpay to subsidise residential/agricultural — opposite direction to UK/DE EII relief)</t>
        </is>
      </c>
      <c r="I1200" s="77">
        <f>IF(ISNUMBER(N1200),N1200/fx_deflator!$K$18*fx_deflator!$M$18,"")</f>
        <v/>
      </c>
      <c r="J1200" s="77" t="inlineStr">
        <is>
          <t>JS funds total minus renewables</t>
        </is>
      </c>
      <c r="K1200" s="77" t="inlineStr">
        <is>
          <t>stage4_cn r79</t>
        </is>
      </c>
      <c r="L1200" s="77" t="inlineStr">
        <is>
          <t>2026-07-15</t>
        </is>
      </c>
      <c r="M1200" s="77" t="inlineStr">
        <is>
          <t>Y</t>
        </is>
      </c>
      <c r="N1200" s="77">
        <f>stage4_cn!$D$79*1000-19</f>
        <v/>
      </c>
      <c r="O1200" s="77" t="inlineStr">
        <is>
          <t>CNY/MWh nominal</t>
        </is>
      </c>
    </row>
    <row r="1201" ht="15" customHeight="1" s="78">
      <c r="A1201" s="77" t="inlineStr">
        <is>
          <t>CN</t>
        </is>
      </c>
      <c r="B1201" s="77" t="n">
        <v>2024</v>
      </c>
      <c r="C1201" s="77" t="inlineStr">
        <is>
          <t>large</t>
        </is>
      </c>
      <c r="D1201" s="77" t="inlineStr">
        <is>
          <t>E1=E2</t>
        </is>
      </c>
      <c r="E1201" s="77" t="inlineStr">
        <is>
          <t>JS direct-market energy price (annual avg) [JS representative, D41]</t>
        </is>
      </c>
      <c r="F1201" s="77" t="inlineStr">
        <is>
          <t>1 Commodity</t>
        </is>
      </c>
      <c r="G1201" s="77" t="inlineStr">
        <is>
          <t>market transaction price</t>
        </is>
      </c>
      <c r="H1201" s="77" t="inlineStr">
        <is>
          <t>i (embeds reverse cross-subsidy: industrial users overpay to subsidise residential/agricultural — opposite direction to UK/DE EII relief)</t>
        </is>
      </c>
      <c r="I1201" s="77">
        <f>IF(ISNUMBER(N1201),N1201/fx_deflator!$K$19*fx_deflator!$M$19,"")</f>
        <v/>
      </c>
      <c r="J1201" s="77" t="inlineStr">
        <is>
          <t>Jiangsu exchange via aggregators (Tier-2 relay, flagged)</t>
        </is>
      </c>
      <c r="K1201" s="77" t="inlineStr">
        <is>
          <t>stage4_cn r66</t>
        </is>
      </c>
      <c r="L1201" s="77" t="inlineStr">
        <is>
          <t>2026-07-15</t>
        </is>
      </c>
      <c r="M1201" s="77" t="inlineStr">
        <is>
          <t>Y</t>
        </is>
      </c>
      <c r="N1201" s="77">
        <f>IF(ISNUMBER(stage4_cn!R66),stage4_cn!R66,"")</f>
        <v/>
      </c>
      <c r="O1201" s="77" t="inlineStr">
        <is>
          <t>CNY/MWh nominal</t>
        </is>
      </c>
    </row>
    <row r="1202" ht="15" customHeight="1" s="78">
      <c r="A1202" s="77" t="inlineStr">
        <is>
          <t>CN</t>
        </is>
      </c>
      <c r="B1202" s="77" t="n">
        <v>2024</v>
      </c>
      <c r="C1202" s="77" t="inlineStr">
        <is>
          <t>large</t>
        </is>
      </c>
      <c r="D1202" s="77" t="inlineStr">
        <is>
          <t>E1=E2</t>
        </is>
      </c>
      <c r="E1202" s="77" t="inlineStr">
        <is>
          <t>Line-loss cost (market price x 3.18 pct) [JS representative, D41]</t>
        </is>
      </c>
      <c r="F1202" s="77" t="inlineStr">
        <is>
          <t>1 Commodity</t>
        </is>
      </c>
      <c r="G1202" s="77" t="inlineStr">
        <is>
          <t>shangwang line loss</t>
        </is>
      </c>
      <c r="H1202" s="77" t="inlineStr">
        <is>
          <t>i (embeds reverse cross-subsidy: industrial users overpay to subsidise residential/agricultural — opposite direction to UK/DE EII relief)</t>
        </is>
      </c>
      <c r="I1202" s="77">
        <f>IF(ISNUMBER(N1202),N1202/fx_deflator!$K$19*fx_deflator!$M$19,"")</f>
        <v/>
      </c>
      <c r="J1202" s="77" t="inlineStr">
        <is>
          <t>526-hao JS line-loss rate</t>
        </is>
      </c>
      <c r="K1202" s="77" t="inlineStr">
        <is>
          <t>stage4_cn r78</t>
        </is>
      </c>
      <c r="L1202" s="77" t="inlineStr">
        <is>
          <t>2026-07-15</t>
        </is>
      </c>
      <c r="M1202" s="77" t="inlineStr">
        <is>
          <t>Y</t>
        </is>
      </c>
      <c r="N1202" s="77">
        <f>IF(ISNUMBER(stage4_cn!R66),stage4_cn!R66*stage4_cn!$D$78,"")</f>
        <v/>
      </c>
      <c r="O1202" s="77" t="inlineStr">
        <is>
          <t>CNY/MWh nominal</t>
        </is>
      </c>
    </row>
    <row r="1203" ht="15" customHeight="1" s="78">
      <c r="A1203" s="77" t="inlineStr">
        <is>
          <t>CN</t>
        </is>
      </c>
      <c r="B1203" s="77" t="n">
        <v>2024</v>
      </c>
      <c r="C1203" s="77" t="inlineStr">
        <is>
          <t>large</t>
        </is>
      </c>
      <c r="D1203" s="77" t="inlineStr">
        <is>
          <t>E1=E2</t>
        </is>
      </c>
      <c r="E1203" s="77" t="inlineStr">
        <is>
          <t>T&amp;D price, volumetric (220kV; P2/P3 per effective dates) [JS representative, D41]</t>
        </is>
      </c>
      <c r="F1203" s="77" t="inlineStr">
        <is>
          <t>3 Network</t>
        </is>
      </c>
      <c r="G1203" s="77" t="inlineStr">
        <is>
          <t>shupeidianjia (T&amp;D tariff)</t>
        </is>
      </c>
      <c r="H1203" s="77" t="inlineStr">
        <is>
          <t>i (embeds reverse cross-subsidy: industrial users overpay to subsidise residential/agricultural — opposite direction to UK/DE EII relief)</t>
        </is>
      </c>
      <c r="I1203" s="77">
        <f>IF(ISNUMBER(N1203),N1203/fx_deflator!$K$19*fx_deflator!$M$19,"")</f>
        <v/>
      </c>
      <c r="J1203" s="77" t="inlineStr">
        <is>
          <t>1508-hao / 526-hao annexes (cn_td tab)</t>
        </is>
      </c>
      <c r="K1203" s="77" t="inlineStr">
        <is>
          <t>cn_td r5; stage4_cn r73</t>
        </is>
      </c>
      <c r="L1203" s="77" t="inlineStr">
        <is>
          <t>2026-07-15</t>
        </is>
      </c>
      <c r="M1203" s="77" t="inlineStr">
        <is>
          <t>Y</t>
        </is>
      </c>
      <c r="N1203" s="77">
        <f>cn_td!$B$5*1000</f>
        <v/>
      </c>
      <c r="O1203" s="77" t="inlineStr">
        <is>
          <t>CNY/MWh nominal</t>
        </is>
      </c>
    </row>
    <row r="1204" ht="15" customHeight="1" s="78">
      <c r="A1204" s="77" t="inlineStr">
        <is>
          <t>CN</t>
        </is>
      </c>
      <c r="B1204" s="77" t="n">
        <v>2024</v>
      </c>
      <c r="C1204" s="77" t="inlineStr">
        <is>
          <t>large</t>
        </is>
      </c>
      <c r="D1204" s="77" t="inlineStr">
        <is>
          <t>E1=E2</t>
        </is>
      </c>
      <c r="E1204" s="77" t="inlineStr">
        <is>
          <t>T&amp;D demand charge, amortised (41.6 yuan/kW-month at 8,000h) [JS representative, D41]</t>
        </is>
      </c>
      <c r="F1204" s="77" t="inlineStr">
        <is>
          <t>3 Network</t>
        </is>
      </c>
      <c r="G1204" s="77" t="inlineStr">
        <is>
          <t>shupeidianjia demand charge</t>
        </is>
      </c>
      <c r="H1204" s="77" t="inlineStr">
        <is>
          <t>i (embeds reverse cross-subsidy: industrial users overpay to subsidise residential/agricultural — opposite direction to UK/DE EII relief)</t>
        </is>
      </c>
      <c r="I1204" s="77">
        <f>IF(ISNUMBER(N1204),N1204/fx_deflator!$K$19*fx_deflator!$M$19,"")</f>
        <v/>
      </c>
      <c r="J1204" s="77" t="inlineStr">
        <is>
          <t>526-hao annex (cn_td tab)</t>
        </is>
      </c>
      <c r="K1204" s="77" t="inlineStr">
        <is>
          <t>cn_td r5</t>
        </is>
      </c>
      <c r="L1204" s="77" t="inlineStr">
        <is>
          <t>2026-07-15</t>
        </is>
      </c>
      <c r="M1204" s="77" t="inlineStr">
        <is>
          <t>Y</t>
        </is>
      </c>
      <c r="N1204" s="77">
        <f>cn_td!$C$5*12*1000/assumptions!$B$7</f>
        <v/>
      </c>
      <c r="O1204" s="77" t="inlineStr">
        <is>
          <t>CNY/MWh nominal</t>
        </is>
      </c>
    </row>
    <row r="1205" ht="15" customHeight="1" s="78">
      <c r="A1205" s="77" t="inlineStr">
        <is>
          <t>CN</t>
        </is>
      </c>
      <c r="B1205" s="77" t="n">
        <v>2024</v>
      </c>
      <c r="C1205" s="77" t="inlineStr">
        <is>
          <t>large</t>
        </is>
      </c>
      <c r="D1205" s="77" t="inlineStr">
        <is>
          <t>E1=E2</t>
        </is>
      </c>
      <c r="E1205" s="77" t="inlineStr">
        <is>
          <t>System operation fee — capacity charges (coal/PSH/gas, D9) [JS representative, D41]</t>
        </is>
      </c>
      <c r="F1205" s="77" t="inlineStr">
        <is>
          <t>2 Gen capital recovery</t>
        </is>
      </c>
      <c r="G1205" s="77" t="inlineStr">
        <is>
          <t>system operation fee (capacity)</t>
        </is>
      </c>
      <c r="H1205" s="77" t="inlineStr">
        <is>
          <t>i (embeds reverse cross-subsidy: industrial users overpay to subsidise residential/agricultural — opposite direction to UK/DE EII relief)</t>
        </is>
      </c>
      <c r="I1205" s="77">
        <f>IF(ISNUMBER(N1205),N1205/fx_deflator!$K$19*fx_deflator!$M$19,"")</f>
        <v/>
      </c>
      <c r="J1205" s="77" t="inlineStr">
        <is>
          <t>JS monthly notices, itemised prose (24 months, Q43/D42)</t>
        </is>
      </c>
      <c r="K1205" s="77" t="inlineStr">
        <is>
          <t>stage4_cn r104</t>
        </is>
      </c>
      <c r="L1205" s="77" t="inlineStr">
        <is>
          <t>2026-07-15</t>
        </is>
      </c>
      <c r="M1205" s="77" t="inlineStr">
        <is>
          <t>Y</t>
        </is>
      </c>
      <c r="N1205" s="77">
        <f>stage4_cn!R104*1000</f>
        <v/>
      </c>
      <c r="O1205" s="77" t="inlineStr">
        <is>
          <t>CNY/MWh nominal</t>
        </is>
      </c>
    </row>
    <row r="1206" ht="15" customHeight="1" s="78">
      <c r="A1206" s="77" t="inlineStr">
        <is>
          <t>CN</t>
        </is>
      </c>
      <c r="B1206" s="77" t="n">
        <v>2024</v>
      </c>
      <c r="C1206" s="77" t="inlineStr">
        <is>
          <t>large</t>
        </is>
      </c>
      <c r="D1206" s="77" t="inlineStr">
        <is>
          <t>E1=E2</t>
        </is>
      </c>
      <c r="E1206" s="77" t="inlineStr">
        <is>
          <t>System operation fee — explicit cross-subsidy line (dianjia jiaocha butie xinzeng sunyi) [JS representative, D41]</t>
        </is>
      </c>
      <c r="F1206" s="77" t="inlineStr">
        <is>
          <t>5 General taxation &amp; levies</t>
        </is>
      </c>
      <c r="G1206" s="77" t="inlineStr">
        <is>
          <t>system operation fee (cross-subsidy recovery)</t>
        </is>
      </c>
      <c r="H1206" s="77" t="inlineStr">
        <is>
          <t>i (embeds reverse cross-subsidy: industrial users overpay to subsidise residential/agricultural — opposite direction to UK/DE EII relief)</t>
        </is>
      </c>
      <c r="I1206" s="77">
        <f>IF(ISNUMBER(N1206),N1206/fx_deflator!$K$19*fx_deflator!$M$19,"")</f>
        <v/>
      </c>
      <c r="J1206" s="77" t="inlineStr">
        <is>
          <t>JS monthly notices, itemised prose (Q43/D42)</t>
        </is>
      </c>
      <c r="K1206" s="77" t="inlineStr">
        <is>
          <t>stage4_cn r105</t>
        </is>
      </c>
      <c r="L1206" s="77" t="inlineStr">
        <is>
          <t>2026-07-15</t>
        </is>
      </c>
      <c r="M1206" s="77" t="inlineStr">
        <is>
          <t>Y</t>
        </is>
      </c>
      <c r="N1206" s="77">
        <f>stage4_cn!R105*1000</f>
        <v/>
      </c>
      <c r="O1206" s="77" t="inlineStr">
        <is>
          <t>CNY/MWh nominal</t>
        </is>
      </c>
    </row>
    <row r="1207" ht="15" customHeight="1" s="78">
      <c r="A1207" s="77" t="inlineStr">
        <is>
          <t>CN</t>
        </is>
      </c>
      <c r="B1207" s="77" t="n">
        <v>2024</v>
      </c>
      <c r="C1207" s="77" t="inlineStr">
        <is>
          <t>large</t>
        </is>
      </c>
      <c r="D1207" s="77" t="inlineStr">
        <is>
          <t>E1=E2</t>
        </is>
      </c>
      <c r="E1207" s="77" t="inlineStr">
        <is>
          <t>System operation fee — residual system P&amp;L [JS representative, D41]</t>
        </is>
      </c>
      <c r="F1207" s="77" t="inlineStr">
        <is>
          <t>4 System services &amp; balancing</t>
        </is>
      </c>
      <c r="G1207" s="77" t="inlineStr">
        <is>
          <t>system operation fee (residual)</t>
        </is>
      </c>
      <c r="H1207" s="77" t="inlineStr">
        <is>
          <t>i (embeds reverse cross-subsidy: industrial users overpay to subsidise residential/agricultural — opposite direction to UK/DE EII relief)</t>
        </is>
      </c>
      <c r="I1207" s="77">
        <f>IF(ISNUMBER(N1207),N1207/fx_deflator!$K$19*fx_deflator!$M$19,"")</f>
        <v/>
      </c>
      <c r="J1207" s="77" t="inlineStr">
        <is>
          <t>JS monthly notices (Q43/D42)</t>
        </is>
      </c>
      <c r="K1207" s="77" t="inlineStr">
        <is>
          <t>stage4_cn r106</t>
        </is>
      </c>
      <c r="L1207" s="77" t="inlineStr">
        <is>
          <t>2026-07-15</t>
        </is>
      </c>
      <c r="M1207" s="77" t="inlineStr">
        <is>
          <t>Y</t>
        </is>
      </c>
      <c r="N1207" s="77">
        <f>(stage4_cn!R81-stage4_cn!R104-stage4_cn!R105)*1000</f>
        <v/>
      </c>
      <c r="O1207" s="77" t="inlineStr">
        <is>
          <t>CNY/MWh nominal</t>
        </is>
      </c>
      <c r="P1207" s="77" t="inlineStr">
        <is>
          <t>system-op fee embeds meidian rongliang capacity charge (function 2 per D9) — split unpublished, Q43</t>
        </is>
      </c>
    </row>
    <row r="1208" ht="15" customHeight="1" s="78">
      <c r="A1208" s="77" t="inlineStr">
        <is>
          <t>CN</t>
        </is>
      </c>
      <c r="B1208" s="77" t="n">
        <v>2024</v>
      </c>
      <c r="C1208" s="77" t="inlineStr">
        <is>
          <t>large</t>
        </is>
      </c>
      <c r="D1208" s="77" t="inlineStr">
        <is>
          <t>E1=E2</t>
        </is>
      </c>
      <c r="E1208" s="77" t="inlineStr">
        <is>
          <t>Government funds — renewables surcharge (1.9 fen) [JS representative, D41]</t>
        </is>
      </c>
      <c r="F1208" s="77" t="inlineStr">
        <is>
          <t>2 Gen capital recovery</t>
        </is>
      </c>
      <c r="G1208" s="77" t="inlineStr">
        <is>
          <t>government funds &amp; surcharges</t>
        </is>
      </c>
      <c r="H1208" s="77" t="inlineStr">
        <is>
          <t>i (embeds reverse cross-subsidy: industrial users overpay to subsidise residential/agricultural — opposite direction to UK/DE EII relief)</t>
        </is>
      </c>
      <c r="I1208" s="77">
        <f>IF(ISNUMBER(N1208),N1208/fx_deflator!$K$19*fx_deflator!$M$19,"")</f>
        <v/>
      </c>
      <c r="J1208" s="77" t="inlineStr">
        <is>
          <t>3105-hao within JS funds total</t>
        </is>
      </c>
      <c r="K1208" s="77" t="inlineStr">
        <is>
          <t>stage4_cn r79</t>
        </is>
      </c>
      <c r="L1208" s="77" t="inlineStr">
        <is>
          <t>2026-07-15</t>
        </is>
      </c>
      <c r="M1208" s="77" t="inlineStr">
        <is>
          <t>Y</t>
        </is>
      </c>
      <c r="N1208" s="77">
        <f>19</f>
        <v/>
      </c>
      <c r="O1208" s="77" t="inlineStr">
        <is>
          <t>CNY/MWh nominal</t>
        </is>
      </c>
    </row>
    <row r="1209" ht="15" customHeight="1" s="78">
      <c r="A1209" s="77" t="inlineStr">
        <is>
          <t>CN</t>
        </is>
      </c>
      <c r="B1209" s="77" t="n">
        <v>2024</v>
      </c>
      <c r="C1209" s="77" t="inlineStr">
        <is>
          <t>large</t>
        </is>
      </c>
      <c r="D1209" s="77" t="inlineStr">
        <is>
          <t>E1=E2</t>
        </is>
      </c>
      <c r="E1209" s="77" t="inlineStr">
        <is>
          <t>Government funds — other (water conservancy, reservoir resettlement) [JS representative, D41]</t>
        </is>
      </c>
      <c r="F1209" s="77" t="inlineStr">
        <is>
          <t>5 General taxation &amp; levies</t>
        </is>
      </c>
      <c r="G1209" s="77" t="inlineStr">
        <is>
          <t>government funds &amp; surcharges</t>
        </is>
      </c>
      <c r="H1209" s="77" t="inlineStr">
        <is>
          <t>i (embeds reverse cross-subsidy: industrial users overpay to subsidise residential/agricultural — opposite direction to UK/DE EII relief)</t>
        </is>
      </c>
      <c r="I1209" s="77">
        <f>IF(ISNUMBER(N1209),N1209/fx_deflator!$K$19*fx_deflator!$M$19,"")</f>
        <v/>
      </c>
      <c r="J1209" s="77" t="inlineStr">
        <is>
          <t>JS daigou gongdian table funds total minus renewables</t>
        </is>
      </c>
      <c r="K1209" s="77" t="inlineStr">
        <is>
          <t>stage4_cn r79</t>
        </is>
      </c>
      <c r="L1209" s="77" t="inlineStr">
        <is>
          <t>2026-07-15</t>
        </is>
      </c>
      <c r="M1209" s="77" t="inlineStr">
        <is>
          <t>Y</t>
        </is>
      </c>
      <c r="N1209" s="77">
        <f>stage4_cn!$D$79*1000-19</f>
        <v/>
      </c>
      <c r="O1209" s="77" t="inlineStr">
        <is>
          <t>CNY/MWh nominal</t>
        </is>
      </c>
    </row>
    <row r="1210" ht="15" customHeight="1" s="78">
      <c r="A1210" s="77" t="inlineStr">
        <is>
          <t>CN</t>
        </is>
      </c>
      <c r="B1210" s="77" t="n">
        <v>2024</v>
      </c>
      <c r="C1210" s="77" t="inlineStr">
        <is>
          <t>medium</t>
        </is>
      </c>
      <c r="D1210" s="77" t="inlineStr">
        <is>
          <t>E1=E2</t>
        </is>
      </c>
      <c r="E1210" s="77" t="inlineStr">
        <is>
          <t>JS agency-purchase price (daigou gongdian, 1-10kV) [JS representative, D41]</t>
        </is>
      </c>
      <c r="F1210" s="77" t="inlineStr">
        <is>
          <t>1 Commodity</t>
        </is>
      </c>
      <c r="G1210" s="77" t="inlineStr">
        <is>
          <t>agency purchase price</t>
        </is>
      </c>
      <c r="H1210" s="77" t="inlineStr">
        <is>
          <t>i (embeds reverse cross-subsidy: industrial users overpay to subsidise residential/agricultural — opposite direction to UK/DE EII relief)</t>
        </is>
      </c>
      <c r="I1210" s="77">
        <f>IF(ISNUMBER(N1210),N1210/fx_deflator!$K$19*fx_deflator!$M$19,"")</f>
        <v/>
      </c>
      <c r="J1210" s="77" t="inlineStr">
        <is>
          <t>SGCC JS monthly daigou gongdian notices</t>
        </is>
      </c>
      <c r="K1210" s="77" t="inlineStr">
        <is>
          <t>stage4_cn r92</t>
        </is>
      </c>
      <c r="L1210" s="77" t="inlineStr">
        <is>
          <t>2026-07-15</t>
        </is>
      </c>
      <c r="M1210" s="77" t="inlineStr">
        <is>
          <t>Y</t>
        </is>
      </c>
      <c r="N1210" s="77">
        <f>IF(ISNUMBER(stage4_cn!R92),stage4_cn!R92*1000,"")</f>
        <v/>
      </c>
      <c r="O1210" s="77" t="inlineStr">
        <is>
          <t>CNY/MWh nominal</t>
        </is>
      </c>
    </row>
    <row r="1211" ht="15" customHeight="1" s="78">
      <c r="A1211" s="77" t="inlineStr">
        <is>
          <t>CN</t>
        </is>
      </c>
      <c r="B1211" s="77" t="n">
        <v>2024</v>
      </c>
      <c r="C1211" s="77" t="inlineStr">
        <is>
          <t>medium</t>
        </is>
      </c>
      <c r="D1211" s="77" t="inlineStr">
        <is>
          <t>E1=E2</t>
        </is>
      </c>
      <c r="E1211" s="77" t="inlineStr">
        <is>
          <t>Line-loss cost (definitional break 06/2023; Q45-corrected) [JS representative, D41]</t>
        </is>
      </c>
      <c r="F1211" s="77" t="inlineStr">
        <is>
          <t>1 Commodity</t>
        </is>
      </c>
      <c r="G1211" s="77" t="inlineStr">
        <is>
          <t>shangwang line loss</t>
        </is>
      </c>
      <c r="H1211" s="77" t="inlineStr">
        <is>
          <t>i (embeds reverse cross-subsidy: industrial users overpay to subsidise residential/agricultural — opposite direction to UK/DE EII relief)</t>
        </is>
      </c>
      <c r="I1211" s="77">
        <f>IF(ISNUMBER(N1211),N1211/fx_deflator!$K$19*fx_deflator!$M$19,"")</f>
        <v/>
      </c>
      <c r="J1211" s="77" t="inlineStr">
        <is>
          <t>526-hao JS rate; Q45 correction 2026-07-16</t>
        </is>
      </c>
      <c r="K1211" s="77" t="inlineStr">
        <is>
          <t>stage4_cn r78/r93</t>
        </is>
      </c>
      <c r="L1211" s="77" t="inlineStr">
        <is>
          <t>2026-07-15</t>
        </is>
      </c>
      <c r="M1211" s="77" t="inlineStr">
        <is>
          <t>Y</t>
        </is>
      </c>
      <c r="N1211" s="77">
        <f>stage4_cn!R92*stage4_cn!$D$78*1000</f>
        <v/>
      </c>
      <c r="O1211" s="77" t="inlineStr">
        <is>
          <t>CNY/MWh nominal</t>
        </is>
      </c>
    </row>
    <row r="1212" ht="15" customHeight="1" s="78">
      <c r="A1212" s="77" t="inlineStr">
        <is>
          <t>CN</t>
        </is>
      </c>
      <c r="B1212" s="77" t="n">
        <v>2024</v>
      </c>
      <c r="C1212" s="77" t="inlineStr">
        <is>
          <t>medium</t>
        </is>
      </c>
      <c r="D1212" s="77" t="inlineStr">
        <is>
          <t>E1=E2</t>
        </is>
      </c>
      <c r="E1212" s="77" t="inlineStr">
        <is>
          <t>T&amp;D price, volumetric (1-10kV) [JS representative, D41]</t>
        </is>
      </c>
      <c r="F1212" s="77" t="inlineStr">
        <is>
          <t>3 Network</t>
        </is>
      </c>
      <c r="G1212" s="77" t="inlineStr">
        <is>
          <t>shupeidianjia (T&amp;D tariff)</t>
        </is>
      </c>
      <c r="H1212" s="77" t="inlineStr">
        <is>
          <t>i (embeds reverse cross-subsidy: industrial users overpay to subsidise residential/agricultural — opposite direction to UK/DE EII relief)</t>
        </is>
      </c>
      <c r="I1212" s="77">
        <f>IF(ISNUMBER(N1212),N1212/fx_deflator!$K$19*fx_deflator!$M$19,"")</f>
        <v/>
      </c>
      <c r="J1212" s="77" t="inlineStr">
        <is>
          <t>1508/526-hao annexes</t>
        </is>
      </c>
      <c r="K1212" s="77" t="inlineStr">
        <is>
          <t>cn_td r5; stage4_cn r75</t>
        </is>
      </c>
      <c r="L1212" s="77" t="inlineStr">
        <is>
          <t>2026-07-15</t>
        </is>
      </c>
      <c r="M1212" s="77" t="inlineStr">
        <is>
          <t>Y</t>
        </is>
      </c>
      <c r="N1212" s="77">
        <f>cn_td!$F$5*1000</f>
        <v/>
      </c>
      <c r="O1212" s="77" t="inlineStr">
        <is>
          <t>CNY/MWh nominal</t>
        </is>
      </c>
    </row>
    <row r="1213" ht="15" customHeight="1" s="78">
      <c r="A1213" s="77" t="inlineStr">
        <is>
          <t>CN</t>
        </is>
      </c>
      <c r="B1213" s="77" t="n">
        <v>2024</v>
      </c>
      <c r="C1213" s="77" t="inlineStr">
        <is>
          <t>medium</t>
        </is>
      </c>
      <c r="D1213" s="77" t="inlineStr">
        <is>
          <t>E1=E2</t>
        </is>
      </c>
      <c r="E1213" s="77" t="inlineStr">
        <is>
          <t>T&amp;D demand charge, amortised (at 5,000h) [JS representative, D41]</t>
        </is>
      </c>
      <c r="F1213" s="77" t="inlineStr">
        <is>
          <t>3 Network</t>
        </is>
      </c>
      <c r="G1213" s="77" t="inlineStr">
        <is>
          <t>shupeidianjia demand charge</t>
        </is>
      </c>
      <c r="H1213" s="77" t="inlineStr">
        <is>
          <t>i (embeds reverse cross-subsidy: industrial users overpay to subsidise residential/agricultural — opposite direction to UK/DE EII relief)</t>
        </is>
      </c>
      <c r="I1213" s="77">
        <f>IF(ISNUMBER(N1213),N1213/fx_deflator!$K$19*fx_deflator!$M$19,"")</f>
        <v/>
      </c>
      <c r="J1213" s="77" t="inlineStr">
        <is>
          <t>1508/526-hao annexes</t>
        </is>
      </c>
      <c r="K1213" s="77" t="inlineStr">
        <is>
          <t>stage4_cn r74/76</t>
        </is>
      </c>
      <c r="L1213" s="77" t="inlineStr">
        <is>
          <t>2026-07-15</t>
        </is>
      </c>
      <c r="M1213" s="77" t="inlineStr">
        <is>
          <t>Y</t>
        </is>
      </c>
      <c r="N1213" s="77">
        <f>stage4_cn!$D$76*12*1000/assumptions!$C$7</f>
        <v/>
      </c>
      <c r="O1213" s="77" t="inlineStr">
        <is>
          <t>CNY/MWh nominal</t>
        </is>
      </c>
    </row>
    <row r="1214" ht="15" customHeight="1" s="78">
      <c r="A1214" s="77" t="inlineStr">
        <is>
          <t>CN</t>
        </is>
      </c>
      <c r="B1214" s="77" t="n">
        <v>2024</v>
      </c>
      <c r="C1214" s="77" t="inlineStr">
        <is>
          <t>medium</t>
        </is>
      </c>
      <c r="D1214" s="77" t="inlineStr">
        <is>
          <t>E1=E2</t>
        </is>
      </c>
      <c r="E1214" s="77" t="inlineStr">
        <is>
          <t>System operation fee — capacity charges (coal/PSH/gas, D9) [JS representative, D41]</t>
        </is>
      </c>
      <c r="F1214" s="77" t="inlineStr">
        <is>
          <t>2 Gen capital recovery</t>
        </is>
      </c>
      <c r="G1214" s="77" t="inlineStr">
        <is>
          <t>system operation fee (capacity)</t>
        </is>
      </c>
      <c r="H1214" s="77" t="inlineStr">
        <is>
          <t>i (embeds reverse cross-subsidy: industrial users overpay to subsidise residential/agricultural — opposite direction to UK/DE EII relief)</t>
        </is>
      </c>
      <c r="I1214" s="77">
        <f>IF(ISNUMBER(N1214),N1214/fx_deflator!$K$19*fx_deflator!$M$19,"")</f>
        <v/>
      </c>
      <c r="J1214" s="77" t="inlineStr">
        <is>
          <t>JS monthly notices, itemised (Q43/D42)</t>
        </is>
      </c>
      <c r="K1214" s="77" t="inlineStr">
        <is>
          <t>stage4_cn r104</t>
        </is>
      </c>
      <c r="L1214" s="77" t="inlineStr">
        <is>
          <t>2026-07-15</t>
        </is>
      </c>
      <c r="M1214" s="77" t="inlineStr">
        <is>
          <t>Y</t>
        </is>
      </c>
      <c r="N1214" s="77">
        <f>stage4_cn!R104*1000</f>
        <v/>
      </c>
      <c r="O1214" s="77" t="inlineStr">
        <is>
          <t>CNY/MWh nominal</t>
        </is>
      </c>
    </row>
    <row r="1215" ht="15" customHeight="1" s="78">
      <c r="A1215" s="77" t="inlineStr">
        <is>
          <t>CN</t>
        </is>
      </c>
      <c r="B1215" s="77" t="n">
        <v>2024</v>
      </c>
      <c r="C1215" s="77" t="inlineStr">
        <is>
          <t>medium</t>
        </is>
      </c>
      <c r="D1215" s="77" t="inlineStr">
        <is>
          <t>E1=E2</t>
        </is>
      </c>
      <c r="E1215" s="77" t="inlineStr">
        <is>
          <t>System operation fee — explicit cross-subsidy line [JS representative, D41]</t>
        </is>
      </c>
      <c r="F1215" s="77" t="inlineStr">
        <is>
          <t>5 General taxation &amp; levies</t>
        </is>
      </c>
      <c r="G1215" s="77" t="inlineStr">
        <is>
          <t>system operation fee (cross-subsidy recovery)</t>
        </is>
      </c>
      <c r="H1215" s="77" t="inlineStr">
        <is>
          <t>i (embeds reverse cross-subsidy: industrial users overpay to subsidise residential/agricultural — opposite direction to UK/DE EII relief)</t>
        </is>
      </c>
      <c r="I1215" s="77">
        <f>IF(ISNUMBER(N1215),N1215/fx_deflator!$K$19*fx_deflator!$M$19,"")</f>
        <v/>
      </c>
      <c r="J1215" s="77" t="inlineStr">
        <is>
          <t>JS monthly notices, itemised (Q43/D42)</t>
        </is>
      </c>
      <c r="K1215" s="77" t="inlineStr">
        <is>
          <t>stage4_cn r105</t>
        </is>
      </c>
      <c r="L1215" s="77" t="inlineStr">
        <is>
          <t>2026-07-15</t>
        </is>
      </c>
      <c r="M1215" s="77" t="inlineStr">
        <is>
          <t>Y</t>
        </is>
      </c>
      <c r="N1215" s="77">
        <f>stage4_cn!R105*1000</f>
        <v/>
      </c>
      <c r="O1215" s="77" t="inlineStr">
        <is>
          <t>CNY/MWh nominal</t>
        </is>
      </c>
    </row>
    <row r="1216" ht="15" customHeight="1" s="78">
      <c r="A1216" s="77" t="inlineStr">
        <is>
          <t>CN</t>
        </is>
      </c>
      <c r="B1216" s="77" t="n">
        <v>2024</v>
      </c>
      <c r="C1216" s="77" t="inlineStr">
        <is>
          <t>medium</t>
        </is>
      </c>
      <c r="D1216" s="77" t="inlineStr">
        <is>
          <t>E1=E2</t>
        </is>
      </c>
      <c r="E1216" s="77" t="inlineStr">
        <is>
          <t>System operation fee — residual system P&amp;L [JS representative, D41]</t>
        </is>
      </c>
      <c r="F1216" s="77" t="inlineStr">
        <is>
          <t>4 System services &amp; balancing</t>
        </is>
      </c>
      <c r="G1216" s="77" t="inlineStr">
        <is>
          <t>system operation fee (residual)</t>
        </is>
      </c>
      <c r="H1216" s="77" t="inlineStr">
        <is>
          <t>i (embeds reverse cross-subsidy: industrial users overpay to subsidise residential/agricultural — opposite direction to UK/DE EII relief)</t>
        </is>
      </c>
      <c r="I1216" s="77">
        <f>IF(ISNUMBER(N1216),N1216/fx_deflator!$K$19*fx_deflator!$M$19,"")</f>
        <v/>
      </c>
      <c r="J1216" s="77" t="inlineStr">
        <is>
          <t>JS monthly notices (Q43/D42)</t>
        </is>
      </c>
      <c r="K1216" s="77" t="inlineStr">
        <is>
          <t>stage4_cn r106</t>
        </is>
      </c>
      <c r="L1216" s="77" t="inlineStr">
        <is>
          <t>2026-07-15</t>
        </is>
      </c>
      <c r="M1216" s="77" t="inlineStr">
        <is>
          <t>Y</t>
        </is>
      </c>
      <c r="N1216" s="77">
        <f>(stage4_cn!R81-stage4_cn!R104-stage4_cn!R105)*1000</f>
        <v/>
      </c>
      <c r="O1216" s="77" t="inlineStr">
        <is>
          <t>CNY/MWh nominal</t>
        </is>
      </c>
      <c r="P1216" s="77" t="inlineStr">
        <is>
          <t>capacity charge embedded (Q43)</t>
        </is>
      </c>
    </row>
    <row r="1217" ht="15" customHeight="1" s="78">
      <c r="A1217" s="77" t="inlineStr">
        <is>
          <t>CN</t>
        </is>
      </c>
      <c r="B1217" s="77" t="n">
        <v>2024</v>
      </c>
      <c r="C1217" s="77" t="inlineStr">
        <is>
          <t>medium</t>
        </is>
      </c>
      <c r="D1217" s="77" t="inlineStr">
        <is>
          <t>E1=E2</t>
        </is>
      </c>
      <c r="E1217" s="77" t="inlineStr">
        <is>
          <t>Government funds — renewables surcharge [JS representative, D41]</t>
        </is>
      </c>
      <c r="F1217" s="77" t="inlineStr">
        <is>
          <t>2 Gen capital recovery</t>
        </is>
      </c>
      <c r="G1217" s="77" t="inlineStr">
        <is>
          <t>government funds &amp; surcharges</t>
        </is>
      </c>
      <c r="H1217" s="77" t="inlineStr">
        <is>
          <t>i (embeds reverse cross-subsidy: industrial users overpay to subsidise residential/agricultural — opposite direction to UK/DE EII relief)</t>
        </is>
      </c>
      <c r="I1217" s="77">
        <f>IF(ISNUMBER(N1217),N1217/fx_deflator!$K$19*fx_deflator!$M$19,"")</f>
        <v/>
      </c>
      <c r="J1217" s="77" t="inlineStr">
        <is>
          <t>3105-hao</t>
        </is>
      </c>
      <c r="K1217" s="77" t="inlineStr">
        <is>
          <t>stage4_cn r79</t>
        </is>
      </c>
      <c r="L1217" s="77" t="inlineStr">
        <is>
          <t>2026-07-15</t>
        </is>
      </c>
      <c r="M1217" s="77" t="inlineStr">
        <is>
          <t>Y</t>
        </is>
      </c>
      <c r="N1217" s="77">
        <f>19</f>
        <v/>
      </c>
      <c r="O1217" s="77" t="inlineStr">
        <is>
          <t>CNY/MWh nominal</t>
        </is>
      </c>
    </row>
    <row r="1218" ht="15" customHeight="1" s="78">
      <c r="A1218" s="77" t="inlineStr">
        <is>
          <t>CN</t>
        </is>
      </c>
      <c r="B1218" s="77" t="n">
        <v>2024</v>
      </c>
      <c r="C1218" s="77" t="inlineStr">
        <is>
          <t>medium</t>
        </is>
      </c>
      <c r="D1218" s="77" t="inlineStr">
        <is>
          <t>E1=E2</t>
        </is>
      </c>
      <c r="E1218" s="77" t="inlineStr">
        <is>
          <t>Government funds — other [JS representative, D41]</t>
        </is>
      </c>
      <c r="F1218" s="77" t="inlineStr">
        <is>
          <t>5 General taxation &amp; levies</t>
        </is>
      </c>
      <c r="G1218" s="77" t="inlineStr">
        <is>
          <t>government funds &amp; surcharges</t>
        </is>
      </c>
      <c r="H1218" s="77" t="inlineStr">
        <is>
          <t>i (embeds reverse cross-subsidy: industrial users overpay to subsidise residential/agricultural — opposite direction to UK/DE EII relief)</t>
        </is>
      </c>
      <c r="I1218" s="77">
        <f>IF(ISNUMBER(N1218),N1218/fx_deflator!$K$19*fx_deflator!$M$19,"")</f>
        <v/>
      </c>
      <c r="J1218" s="77" t="inlineStr">
        <is>
          <t>JS funds total minus renewables</t>
        </is>
      </c>
      <c r="K1218" s="77" t="inlineStr">
        <is>
          <t>stage4_cn r79</t>
        </is>
      </c>
      <c r="L1218" s="77" t="inlineStr">
        <is>
          <t>2026-07-15</t>
        </is>
      </c>
      <c r="M1218" s="77" t="inlineStr">
        <is>
          <t>Y</t>
        </is>
      </c>
      <c r="N1218" s="77">
        <f>stage4_cn!$D$79*1000-19</f>
        <v/>
      </c>
      <c r="O1218" s="77" t="inlineStr">
        <is>
          <t>CNY/MWh nominal</t>
        </is>
      </c>
    </row>
    <row r="1219" ht="15" customHeight="1" s="78">
      <c r="A1219" s="77" t="inlineStr">
        <is>
          <t>CN</t>
        </is>
      </c>
      <c r="B1219" s="77" t="n">
        <v>2025</v>
      </c>
      <c r="C1219" s="77" t="inlineStr">
        <is>
          <t>large</t>
        </is>
      </c>
      <c r="D1219" s="77" t="inlineStr">
        <is>
          <t>E1=E2</t>
        </is>
      </c>
      <c r="E1219" s="77" t="inlineStr">
        <is>
          <t>JS direct-market energy price (annual avg) [JS representative, D41]</t>
        </is>
      </c>
      <c r="F1219" s="77" t="inlineStr">
        <is>
          <t>1 Commodity</t>
        </is>
      </c>
      <c r="G1219" s="77" t="inlineStr">
        <is>
          <t>market transaction price</t>
        </is>
      </c>
      <c r="H1219" s="77" t="inlineStr">
        <is>
          <t>i (embeds reverse cross-subsidy: industrial users overpay to subsidise residential/agricultural — opposite direction to UK/DE EII relief)</t>
        </is>
      </c>
      <c r="I1219" s="77">
        <f>IF(ISNUMBER(N1219),N1219/fx_deflator!$K$20*fx_deflator!$M$20,"")</f>
        <v/>
      </c>
      <c r="J1219" s="77" t="inlineStr">
        <is>
          <t>Jiangsu exchange via aggregators (Tier-2 relay, flagged)</t>
        </is>
      </c>
      <c r="K1219" s="77" t="inlineStr">
        <is>
          <t>stage4_cn r66</t>
        </is>
      </c>
      <c r="L1219" s="77" t="inlineStr">
        <is>
          <t>2026-07-15</t>
        </is>
      </c>
      <c r="M1219" s="77" t="inlineStr">
        <is>
          <t>Y</t>
        </is>
      </c>
      <c r="N1219" s="77">
        <f>IF(ISNUMBER(stage4_cn!S66),stage4_cn!S66,"")</f>
        <v/>
      </c>
      <c r="O1219" s="77" t="inlineStr">
        <is>
          <t>CNY/MWh nominal</t>
        </is>
      </c>
    </row>
    <row r="1220" ht="15" customHeight="1" s="78">
      <c r="A1220" s="77" t="inlineStr">
        <is>
          <t>CN</t>
        </is>
      </c>
      <c r="B1220" s="77" t="n">
        <v>2025</v>
      </c>
      <c r="C1220" s="77" t="inlineStr">
        <is>
          <t>large</t>
        </is>
      </c>
      <c r="D1220" s="77" t="inlineStr">
        <is>
          <t>E1=E2</t>
        </is>
      </c>
      <c r="E1220" s="77" t="inlineStr">
        <is>
          <t>Line-loss cost (market price x 3.18 pct) [JS representative, D41]</t>
        </is>
      </c>
      <c r="F1220" s="77" t="inlineStr">
        <is>
          <t>1 Commodity</t>
        </is>
      </c>
      <c r="G1220" s="77" t="inlineStr">
        <is>
          <t>shangwang line loss</t>
        </is>
      </c>
      <c r="H1220" s="77" t="inlineStr">
        <is>
          <t>i (embeds reverse cross-subsidy: industrial users overpay to subsidise residential/agricultural — opposite direction to UK/DE EII relief)</t>
        </is>
      </c>
      <c r="I1220" s="77">
        <f>IF(ISNUMBER(N1220),N1220/fx_deflator!$K$20*fx_deflator!$M$20,"")</f>
        <v/>
      </c>
      <c r="J1220" s="77" t="inlineStr">
        <is>
          <t>526-hao JS line-loss rate</t>
        </is>
      </c>
      <c r="K1220" s="77" t="inlineStr">
        <is>
          <t>stage4_cn r78</t>
        </is>
      </c>
      <c r="L1220" s="77" t="inlineStr">
        <is>
          <t>2026-07-15</t>
        </is>
      </c>
      <c r="M1220" s="77" t="inlineStr">
        <is>
          <t>Y</t>
        </is>
      </c>
      <c r="N1220" s="77">
        <f>IF(ISNUMBER(stage4_cn!S66),stage4_cn!S66*stage4_cn!$D$78,"")</f>
        <v/>
      </c>
      <c r="O1220" s="77" t="inlineStr">
        <is>
          <t>CNY/MWh nominal</t>
        </is>
      </c>
    </row>
    <row r="1221" ht="15" customHeight="1" s="78">
      <c r="A1221" s="77" t="inlineStr">
        <is>
          <t>CN</t>
        </is>
      </c>
      <c r="B1221" s="77" t="n">
        <v>2025</v>
      </c>
      <c r="C1221" s="77" t="inlineStr">
        <is>
          <t>large</t>
        </is>
      </c>
      <c r="D1221" s="77" t="inlineStr">
        <is>
          <t>E1=E2</t>
        </is>
      </c>
      <c r="E1221" s="77" t="inlineStr">
        <is>
          <t>T&amp;D price, volumetric (220kV; P2/P3 per effective dates) [JS representative, D41]</t>
        </is>
      </c>
      <c r="F1221" s="77" t="inlineStr">
        <is>
          <t>3 Network</t>
        </is>
      </c>
      <c r="G1221" s="77" t="inlineStr">
        <is>
          <t>shupeidianjia (T&amp;D tariff)</t>
        </is>
      </c>
      <c r="H1221" s="77" t="inlineStr">
        <is>
          <t>i (embeds reverse cross-subsidy: industrial users overpay to subsidise residential/agricultural — opposite direction to UK/DE EII relief)</t>
        </is>
      </c>
      <c r="I1221" s="77">
        <f>IF(ISNUMBER(N1221),N1221/fx_deflator!$K$20*fx_deflator!$M$20,"")</f>
        <v/>
      </c>
      <c r="J1221" s="77" t="inlineStr">
        <is>
          <t>1508-hao / 526-hao annexes (cn_td tab)</t>
        </is>
      </c>
      <c r="K1221" s="77" t="inlineStr">
        <is>
          <t>cn_td r5; stage4_cn r73</t>
        </is>
      </c>
      <c r="L1221" s="77" t="inlineStr">
        <is>
          <t>2026-07-15</t>
        </is>
      </c>
      <c r="M1221" s="77" t="inlineStr">
        <is>
          <t>Y</t>
        </is>
      </c>
      <c r="N1221" s="77">
        <f>cn_td!$B$5*1000</f>
        <v/>
      </c>
      <c r="O1221" s="77" t="inlineStr">
        <is>
          <t>CNY/MWh nominal</t>
        </is>
      </c>
    </row>
    <row r="1222" ht="15" customHeight="1" s="78">
      <c r="A1222" s="77" t="inlineStr">
        <is>
          <t>CN</t>
        </is>
      </c>
      <c r="B1222" s="77" t="n">
        <v>2025</v>
      </c>
      <c r="C1222" s="77" t="inlineStr">
        <is>
          <t>large</t>
        </is>
      </c>
      <c r="D1222" s="77" t="inlineStr">
        <is>
          <t>E1=E2</t>
        </is>
      </c>
      <c r="E1222" s="77" t="inlineStr">
        <is>
          <t>T&amp;D demand charge, amortised (41.6 yuan/kW-month at 8,000h) [JS representative, D41]</t>
        </is>
      </c>
      <c r="F1222" s="77" t="inlineStr">
        <is>
          <t>3 Network</t>
        </is>
      </c>
      <c r="G1222" s="77" t="inlineStr">
        <is>
          <t>shupeidianjia demand charge</t>
        </is>
      </c>
      <c r="H1222" s="77" t="inlineStr">
        <is>
          <t>i (embeds reverse cross-subsidy: industrial users overpay to subsidise residential/agricultural — opposite direction to UK/DE EII relief)</t>
        </is>
      </c>
      <c r="I1222" s="77">
        <f>IF(ISNUMBER(N1222),N1222/fx_deflator!$K$20*fx_deflator!$M$20,"")</f>
        <v/>
      </c>
      <c r="J1222" s="77" t="inlineStr">
        <is>
          <t>526-hao annex (cn_td tab)</t>
        </is>
      </c>
      <c r="K1222" s="77" t="inlineStr">
        <is>
          <t>cn_td r5</t>
        </is>
      </c>
      <c r="L1222" s="77" t="inlineStr">
        <is>
          <t>2026-07-15</t>
        </is>
      </c>
      <c r="M1222" s="77" t="inlineStr">
        <is>
          <t>Y</t>
        </is>
      </c>
      <c r="N1222" s="77">
        <f>cn_td!$C$5*12*1000/assumptions!$B$7</f>
        <v/>
      </c>
      <c r="O1222" s="77" t="inlineStr">
        <is>
          <t>CNY/MWh nominal</t>
        </is>
      </c>
    </row>
    <row r="1223" ht="15" customHeight="1" s="78">
      <c r="A1223" s="77" t="inlineStr">
        <is>
          <t>CN</t>
        </is>
      </c>
      <c r="B1223" s="77" t="n">
        <v>2025</v>
      </c>
      <c r="C1223" s="77" t="inlineStr">
        <is>
          <t>large</t>
        </is>
      </c>
      <c r="D1223" s="77" t="inlineStr">
        <is>
          <t>E1=E2</t>
        </is>
      </c>
      <c r="E1223" s="77" t="inlineStr">
        <is>
          <t>System operation fee — capacity charges (coal/PSH/gas, D9) [JS representative, D41]</t>
        </is>
      </c>
      <c r="F1223" s="77" t="inlineStr">
        <is>
          <t>2 Gen capital recovery</t>
        </is>
      </c>
      <c r="G1223" s="77" t="inlineStr">
        <is>
          <t>system operation fee (capacity)</t>
        </is>
      </c>
      <c r="H1223" s="77" t="inlineStr">
        <is>
          <t>i (embeds reverse cross-subsidy: industrial users overpay to subsidise residential/agricultural — opposite direction to UK/DE EII relief)</t>
        </is>
      </c>
      <c r="I1223" s="77">
        <f>IF(ISNUMBER(N1223),N1223/fx_deflator!$K$20*fx_deflator!$M$20,"")</f>
        <v/>
      </c>
      <c r="J1223" s="77" t="inlineStr">
        <is>
          <t>JS monthly notices, itemised prose (24 months, Q43/D42)</t>
        </is>
      </c>
      <c r="K1223" s="77" t="inlineStr">
        <is>
          <t>stage4_cn r104</t>
        </is>
      </c>
      <c r="L1223" s="77" t="inlineStr">
        <is>
          <t>2026-07-15</t>
        </is>
      </c>
      <c r="M1223" s="77" t="inlineStr">
        <is>
          <t>Y</t>
        </is>
      </c>
      <c r="N1223" s="77">
        <f>stage4_cn!S104*1000</f>
        <v/>
      </c>
      <c r="O1223" s="77" t="inlineStr">
        <is>
          <t>CNY/MWh nominal</t>
        </is>
      </c>
    </row>
    <row r="1224" ht="15" customHeight="1" s="78">
      <c r="A1224" s="77" t="inlineStr">
        <is>
          <t>CN</t>
        </is>
      </c>
      <c r="B1224" s="77" t="n">
        <v>2025</v>
      </c>
      <c r="C1224" s="77" t="inlineStr">
        <is>
          <t>large</t>
        </is>
      </c>
      <c r="D1224" s="77" t="inlineStr">
        <is>
          <t>E1=E2</t>
        </is>
      </c>
      <c r="E1224" s="77" t="inlineStr">
        <is>
          <t>System operation fee — explicit cross-subsidy line (dianjia jiaocha butie xinzeng sunyi) [JS representative, D41]</t>
        </is>
      </c>
      <c r="F1224" s="77" t="inlineStr">
        <is>
          <t>5 General taxation &amp; levies</t>
        </is>
      </c>
      <c r="G1224" s="77" t="inlineStr">
        <is>
          <t>system operation fee (cross-subsidy recovery)</t>
        </is>
      </c>
      <c r="H1224" s="77" t="inlineStr">
        <is>
          <t>i (embeds reverse cross-subsidy: industrial users overpay to subsidise residential/agricultural — opposite direction to UK/DE EII relief)</t>
        </is>
      </c>
      <c r="I1224" s="77">
        <f>IF(ISNUMBER(N1224),N1224/fx_deflator!$K$20*fx_deflator!$M$20,"")</f>
        <v/>
      </c>
      <c r="J1224" s="77" t="inlineStr">
        <is>
          <t>JS monthly notices, itemised prose (Q43/D42)</t>
        </is>
      </c>
      <c r="K1224" s="77" t="inlineStr">
        <is>
          <t>stage4_cn r105</t>
        </is>
      </c>
      <c r="L1224" s="77" t="inlineStr">
        <is>
          <t>2026-07-15</t>
        </is>
      </c>
      <c r="M1224" s="77" t="inlineStr">
        <is>
          <t>Y</t>
        </is>
      </c>
      <c r="N1224" s="77">
        <f>stage4_cn!S105*1000</f>
        <v/>
      </c>
      <c r="O1224" s="77" t="inlineStr">
        <is>
          <t>CNY/MWh nominal</t>
        </is>
      </c>
    </row>
    <row r="1225" ht="15" customHeight="1" s="78">
      <c r="A1225" s="77" t="inlineStr">
        <is>
          <t>CN</t>
        </is>
      </c>
      <c r="B1225" s="77" t="n">
        <v>2025</v>
      </c>
      <c r="C1225" s="77" t="inlineStr">
        <is>
          <t>large</t>
        </is>
      </c>
      <c r="D1225" s="77" t="inlineStr">
        <is>
          <t>E1=E2</t>
        </is>
      </c>
      <c r="E1225" s="77" t="inlineStr">
        <is>
          <t>System operation fee — residual system P&amp;L [JS representative, D41]</t>
        </is>
      </c>
      <c r="F1225" s="77" t="inlineStr">
        <is>
          <t>4 System services &amp; balancing</t>
        </is>
      </c>
      <c r="G1225" s="77" t="inlineStr">
        <is>
          <t>system operation fee (residual)</t>
        </is>
      </c>
      <c r="H1225" s="77" t="inlineStr">
        <is>
          <t>i (embeds reverse cross-subsidy: industrial users overpay to subsidise residential/agricultural — opposite direction to UK/DE EII relief)</t>
        </is>
      </c>
      <c r="I1225" s="77">
        <f>IF(ISNUMBER(N1225),N1225/fx_deflator!$K$20*fx_deflator!$M$20,"")</f>
        <v/>
      </c>
      <c r="J1225" s="77" t="inlineStr">
        <is>
          <t>JS monthly notices (Q43/D42)</t>
        </is>
      </c>
      <c r="K1225" s="77" t="inlineStr">
        <is>
          <t>stage4_cn r106</t>
        </is>
      </c>
      <c r="L1225" s="77" t="inlineStr">
        <is>
          <t>2026-07-15</t>
        </is>
      </c>
      <c r="M1225" s="77" t="inlineStr">
        <is>
          <t>Y</t>
        </is>
      </c>
      <c r="N1225" s="77">
        <f>(stage4_cn!S81-stage4_cn!S104-stage4_cn!S105)*1000</f>
        <v/>
      </c>
      <c r="O1225" s="77" t="inlineStr">
        <is>
          <t>CNY/MWh nominal</t>
        </is>
      </c>
      <c r="P1225" s="77" t="inlineStr">
        <is>
          <t>system-op fee embeds meidian rongliang capacity charge (function 2 per D9) — split unpublished, Q43</t>
        </is>
      </c>
    </row>
    <row r="1226" ht="15" customHeight="1" s="78">
      <c r="A1226" s="77" t="inlineStr">
        <is>
          <t>CN</t>
        </is>
      </c>
      <c r="B1226" s="77" t="n">
        <v>2025</v>
      </c>
      <c r="C1226" s="77" t="inlineStr">
        <is>
          <t>large</t>
        </is>
      </c>
      <c r="D1226" s="77" t="inlineStr">
        <is>
          <t>E1=E2</t>
        </is>
      </c>
      <c r="E1226" s="77" t="inlineStr">
        <is>
          <t>Government funds — renewables surcharge (1.9 fen) [JS representative, D41]</t>
        </is>
      </c>
      <c r="F1226" s="77" t="inlineStr">
        <is>
          <t>2 Gen capital recovery</t>
        </is>
      </c>
      <c r="G1226" s="77" t="inlineStr">
        <is>
          <t>government funds &amp; surcharges</t>
        </is>
      </c>
      <c r="H1226" s="77" t="inlineStr">
        <is>
          <t>i (embeds reverse cross-subsidy: industrial users overpay to subsidise residential/agricultural — opposite direction to UK/DE EII relief)</t>
        </is>
      </c>
      <c r="I1226" s="77">
        <f>IF(ISNUMBER(N1226),N1226/fx_deflator!$K$20*fx_deflator!$M$20,"")</f>
        <v/>
      </c>
      <c r="J1226" s="77" t="inlineStr">
        <is>
          <t>3105-hao within JS funds total</t>
        </is>
      </c>
      <c r="K1226" s="77" t="inlineStr">
        <is>
          <t>stage4_cn r79</t>
        </is>
      </c>
      <c r="L1226" s="77" t="inlineStr">
        <is>
          <t>2026-07-15</t>
        </is>
      </c>
      <c r="M1226" s="77" t="inlineStr">
        <is>
          <t>Y</t>
        </is>
      </c>
      <c r="N1226" s="77">
        <f>19</f>
        <v/>
      </c>
      <c r="O1226" s="77" t="inlineStr">
        <is>
          <t>CNY/MWh nominal</t>
        </is>
      </c>
    </row>
    <row r="1227" ht="15" customHeight="1" s="78">
      <c r="A1227" s="77" t="inlineStr">
        <is>
          <t>CN</t>
        </is>
      </c>
      <c r="B1227" s="77" t="n">
        <v>2025</v>
      </c>
      <c r="C1227" s="77" t="inlineStr">
        <is>
          <t>large</t>
        </is>
      </c>
      <c r="D1227" s="77" t="inlineStr">
        <is>
          <t>E1=E2</t>
        </is>
      </c>
      <c r="E1227" s="77" t="inlineStr">
        <is>
          <t>Government funds — other (water conservancy, reservoir resettlement) [JS representative, D41]</t>
        </is>
      </c>
      <c r="F1227" s="77" t="inlineStr">
        <is>
          <t>5 General taxation &amp; levies</t>
        </is>
      </c>
      <c r="G1227" s="77" t="inlineStr">
        <is>
          <t>government funds &amp; surcharges</t>
        </is>
      </c>
      <c r="H1227" s="77" t="inlineStr">
        <is>
          <t>i (embeds reverse cross-subsidy: industrial users overpay to subsidise residential/agricultural — opposite direction to UK/DE EII relief)</t>
        </is>
      </c>
      <c r="I1227" s="77">
        <f>IF(ISNUMBER(N1227),N1227/fx_deflator!$K$20*fx_deflator!$M$20,"")</f>
        <v/>
      </c>
      <c r="J1227" s="77" t="inlineStr">
        <is>
          <t>JS daigou gongdian table funds total minus renewables</t>
        </is>
      </c>
      <c r="K1227" s="77" t="inlineStr">
        <is>
          <t>stage4_cn r79</t>
        </is>
      </c>
      <c r="L1227" s="77" t="inlineStr">
        <is>
          <t>2026-07-15</t>
        </is>
      </c>
      <c r="M1227" s="77" t="inlineStr">
        <is>
          <t>Y</t>
        </is>
      </c>
      <c r="N1227" s="77">
        <f>stage4_cn!$D$79*1000-19</f>
        <v/>
      </c>
      <c r="O1227" s="77" t="inlineStr">
        <is>
          <t>CNY/MWh nominal</t>
        </is>
      </c>
    </row>
    <row r="1228" ht="15" customHeight="1" s="78">
      <c r="A1228" s="77" t="inlineStr">
        <is>
          <t>CN</t>
        </is>
      </c>
      <c r="B1228" s="77" t="n">
        <v>2025</v>
      </c>
      <c r="C1228" s="77" t="inlineStr">
        <is>
          <t>medium</t>
        </is>
      </c>
      <c r="D1228" s="77" t="inlineStr">
        <is>
          <t>E1=E2</t>
        </is>
      </c>
      <c r="E1228" s="77" t="inlineStr">
        <is>
          <t>JS agency-purchase price (daigou gongdian, 1-10kV) [JS representative, D41]</t>
        </is>
      </c>
      <c r="F1228" s="77" t="inlineStr">
        <is>
          <t>1 Commodity</t>
        </is>
      </c>
      <c r="G1228" s="77" t="inlineStr">
        <is>
          <t>agency purchase price</t>
        </is>
      </c>
      <c r="H1228" s="77" t="inlineStr">
        <is>
          <t>i (embeds reverse cross-subsidy: industrial users overpay to subsidise residential/agricultural — opposite direction to UK/DE EII relief)</t>
        </is>
      </c>
      <c r="I1228" s="77">
        <f>IF(ISNUMBER(N1228),N1228/fx_deflator!$K$20*fx_deflator!$M$20,"")</f>
        <v/>
      </c>
      <c r="J1228" s="77" t="inlineStr">
        <is>
          <t>SGCC JS monthly daigou gongdian notices</t>
        </is>
      </c>
      <c r="K1228" s="77" t="inlineStr">
        <is>
          <t>stage4_cn r92</t>
        </is>
      </c>
      <c r="L1228" s="77" t="inlineStr">
        <is>
          <t>2026-07-15</t>
        </is>
      </c>
      <c r="M1228" s="77" t="inlineStr">
        <is>
          <t>Y</t>
        </is>
      </c>
      <c r="N1228" s="77">
        <f>IF(ISNUMBER(stage4_cn!S92),stage4_cn!S92*1000,"")</f>
        <v/>
      </c>
      <c r="O1228" s="77" t="inlineStr">
        <is>
          <t>CNY/MWh nominal</t>
        </is>
      </c>
    </row>
    <row r="1229" ht="15" customHeight="1" s="78">
      <c r="A1229" s="77" t="inlineStr">
        <is>
          <t>CN</t>
        </is>
      </c>
      <c r="B1229" s="77" t="n">
        <v>2025</v>
      </c>
      <c r="C1229" s="77" t="inlineStr">
        <is>
          <t>medium</t>
        </is>
      </c>
      <c r="D1229" s="77" t="inlineStr">
        <is>
          <t>E1=E2</t>
        </is>
      </c>
      <c r="E1229" s="77" t="inlineStr">
        <is>
          <t>Line-loss cost (definitional break 06/2023; Q45-corrected) [JS representative, D41]</t>
        </is>
      </c>
      <c r="F1229" s="77" t="inlineStr">
        <is>
          <t>1 Commodity</t>
        </is>
      </c>
      <c r="G1229" s="77" t="inlineStr">
        <is>
          <t>shangwang line loss</t>
        </is>
      </c>
      <c r="H1229" s="77" t="inlineStr">
        <is>
          <t>i (embeds reverse cross-subsidy: industrial users overpay to subsidise residential/agricultural — opposite direction to UK/DE EII relief)</t>
        </is>
      </c>
      <c r="I1229" s="77">
        <f>IF(ISNUMBER(N1229),N1229/fx_deflator!$K$20*fx_deflator!$M$20,"")</f>
        <v/>
      </c>
      <c r="J1229" s="77" t="inlineStr">
        <is>
          <t>526-hao JS rate; Q45 correction 2026-07-16</t>
        </is>
      </c>
      <c r="K1229" s="77" t="inlineStr">
        <is>
          <t>stage4_cn r78/r93</t>
        </is>
      </c>
      <c r="L1229" s="77" t="inlineStr">
        <is>
          <t>2026-07-15</t>
        </is>
      </c>
      <c r="M1229" s="77" t="inlineStr">
        <is>
          <t>Y</t>
        </is>
      </c>
      <c r="N1229" s="77">
        <f>stage4_cn!S92*stage4_cn!$D$78*1000</f>
        <v/>
      </c>
      <c r="O1229" s="77" t="inlineStr">
        <is>
          <t>CNY/MWh nominal</t>
        </is>
      </c>
    </row>
    <row r="1230" ht="15" customHeight="1" s="78">
      <c r="A1230" s="77" t="inlineStr">
        <is>
          <t>CN</t>
        </is>
      </c>
      <c r="B1230" s="77" t="n">
        <v>2025</v>
      </c>
      <c r="C1230" s="77" t="inlineStr">
        <is>
          <t>medium</t>
        </is>
      </c>
      <c r="D1230" s="77" t="inlineStr">
        <is>
          <t>E1=E2</t>
        </is>
      </c>
      <c r="E1230" s="77" t="inlineStr">
        <is>
          <t>T&amp;D price, volumetric (1-10kV) [JS representative, D41]</t>
        </is>
      </c>
      <c r="F1230" s="77" t="inlineStr">
        <is>
          <t>3 Network</t>
        </is>
      </c>
      <c r="G1230" s="77" t="inlineStr">
        <is>
          <t>shupeidianjia (T&amp;D tariff)</t>
        </is>
      </c>
      <c r="H1230" s="77" t="inlineStr">
        <is>
          <t>i (embeds reverse cross-subsidy: industrial users overpay to subsidise residential/agricultural — opposite direction to UK/DE EII relief)</t>
        </is>
      </c>
      <c r="I1230" s="77">
        <f>IF(ISNUMBER(N1230),N1230/fx_deflator!$K$20*fx_deflator!$M$20,"")</f>
        <v/>
      </c>
      <c r="J1230" s="77" t="inlineStr">
        <is>
          <t>1508/526-hao annexes</t>
        </is>
      </c>
      <c r="K1230" s="77" t="inlineStr">
        <is>
          <t>cn_td r5; stage4_cn r75</t>
        </is>
      </c>
      <c r="L1230" s="77" t="inlineStr">
        <is>
          <t>2026-07-15</t>
        </is>
      </c>
      <c r="M1230" s="77" t="inlineStr">
        <is>
          <t>Y</t>
        </is>
      </c>
      <c r="N1230" s="77">
        <f>cn_td!$F$5*1000</f>
        <v/>
      </c>
      <c r="O1230" s="77" t="inlineStr">
        <is>
          <t>CNY/MWh nominal</t>
        </is>
      </c>
    </row>
    <row r="1231" ht="15" customHeight="1" s="78">
      <c r="A1231" s="77" t="inlineStr">
        <is>
          <t>CN</t>
        </is>
      </c>
      <c r="B1231" s="77" t="n">
        <v>2025</v>
      </c>
      <c r="C1231" s="77" t="inlineStr">
        <is>
          <t>medium</t>
        </is>
      </c>
      <c r="D1231" s="77" t="inlineStr">
        <is>
          <t>E1=E2</t>
        </is>
      </c>
      <c r="E1231" s="77" t="inlineStr">
        <is>
          <t>T&amp;D demand charge, amortised (at 5,000h) [JS representative, D41]</t>
        </is>
      </c>
      <c r="F1231" s="77" t="inlineStr">
        <is>
          <t>3 Network</t>
        </is>
      </c>
      <c r="G1231" s="77" t="inlineStr">
        <is>
          <t>shupeidianjia demand charge</t>
        </is>
      </c>
      <c r="H1231" s="77" t="inlineStr">
        <is>
          <t>i (embeds reverse cross-subsidy: industrial users overpay to subsidise residential/agricultural — opposite direction to UK/DE EII relief)</t>
        </is>
      </c>
      <c r="I1231" s="77">
        <f>IF(ISNUMBER(N1231),N1231/fx_deflator!$K$20*fx_deflator!$M$20,"")</f>
        <v/>
      </c>
      <c r="J1231" s="77" t="inlineStr">
        <is>
          <t>1508/526-hao annexes</t>
        </is>
      </c>
      <c r="K1231" s="77" t="inlineStr">
        <is>
          <t>stage4_cn r74/76</t>
        </is>
      </c>
      <c r="L1231" s="77" t="inlineStr">
        <is>
          <t>2026-07-15</t>
        </is>
      </c>
      <c r="M1231" s="77" t="inlineStr">
        <is>
          <t>Y</t>
        </is>
      </c>
      <c r="N1231" s="77">
        <f>stage4_cn!$D$76*12*1000/assumptions!$C$7</f>
        <v/>
      </c>
      <c r="O1231" s="77" t="inlineStr">
        <is>
          <t>CNY/MWh nominal</t>
        </is>
      </c>
    </row>
    <row r="1232" ht="15" customHeight="1" s="78">
      <c r="A1232" s="77" t="inlineStr">
        <is>
          <t>CN</t>
        </is>
      </c>
      <c r="B1232" s="77" t="n">
        <v>2025</v>
      </c>
      <c r="C1232" s="77" t="inlineStr">
        <is>
          <t>medium</t>
        </is>
      </c>
      <c r="D1232" s="77" t="inlineStr">
        <is>
          <t>E1=E2</t>
        </is>
      </c>
      <c r="E1232" s="77" t="inlineStr">
        <is>
          <t>System operation fee — capacity charges (coal/PSH/gas, D9) [JS representative, D41]</t>
        </is>
      </c>
      <c r="F1232" s="77" t="inlineStr">
        <is>
          <t>2 Gen capital recovery</t>
        </is>
      </c>
      <c r="G1232" s="77" t="inlineStr">
        <is>
          <t>system operation fee (capacity)</t>
        </is>
      </c>
      <c r="H1232" s="77" t="inlineStr">
        <is>
          <t>i (embeds reverse cross-subsidy: industrial users overpay to subsidise residential/agricultural — opposite direction to UK/DE EII relief)</t>
        </is>
      </c>
      <c r="I1232" s="77">
        <f>IF(ISNUMBER(N1232),N1232/fx_deflator!$K$20*fx_deflator!$M$20,"")</f>
        <v/>
      </c>
      <c r="J1232" s="77" t="inlineStr">
        <is>
          <t>JS monthly notices, itemised (Q43/D42)</t>
        </is>
      </c>
      <c r="K1232" s="77" t="inlineStr">
        <is>
          <t>stage4_cn r104</t>
        </is>
      </c>
      <c r="L1232" s="77" t="inlineStr">
        <is>
          <t>2026-07-15</t>
        </is>
      </c>
      <c r="M1232" s="77" t="inlineStr">
        <is>
          <t>Y</t>
        </is>
      </c>
      <c r="N1232" s="77">
        <f>stage4_cn!S104*1000</f>
        <v/>
      </c>
      <c r="O1232" s="77" t="inlineStr">
        <is>
          <t>CNY/MWh nominal</t>
        </is>
      </c>
    </row>
    <row r="1233" ht="15" customHeight="1" s="78">
      <c r="A1233" s="77" t="inlineStr">
        <is>
          <t>CN</t>
        </is>
      </c>
      <c r="B1233" s="77" t="n">
        <v>2025</v>
      </c>
      <c r="C1233" s="77" t="inlineStr">
        <is>
          <t>medium</t>
        </is>
      </c>
      <c r="D1233" s="77" t="inlineStr">
        <is>
          <t>E1=E2</t>
        </is>
      </c>
      <c r="E1233" s="77" t="inlineStr">
        <is>
          <t>System operation fee — explicit cross-subsidy line [JS representative, D41]</t>
        </is>
      </c>
      <c r="F1233" s="77" t="inlineStr">
        <is>
          <t>5 General taxation &amp; levies</t>
        </is>
      </c>
      <c r="G1233" s="77" t="inlineStr">
        <is>
          <t>system operation fee (cross-subsidy recovery)</t>
        </is>
      </c>
      <c r="H1233" s="77" t="inlineStr">
        <is>
          <t>i (embeds reverse cross-subsidy: industrial users overpay to subsidise residential/agricultural — opposite direction to UK/DE EII relief)</t>
        </is>
      </c>
      <c r="I1233" s="77">
        <f>IF(ISNUMBER(N1233),N1233/fx_deflator!$K$20*fx_deflator!$M$20,"")</f>
        <v/>
      </c>
      <c r="J1233" s="77" t="inlineStr">
        <is>
          <t>JS monthly notices, itemised (Q43/D42)</t>
        </is>
      </c>
      <c r="K1233" s="77" t="inlineStr">
        <is>
          <t>stage4_cn r105</t>
        </is>
      </c>
      <c r="L1233" s="77" t="inlineStr">
        <is>
          <t>2026-07-15</t>
        </is>
      </c>
      <c r="M1233" s="77" t="inlineStr">
        <is>
          <t>Y</t>
        </is>
      </c>
      <c r="N1233" s="77">
        <f>stage4_cn!S105*1000</f>
        <v/>
      </c>
      <c r="O1233" s="77" t="inlineStr">
        <is>
          <t>CNY/MWh nominal</t>
        </is>
      </c>
    </row>
    <row r="1234" ht="15" customHeight="1" s="78">
      <c r="A1234" s="77" t="inlineStr">
        <is>
          <t>CN</t>
        </is>
      </c>
      <c r="B1234" s="77" t="n">
        <v>2025</v>
      </c>
      <c r="C1234" s="77" t="inlineStr">
        <is>
          <t>medium</t>
        </is>
      </c>
      <c r="D1234" s="77" t="inlineStr">
        <is>
          <t>E1=E2</t>
        </is>
      </c>
      <c r="E1234" s="77" t="inlineStr">
        <is>
          <t>System operation fee — residual system P&amp;L [JS representative, D41]</t>
        </is>
      </c>
      <c r="F1234" s="77" t="inlineStr">
        <is>
          <t>4 System services &amp; balancing</t>
        </is>
      </c>
      <c r="G1234" s="77" t="inlineStr">
        <is>
          <t>system operation fee (residual)</t>
        </is>
      </c>
      <c r="H1234" s="77" t="inlineStr">
        <is>
          <t>i (embeds reverse cross-subsidy: industrial users overpay to subsidise residential/agricultural — opposite direction to UK/DE EII relief)</t>
        </is>
      </c>
      <c r="I1234" s="77">
        <f>IF(ISNUMBER(N1234),N1234/fx_deflator!$K$20*fx_deflator!$M$20,"")</f>
        <v/>
      </c>
      <c r="J1234" s="77" t="inlineStr">
        <is>
          <t>JS monthly notices (Q43/D42)</t>
        </is>
      </c>
      <c r="K1234" s="77" t="inlineStr">
        <is>
          <t>stage4_cn r106</t>
        </is>
      </c>
      <c r="L1234" s="77" t="inlineStr">
        <is>
          <t>2026-07-15</t>
        </is>
      </c>
      <c r="M1234" s="77" t="inlineStr">
        <is>
          <t>Y</t>
        </is>
      </c>
      <c r="N1234" s="77">
        <f>(stage4_cn!S81-stage4_cn!S104-stage4_cn!S105)*1000</f>
        <v/>
      </c>
      <c r="O1234" s="77" t="inlineStr">
        <is>
          <t>CNY/MWh nominal</t>
        </is>
      </c>
      <c r="P1234" s="77" t="inlineStr">
        <is>
          <t>capacity charge embedded (Q43)</t>
        </is>
      </c>
    </row>
    <row r="1235" ht="15" customHeight="1" s="78">
      <c r="A1235" s="77" t="inlineStr">
        <is>
          <t>CN</t>
        </is>
      </c>
      <c r="B1235" s="77" t="n">
        <v>2025</v>
      </c>
      <c r="C1235" s="77" t="inlineStr">
        <is>
          <t>medium</t>
        </is>
      </c>
      <c r="D1235" s="77" t="inlineStr">
        <is>
          <t>E1=E2</t>
        </is>
      </c>
      <c r="E1235" s="77" t="inlineStr">
        <is>
          <t>Government funds — renewables surcharge [JS representative, D41]</t>
        </is>
      </c>
      <c r="F1235" s="77" t="inlineStr">
        <is>
          <t>2 Gen capital recovery</t>
        </is>
      </c>
      <c r="G1235" s="77" t="inlineStr">
        <is>
          <t>government funds &amp; surcharges</t>
        </is>
      </c>
      <c r="H1235" s="77" t="inlineStr">
        <is>
          <t>i (embeds reverse cross-subsidy: industrial users overpay to subsidise residential/agricultural — opposite direction to UK/DE EII relief)</t>
        </is>
      </c>
      <c r="I1235" s="77">
        <f>IF(ISNUMBER(N1235),N1235/fx_deflator!$K$20*fx_deflator!$M$20,"")</f>
        <v/>
      </c>
      <c r="J1235" s="77" t="inlineStr">
        <is>
          <t>3105-hao</t>
        </is>
      </c>
      <c r="K1235" s="77" t="inlineStr">
        <is>
          <t>stage4_cn r79</t>
        </is>
      </c>
      <c r="L1235" s="77" t="inlineStr">
        <is>
          <t>2026-07-15</t>
        </is>
      </c>
      <c r="M1235" s="77" t="inlineStr">
        <is>
          <t>Y</t>
        </is>
      </c>
      <c r="N1235" s="77">
        <f>19</f>
        <v/>
      </c>
      <c r="O1235" s="77" t="inlineStr">
        <is>
          <t>CNY/MWh nominal</t>
        </is>
      </c>
    </row>
    <row r="1236" ht="15" customHeight="1" s="78">
      <c r="A1236" s="77" t="inlineStr">
        <is>
          <t>CN</t>
        </is>
      </c>
      <c r="B1236" s="77" t="n">
        <v>2025</v>
      </c>
      <c r="C1236" s="77" t="inlineStr">
        <is>
          <t>medium</t>
        </is>
      </c>
      <c r="D1236" s="77" t="inlineStr">
        <is>
          <t>E1=E2</t>
        </is>
      </c>
      <c r="E1236" s="77" t="inlineStr">
        <is>
          <t>Government funds — other [JS representative, D41]</t>
        </is>
      </c>
      <c r="F1236" s="77" t="inlineStr">
        <is>
          <t>5 General taxation &amp; levies</t>
        </is>
      </c>
      <c r="G1236" s="77" t="inlineStr">
        <is>
          <t>government funds &amp; surcharges</t>
        </is>
      </c>
      <c r="H1236" s="77" t="inlineStr">
        <is>
          <t>i (embeds reverse cross-subsidy: industrial users overpay to subsidise residential/agricultural — opposite direction to UK/DE EII relief)</t>
        </is>
      </c>
      <c r="I1236" s="77">
        <f>IF(ISNUMBER(N1236),N1236/fx_deflator!$K$20*fx_deflator!$M$20,"")</f>
        <v/>
      </c>
      <c r="J1236" s="77" t="inlineStr">
        <is>
          <t>JS funds total minus renewables</t>
        </is>
      </c>
      <c r="K1236" s="77" t="inlineStr">
        <is>
          <t>stage4_cn r79</t>
        </is>
      </c>
      <c r="L1236" s="77" t="inlineStr">
        <is>
          <t>2026-07-15</t>
        </is>
      </c>
      <c r="M1236" s="77" t="inlineStr">
        <is>
          <t>Y</t>
        </is>
      </c>
      <c r="N1236" s="77">
        <f>stage4_cn!$D$79*1000-19</f>
        <v/>
      </c>
      <c r="O1236" s="77" t="inlineStr">
        <is>
          <t>CNY/MWh nominal</t>
        </is>
      </c>
    </row>
    <row r="1237" ht="15" customHeight="1" s="78">
      <c r="A1237" s="77" t="inlineStr">
        <is>
          <t>UK</t>
        </is>
      </c>
      <c r="B1237" s="77" t="n">
        <v>2013</v>
      </c>
      <c r="C1237" s="77" t="inlineStr">
        <is>
          <t>both</t>
        </is>
      </c>
      <c r="D1237" s="77" t="inlineStr">
        <is>
          <t>memo (E1=E2)</t>
        </is>
      </c>
      <c r="E1237" s="77" t="inlineStr">
        <is>
          <t>MEMO — embedded carbon in wholesale price (official-MEF central, D40)</t>
        </is>
      </c>
      <c r="F1237" s="77" t="inlineStr">
        <is>
          <t>MEMO — within 1 Commodity (not additive)</t>
        </is>
      </c>
      <c r="G1237" s="77" t="inlineStr">
        <is>
          <t>carbon cost embedded in wholesale</t>
        </is>
      </c>
      <c r="H1237" s="77" t="inlineStr">
        <is>
          <t>i (inside wholesale price)</t>
        </is>
      </c>
      <c r="I1237" s="77">
        <f>IF(ISNUMBER(N1237),N1237*fx_deflator!$I$8*fx_deflator!$M$8,"")</f>
        <v/>
      </c>
      <c r="J1237" s="77" t="inlineStr">
        <is>
          <t>carbon tab (DEHSt/UK ETS Authority/DBT-BEIS MEF series)</t>
        </is>
      </c>
      <c r="K1237" s="77" t="inlineStr">
        <is>
          <t>carbon r14</t>
        </is>
      </c>
      <c r="L1237" s="77" t="inlineStr">
        <is>
          <t>2026-07-16</t>
        </is>
      </c>
      <c r="M1237" s="77" t="inlineStr">
        <is>
          <t>Y</t>
        </is>
      </c>
      <c r="N1237" s="77">
        <f>carbon!G14</f>
        <v/>
      </c>
      <c r="O1237" s="77" t="inlineStr">
        <is>
          <t>GBP/MWh nominal</t>
        </is>
      </c>
    </row>
    <row r="1238" ht="15" customHeight="1" s="78">
      <c r="A1238" s="77" t="inlineStr">
        <is>
          <t>DE</t>
        </is>
      </c>
      <c r="B1238" s="77" t="n">
        <v>2013</v>
      </c>
      <c r="C1238" s="77" t="inlineStr">
        <is>
          <t>both</t>
        </is>
      </c>
      <c r="D1238" s="77" t="inlineStr">
        <is>
          <t>memo (E1=E2)</t>
        </is>
      </c>
      <c r="E1238" s="77" t="inlineStr">
        <is>
          <t>MEMO — embedded carbon in wholesale price (official-MEF central, D40)</t>
        </is>
      </c>
      <c r="F1238" s="77" t="inlineStr">
        <is>
          <t>MEMO — within 1 Commodity (not additive)</t>
        </is>
      </c>
      <c r="G1238" s="77" t="inlineStr">
        <is>
          <t>carbon cost embedded in wholesale</t>
        </is>
      </c>
      <c r="H1238" s="77" t="inlineStr">
        <is>
          <t>i (inside wholesale price)</t>
        </is>
      </c>
      <c r="I1238" s="77">
        <f>IF(ISNUMBER(N1238),N1238*fx_deflator!$J$8*fx_deflator!$M$8,"")</f>
        <v/>
      </c>
      <c r="J1238" s="77" t="inlineStr">
        <is>
          <t>carbon tab (DEHSt EUA; DEHSt SPK 0.76/0.72)</t>
        </is>
      </c>
      <c r="K1238" s="77" t="inlineStr">
        <is>
          <t>carbon r15</t>
        </is>
      </c>
      <c r="L1238" s="77" t="inlineStr">
        <is>
          <t>2026-07-16</t>
        </is>
      </c>
      <c r="M1238" s="77" t="inlineStr">
        <is>
          <t>Y</t>
        </is>
      </c>
      <c r="N1238" s="77">
        <f>carbon!G15</f>
        <v/>
      </c>
      <c r="O1238" s="77" t="inlineStr">
        <is>
          <t>EUR/MWh nominal</t>
        </is>
      </c>
    </row>
    <row r="1239" ht="15" customHeight="1" s="78">
      <c r="A1239" s="77" t="inlineStr">
        <is>
          <t>UK</t>
        </is>
      </c>
      <c r="B1239" s="77" t="n">
        <v>2014</v>
      </c>
      <c r="C1239" s="77" t="inlineStr">
        <is>
          <t>both</t>
        </is>
      </c>
      <c r="D1239" s="77" t="inlineStr">
        <is>
          <t>memo (E1=E2)</t>
        </is>
      </c>
      <c r="E1239" s="77" t="inlineStr">
        <is>
          <t>MEMO — embedded carbon in wholesale price (official-MEF central, D40)</t>
        </is>
      </c>
      <c r="F1239" s="77" t="inlineStr">
        <is>
          <t>MEMO — within 1 Commodity (not additive)</t>
        </is>
      </c>
      <c r="G1239" s="77" t="inlineStr">
        <is>
          <t>carbon cost embedded in wholesale</t>
        </is>
      </c>
      <c r="H1239" s="77" t="inlineStr">
        <is>
          <t>i (inside wholesale price)</t>
        </is>
      </c>
      <c r="I1239" s="77">
        <f>IF(ISNUMBER(N1239),N1239*fx_deflator!$I$9*fx_deflator!$M$9,"")</f>
        <v/>
      </c>
      <c r="J1239" s="77" t="inlineStr">
        <is>
          <t>carbon tab (DEHSt/UK ETS Authority/DBT-BEIS MEF series)</t>
        </is>
      </c>
      <c r="K1239" s="77" t="inlineStr">
        <is>
          <t>carbon r14</t>
        </is>
      </c>
      <c r="L1239" s="77" t="inlineStr">
        <is>
          <t>2026-07-16</t>
        </is>
      </c>
      <c r="M1239" s="77" t="inlineStr">
        <is>
          <t>Y</t>
        </is>
      </c>
      <c r="N1239" s="77">
        <f>carbon!H14</f>
        <v/>
      </c>
      <c r="O1239" s="77" t="inlineStr">
        <is>
          <t>GBP/MWh nominal</t>
        </is>
      </c>
    </row>
    <row r="1240" ht="15" customHeight="1" s="78">
      <c r="A1240" s="77" t="inlineStr">
        <is>
          <t>DE</t>
        </is>
      </c>
      <c r="B1240" s="77" t="n">
        <v>2014</v>
      </c>
      <c r="C1240" s="77" t="inlineStr">
        <is>
          <t>both</t>
        </is>
      </c>
      <c r="D1240" s="77" t="inlineStr">
        <is>
          <t>memo (E1=E2)</t>
        </is>
      </c>
      <c r="E1240" s="77" t="inlineStr">
        <is>
          <t>MEMO — embedded carbon in wholesale price (official-MEF central, D40)</t>
        </is>
      </c>
      <c r="F1240" s="77" t="inlineStr">
        <is>
          <t>MEMO — within 1 Commodity (not additive)</t>
        </is>
      </c>
      <c r="G1240" s="77" t="inlineStr">
        <is>
          <t>carbon cost embedded in wholesale</t>
        </is>
      </c>
      <c r="H1240" s="77" t="inlineStr">
        <is>
          <t>i (inside wholesale price)</t>
        </is>
      </c>
      <c r="I1240" s="77">
        <f>IF(ISNUMBER(N1240),N1240*fx_deflator!$J$9*fx_deflator!$M$9,"")</f>
        <v/>
      </c>
      <c r="J1240" s="77" t="inlineStr">
        <is>
          <t>carbon tab (DEHSt EUA; DEHSt SPK 0.76/0.72)</t>
        </is>
      </c>
      <c r="K1240" s="77" t="inlineStr">
        <is>
          <t>carbon r15</t>
        </is>
      </c>
      <c r="L1240" s="77" t="inlineStr">
        <is>
          <t>2026-07-16</t>
        </is>
      </c>
      <c r="M1240" s="77" t="inlineStr">
        <is>
          <t>Y</t>
        </is>
      </c>
      <c r="N1240" s="77">
        <f>carbon!H15</f>
        <v/>
      </c>
      <c r="O1240" s="77" t="inlineStr">
        <is>
          <t>EUR/MWh nominal</t>
        </is>
      </c>
    </row>
    <row r="1241" ht="15" customHeight="1" s="78">
      <c r="A1241" s="77" t="inlineStr">
        <is>
          <t>UK</t>
        </is>
      </c>
      <c r="B1241" s="77" t="n">
        <v>2015</v>
      </c>
      <c r="C1241" s="77" t="inlineStr">
        <is>
          <t>both</t>
        </is>
      </c>
      <c r="D1241" s="77" t="inlineStr">
        <is>
          <t>memo (E1=E2)</t>
        </is>
      </c>
      <c r="E1241" s="77" t="inlineStr">
        <is>
          <t>MEMO — embedded carbon in wholesale price (official-MEF central, D40)</t>
        </is>
      </c>
      <c r="F1241" s="77" t="inlineStr">
        <is>
          <t>MEMO — within 1 Commodity (not additive)</t>
        </is>
      </c>
      <c r="G1241" s="77" t="inlineStr">
        <is>
          <t>carbon cost embedded in wholesale</t>
        </is>
      </c>
      <c r="H1241" s="77" t="inlineStr">
        <is>
          <t>i (inside wholesale price)</t>
        </is>
      </c>
      <c r="I1241" s="77">
        <f>IF(ISNUMBER(N1241),N1241*fx_deflator!$I$10*fx_deflator!$M$10,"")</f>
        <v/>
      </c>
      <c r="J1241" s="77" t="inlineStr">
        <is>
          <t>carbon tab (DEHSt/UK ETS Authority/DBT-BEIS MEF series)</t>
        </is>
      </c>
      <c r="K1241" s="77" t="inlineStr">
        <is>
          <t>carbon r14</t>
        </is>
      </c>
      <c r="L1241" s="77" t="inlineStr">
        <is>
          <t>2026-07-16</t>
        </is>
      </c>
      <c r="M1241" s="77" t="inlineStr">
        <is>
          <t>Y</t>
        </is>
      </c>
      <c r="N1241" s="77">
        <f>carbon!I14</f>
        <v/>
      </c>
      <c r="O1241" s="77" t="inlineStr">
        <is>
          <t>GBP/MWh nominal</t>
        </is>
      </c>
    </row>
    <row r="1242" ht="15" customHeight="1" s="78">
      <c r="A1242" s="77" t="inlineStr">
        <is>
          <t>DE</t>
        </is>
      </c>
      <c r="B1242" s="77" t="n">
        <v>2015</v>
      </c>
      <c r="C1242" s="77" t="inlineStr">
        <is>
          <t>both</t>
        </is>
      </c>
      <c r="D1242" s="77" t="inlineStr">
        <is>
          <t>memo (E1=E2)</t>
        </is>
      </c>
      <c r="E1242" s="77" t="inlineStr">
        <is>
          <t>MEMO — embedded carbon in wholesale price (official-MEF central, D40)</t>
        </is>
      </c>
      <c r="F1242" s="77" t="inlineStr">
        <is>
          <t>MEMO — within 1 Commodity (not additive)</t>
        </is>
      </c>
      <c r="G1242" s="77" t="inlineStr">
        <is>
          <t>carbon cost embedded in wholesale</t>
        </is>
      </c>
      <c r="H1242" s="77" t="inlineStr">
        <is>
          <t>i (inside wholesale price)</t>
        </is>
      </c>
      <c r="I1242" s="77">
        <f>IF(ISNUMBER(N1242),N1242*fx_deflator!$J$10*fx_deflator!$M$10,"")</f>
        <v/>
      </c>
      <c r="J1242" s="77" t="inlineStr">
        <is>
          <t>carbon tab (DEHSt EUA; DEHSt SPK 0.76/0.72)</t>
        </is>
      </c>
      <c r="K1242" s="77" t="inlineStr">
        <is>
          <t>carbon r15</t>
        </is>
      </c>
      <c r="L1242" s="77" t="inlineStr">
        <is>
          <t>2026-07-16</t>
        </is>
      </c>
      <c r="M1242" s="77" t="inlineStr">
        <is>
          <t>Y</t>
        </is>
      </c>
      <c r="N1242" s="77">
        <f>carbon!I15</f>
        <v/>
      </c>
      <c r="O1242" s="77" t="inlineStr">
        <is>
          <t>EUR/MWh nominal</t>
        </is>
      </c>
    </row>
    <row r="1243" ht="15" customHeight="1" s="78">
      <c r="A1243" s="77" t="inlineStr">
        <is>
          <t>UK</t>
        </is>
      </c>
      <c r="B1243" s="77" t="n">
        <v>2016</v>
      </c>
      <c r="C1243" s="77" t="inlineStr">
        <is>
          <t>both</t>
        </is>
      </c>
      <c r="D1243" s="77" t="inlineStr">
        <is>
          <t>memo (E1=E2)</t>
        </is>
      </c>
      <c r="E1243" s="77" t="inlineStr">
        <is>
          <t>MEMO — embedded carbon in wholesale price (official-MEF central, D40)</t>
        </is>
      </c>
      <c r="F1243" s="77" t="inlineStr">
        <is>
          <t>MEMO — within 1 Commodity (not additive)</t>
        </is>
      </c>
      <c r="G1243" s="77" t="inlineStr">
        <is>
          <t>carbon cost embedded in wholesale</t>
        </is>
      </c>
      <c r="H1243" s="77" t="inlineStr">
        <is>
          <t>i (inside wholesale price)</t>
        </is>
      </c>
      <c r="I1243" s="77">
        <f>IF(ISNUMBER(N1243),N1243*fx_deflator!$I$11*fx_deflator!$M$11,"")</f>
        <v/>
      </c>
      <c r="J1243" s="77" t="inlineStr">
        <is>
          <t>carbon tab (DEHSt/UK ETS Authority/DBT-BEIS MEF series)</t>
        </is>
      </c>
      <c r="K1243" s="77" t="inlineStr">
        <is>
          <t>carbon r14</t>
        </is>
      </c>
      <c r="L1243" s="77" t="inlineStr">
        <is>
          <t>2026-07-16</t>
        </is>
      </c>
      <c r="M1243" s="77" t="inlineStr">
        <is>
          <t>Y</t>
        </is>
      </c>
      <c r="N1243" s="77">
        <f>carbon!J14</f>
        <v/>
      </c>
      <c r="O1243" s="77" t="inlineStr">
        <is>
          <t>GBP/MWh nominal</t>
        </is>
      </c>
    </row>
    <row r="1244" ht="15" customHeight="1" s="78">
      <c r="A1244" s="77" t="inlineStr">
        <is>
          <t>DE</t>
        </is>
      </c>
      <c r="B1244" s="77" t="n">
        <v>2016</v>
      </c>
      <c r="C1244" s="77" t="inlineStr">
        <is>
          <t>both</t>
        </is>
      </c>
      <c r="D1244" s="77" t="inlineStr">
        <is>
          <t>memo (E1=E2)</t>
        </is>
      </c>
      <c r="E1244" s="77" t="inlineStr">
        <is>
          <t>MEMO — embedded carbon in wholesale price (official-MEF central, D40)</t>
        </is>
      </c>
      <c r="F1244" s="77" t="inlineStr">
        <is>
          <t>MEMO — within 1 Commodity (not additive)</t>
        </is>
      </c>
      <c r="G1244" s="77" t="inlineStr">
        <is>
          <t>carbon cost embedded in wholesale</t>
        </is>
      </c>
      <c r="H1244" s="77" t="inlineStr">
        <is>
          <t>i (inside wholesale price)</t>
        </is>
      </c>
      <c r="I1244" s="77">
        <f>IF(ISNUMBER(N1244),N1244*fx_deflator!$J$11*fx_deflator!$M$11,"")</f>
        <v/>
      </c>
      <c r="J1244" s="77" t="inlineStr">
        <is>
          <t>carbon tab (DEHSt EUA; DEHSt SPK 0.76/0.72)</t>
        </is>
      </c>
      <c r="K1244" s="77" t="inlineStr">
        <is>
          <t>carbon r15</t>
        </is>
      </c>
      <c r="L1244" s="77" t="inlineStr">
        <is>
          <t>2026-07-16</t>
        </is>
      </c>
      <c r="M1244" s="77" t="inlineStr">
        <is>
          <t>Y</t>
        </is>
      </c>
      <c r="N1244" s="77">
        <f>carbon!J15</f>
        <v/>
      </c>
      <c r="O1244" s="77" t="inlineStr">
        <is>
          <t>EUR/MWh nominal</t>
        </is>
      </c>
    </row>
    <row r="1245" ht="15" customHeight="1" s="78">
      <c r="A1245" s="77" t="inlineStr">
        <is>
          <t>UK</t>
        </is>
      </c>
      <c r="B1245" s="77" t="n">
        <v>2017</v>
      </c>
      <c r="C1245" s="77" t="inlineStr">
        <is>
          <t>both</t>
        </is>
      </c>
      <c r="D1245" s="77" t="inlineStr">
        <is>
          <t>memo (E1=E2)</t>
        </is>
      </c>
      <c r="E1245" s="77" t="inlineStr">
        <is>
          <t>MEMO — embedded carbon in wholesale price (official-MEF central, D40)</t>
        </is>
      </c>
      <c r="F1245" s="77" t="inlineStr">
        <is>
          <t>MEMO — within 1 Commodity (not additive)</t>
        </is>
      </c>
      <c r="G1245" s="77" t="inlineStr">
        <is>
          <t>carbon cost embedded in wholesale</t>
        </is>
      </c>
      <c r="H1245" s="77" t="inlineStr">
        <is>
          <t>i (inside wholesale price)</t>
        </is>
      </c>
      <c r="I1245" s="77">
        <f>IF(ISNUMBER(N1245),N1245*fx_deflator!$I$12*fx_deflator!$M$12,"")</f>
        <v/>
      </c>
      <c r="J1245" s="77" t="inlineStr">
        <is>
          <t>carbon tab (DEHSt/UK ETS Authority/DBT-BEIS MEF series)</t>
        </is>
      </c>
      <c r="K1245" s="77" t="inlineStr">
        <is>
          <t>carbon r14</t>
        </is>
      </c>
      <c r="L1245" s="77" t="inlineStr">
        <is>
          <t>2026-07-16</t>
        </is>
      </c>
      <c r="M1245" s="77" t="inlineStr">
        <is>
          <t>Y</t>
        </is>
      </c>
      <c r="N1245" s="77">
        <f>carbon!K14</f>
        <v/>
      </c>
      <c r="O1245" s="77" t="inlineStr">
        <is>
          <t>GBP/MWh nominal</t>
        </is>
      </c>
    </row>
    <row r="1246" ht="15" customHeight="1" s="78">
      <c r="A1246" s="77" t="inlineStr">
        <is>
          <t>DE</t>
        </is>
      </c>
      <c r="B1246" s="77" t="n">
        <v>2017</v>
      </c>
      <c r="C1246" s="77" t="inlineStr">
        <is>
          <t>both</t>
        </is>
      </c>
      <c r="D1246" s="77" t="inlineStr">
        <is>
          <t>memo (E1=E2)</t>
        </is>
      </c>
      <c r="E1246" s="77" t="inlineStr">
        <is>
          <t>MEMO — embedded carbon in wholesale price (official-MEF central, D40)</t>
        </is>
      </c>
      <c r="F1246" s="77" t="inlineStr">
        <is>
          <t>MEMO — within 1 Commodity (not additive)</t>
        </is>
      </c>
      <c r="G1246" s="77" t="inlineStr">
        <is>
          <t>carbon cost embedded in wholesale</t>
        </is>
      </c>
      <c r="H1246" s="77" t="inlineStr">
        <is>
          <t>i (inside wholesale price)</t>
        </is>
      </c>
      <c r="I1246" s="77">
        <f>IF(ISNUMBER(N1246),N1246*fx_deflator!$J$12*fx_deflator!$M$12,"")</f>
        <v/>
      </c>
      <c r="J1246" s="77" t="inlineStr">
        <is>
          <t>carbon tab (DEHSt EUA; DEHSt SPK 0.76/0.72)</t>
        </is>
      </c>
      <c r="K1246" s="77" t="inlineStr">
        <is>
          <t>carbon r15</t>
        </is>
      </c>
      <c r="L1246" s="77" t="inlineStr">
        <is>
          <t>2026-07-16</t>
        </is>
      </c>
      <c r="M1246" s="77" t="inlineStr">
        <is>
          <t>Y</t>
        </is>
      </c>
      <c r="N1246" s="77">
        <f>carbon!K15</f>
        <v/>
      </c>
      <c r="O1246" s="77" t="inlineStr">
        <is>
          <t>EUR/MWh nominal</t>
        </is>
      </c>
    </row>
    <row r="1247" ht="15" customHeight="1" s="78">
      <c r="A1247" s="77" t="inlineStr">
        <is>
          <t>UK</t>
        </is>
      </c>
      <c r="B1247" s="77" t="n">
        <v>2018</v>
      </c>
      <c r="C1247" s="77" t="inlineStr">
        <is>
          <t>both</t>
        </is>
      </c>
      <c r="D1247" s="77" t="inlineStr">
        <is>
          <t>memo (E1=E2)</t>
        </is>
      </c>
      <c r="E1247" s="77" t="inlineStr">
        <is>
          <t>MEMO — embedded carbon in wholesale price (official-MEF central, D40)</t>
        </is>
      </c>
      <c r="F1247" s="77" t="inlineStr">
        <is>
          <t>MEMO — within 1 Commodity (not additive)</t>
        </is>
      </c>
      <c r="G1247" s="77" t="inlineStr">
        <is>
          <t>carbon cost embedded in wholesale</t>
        </is>
      </c>
      <c r="H1247" s="77" t="inlineStr">
        <is>
          <t>i (inside wholesale price)</t>
        </is>
      </c>
      <c r="I1247" s="77">
        <f>IF(ISNUMBER(N1247),N1247*fx_deflator!$I$13*fx_deflator!$M$13,"")</f>
        <v/>
      </c>
      <c r="J1247" s="77" t="inlineStr">
        <is>
          <t>carbon tab (DEHSt/UK ETS Authority/DBT-BEIS MEF series)</t>
        </is>
      </c>
      <c r="K1247" s="77" t="inlineStr">
        <is>
          <t>carbon r14</t>
        </is>
      </c>
      <c r="L1247" s="77" t="inlineStr">
        <is>
          <t>2026-07-16</t>
        </is>
      </c>
      <c r="M1247" s="77" t="inlineStr">
        <is>
          <t>Y</t>
        </is>
      </c>
      <c r="N1247" s="77">
        <f>carbon!L14</f>
        <v/>
      </c>
      <c r="O1247" s="77" t="inlineStr">
        <is>
          <t>GBP/MWh nominal</t>
        </is>
      </c>
    </row>
    <row r="1248" ht="15" customHeight="1" s="78">
      <c r="A1248" s="77" t="inlineStr">
        <is>
          <t>DE</t>
        </is>
      </c>
      <c r="B1248" s="77" t="n">
        <v>2018</v>
      </c>
      <c r="C1248" s="77" t="inlineStr">
        <is>
          <t>both</t>
        </is>
      </c>
      <c r="D1248" s="77" t="inlineStr">
        <is>
          <t>memo (E1=E2)</t>
        </is>
      </c>
      <c r="E1248" s="77" t="inlineStr">
        <is>
          <t>MEMO — embedded carbon in wholesale price (official-MEF central, D40)</t>
        </is>
      </c>
      <c r="F1248" s="77" t="inlineStr">
        <is>
          <t>MEMO — within 1 Commodity (not additive)</t>
        </is>
      </c>
      <c r="G1248" s="77" t="inlineStr">
        <is>
          <t>carbon cost embedded in wholesale</t>
        </is>
      </c>
      <c r="H1248" s="77" t="inlineStr">
        <is>
          <t>i (inside wholesale price)</t>
        </is>
      </c>
      <c r="I1248" s="77">
        <f>IF(ISNUMBER(N1248),N1248*fx_deflator!$J$13*fx_deflator!$M$13,"")</f>
        <v/>
      </c>
      <c r="J1248" s="77" t="inlineStr">
        <is>
          <t>carbon tab (DEHSt EUA; DEHSt SPK 0.76/0.72)</t>
        </is>
      </c>
      <c r="K1248" s="77" t="inlineStr">
        <is>
          <t>carbon r15</t>
        </is>
      </c>
      <c r="L1248" s="77" t="inlineStr">
        <is>
          <t>2026-07-16</t>
        </is>
      </c>
      <c r="M1248" s="77" t="inlineStr">
        <is>
          <t>Y</t>
        </is>
      </c>
      <c r="N1248" s="77">
        <f>carbon!L15</f>
        <v/>
      </c>
      <c r="O1248" s="77" t="inlineStr">
        <is>
          <t>EUR/MWh nominal</t>
        </is>
      </c>
    </row>
    <row r="1249" ht="15" customHeight="1" s="78">
      <c r="A1249" s="77" t="inlineStr">
        <is>
          <t>UK</t>
        </is>
      </c>
      <c r="B1249" s="77" t="n">
        <v>2019</v>
      </c>
      <c r="C1249" s="77" t="inlineStr">
        <is>
          <t>both</t>
        </is>
      </c>
      <c r="D1249" s="77" t="inlineStr">
        <is>
          <t>memo (E1=E2)</t>
        </is>
      </c>
      <c r="E1249" s="77" t="inlineStr">
        <is>
          <t>MEMO — embedded carbon in wholesale price (official-MEF central, D40)</t>
        </is>
      </c>
      <c r="F1249" s="77" t="inlineStr">
        <is>
          <t>MEMO — within 1 Commodity (not additive)</t>
        </is>
      </c>
      <c r="G1249" s="77" t="inlineStr">
        <is>
          <t>carbon cost embedded in wholesale</t>
        </is>
      </c>
      <c r="H1249" s="77" t="inlineStr">
        <is>
          <t>i (inside wholesale price)</t>
        </is>
      </c>
      <c r="I1249" s="77">
        <f>IF(ISNUMBER(N1249),N1249*fx_deflator!$I$14*fx_deflator!$M$14,"")</f>
        <v/>
      </c>
      <c r="J1249" s="77" t="inlineStr">
        <is>
          <t>carbon tab (DEHSt/UK ETS Authority/DBT-BEIS MEF series)</t>
        </is>
      </c>
      <c r="K1249" s="77" t="inlineStr">
        <is>
          <t>carbon r14</t>
        </is>
      </c>
      <c r="L1249" s="77" t="inlineStr">
        <is>
          <t>2026-07-16</t>
        </is>
      </c>
      <c r="M1249" s="77" t="inlineStr">
        <is>
          <t>Y</t>
        </is>
      </c>
      <c r="N1249" s="77">
        <f>carbon!M14</f>
        <v/>
      </c>
      <c r="O1249" s="77" t="inlineStr">
        <is>
          <t>GBP/MWh nominal</t>
        </is>
      </c>
    </row>
    <row r="1250" ht="15" customHeight="1" s="78">
      <c r="A1250" s="77" t="inlineStr">
        <is>
          <t>DE</t>
        </is>
      </c>
      <c r="B1250" s="77" t="n">
        <v>2019</v>
      </c>
      <c r="C1250" s="77" t="inlineStr">
        <is>
          <t>both</t>
        </is>
      </c>
      <c r="D1250" s="77" t="inlineStr">
        <is>
          <t>memo (E1=E2)</t>
        </is>
      </c>
      <c r="E1250" s="77" t="inlineStr">
        <is>
          <t>MEMO — embedded carbon in wholesale price (official-MEF central, D40)</t>
        </is>
      </c>
      <c r="F1250" s="77" t="inlineStr">
        <is>
          <t>MEMO — within 1 Commodity (not additive)</t>
        </is>
      </c>
      <c r="G1250" s="77" t="inlineStr">
        <is>
          <t>carbon cost embedded in wholesale</t>
        </is>
      </c>
      <c r="H1250" s="77" t="inlineStr">
        <is>
          <t>i (inside wholesale price)</t>
        </is>
      </c>
      <c r="I1250" s="77">
        <f>IF(ISNUMBER(N1250),N1250*fx_deflator!$J$14*fx_deflator!$M$14,"")</f>
        <v/>
      </c>
      <c r="J1250" s="77" t="inlineStr">
        <is>
          <t>carbon tab (DEHSt EUA; DEHSt SPK 0.76/0.72)</t>
        </is>
      </c>
      <c r="K1250" s="77" t="inlineStr">
        <is>
          <t>carbon r15</t>
        </is>
      </c>
      <c r="L1250" s="77" t="inlineStr">
        <is>
          <t>2026-07-16</t>
        </is>
      </c>
      <c r="M1250" s="77" t="inlineStr">
        <is>
          <t>Y</t>
        </is>
      </c>
      <c r="N1250" s="77">
        <f>carbon!M15</f>
        <v/>
      </c>
      <c r="O1250" s="77" t="inlineStr">
        <is>
          <t>EUR/MWh nominal</t>
        </is>
      </c>
    </row>
    <row r="1251" ht="15" customHeight="1" s="78">
      <c r="A1251" s="77" t="inlineStr">
        <is>
          <t>UK</t>
        </is>
      </c>
      <c r="B1251" s="77" t="n">
        <v>2020</v>
      </c>
      <c r="C1251" s="77" t="inlineStr">
        <is>
          <t>both</t>
        </is>
      </c>
      <c r="D1251" s="77" t="inlineStr">
        <is>
          <t>memo (E1=E2)</t>
        </is>
      </c>
      <c r="E1251" s="77" t="inlineStr">
        <is>
          <t>MEMO — embedded carbon in wholesale price (official-MEF central, D40)</t>
        </is>
      </c>
      <c r="F1251" s="77" t="inlineStr">
        <is>
          <t>MEMO — within 1 Commodity (not additive)</t>
        </is>
      </c>
      <c r="G1251" s="77" t="inlineStr">
        <is>
          <t>carbon cost embedded in wholesale</t>
        </is>
      </c>
      <c r="H1251" s="77" t="inlineStr">
        <is>
          <t>i (inside wholesale price)</t>
        </is>
      </c>
      <c r="I1251" s="77">
        <f>IF(ISNUMBER(N1251),N1251*fx_deflator!$I$15*fx_deflator!$M$15,"")</f>
        <v/>
      </c>
      <c r="J1251" s="77" t="inlineStr">
        <is>
          <t>carbon tab (DEHSt/UK ETS Authority/DBT-BEIS MEF series)</t>
        </is>
      </c>
      <c r="K1251" s="77" t="inlineStr">
        <is>
          <t>carbon r14</t>
        </is>
      </c>
      <c r="L1251" s="77" t="inlineStr">
        <is>
          <t>2026-07-16</t>
        </is>
      </c>
      <c r="M1251" s="77" t="inlineStr">
        <is>
          <t>Y</t>
        </is>
      </c>
      <c r="N1251" s="77">
        <f>carbon!N14</f>
        <v/>
      </c>
      <c r="O1251" s="77" t="inlineStr">
        <is>
          <t>GBP/MWh nominal</t>
        </is>
      </c>
    </row>
    <row r="1252" ht="15" customHeight="1" s="78">
      <c r="A1252" s="77" t="inlineStr">
        <is>
          <t>DE</t>
        </is>
      </c>
      <c r="B1252" s="77" t="n">
        <v>2020</v>
      </c>
      <c r="C1252" s="77" t="inlineStr">
        <is>
          <t>both</t>
        </is>
      </c>
      <c r="D1252" s="77" t="inlineStr">
        <is>
          <t>memo (E1=E2)</t>
        </is>
      </c>
      <c r="E1252" s="77" t="inlineStr">
        <is>
          <t>MEMO — embedded carbon in wholesale price (official-MEF central, D40)</t>
        </is>
      </c>
      <c r="F1252" s="77" t="inlineStr">
        <is>
          <t>MEMO — within 1 Commodity (not additive)</t>
        </is>
      </c>
      <c r="G1252" s="77" t="inlineStr">
        <is>
          <t>carbon cost embedded in wholesale</t>
        </is>
      </c>
      <c r="H1252" s="77" t="inlineStr">
        <is>
          <t>i (inside wholesale price)</t>
        </is>
      </c>
      <c r="I1252" s="77">
        <f>IF(ISNUMBER(N1252),N1252*fx_deflator!$J$15*fx_deflator!$M$15,"")</f>
        <v/>
      </c>
      <c r="J1252" s="77" t="inlineStr">
        <is>
          <t>carbon tab (DEHSt EUA; DEHSt SPK 0.76/0.72)</t>
        </is>
      </c>
      <c r="K1252" s="77" t="inlineStr">
        <is>
          <t>carbon r15</t>
        </is>
      </c>
      <c r="L1252" s="77" t="inlineStr">
        <is>
          <t>2026-07-16</t>
        </is>
      </c>
      <c r="M1252" s="77" t="inlineStr">
        <is>
          <t>Y</t>
        </is>
      </c>
      <c r="N1252" s="77">
        <f>carbon!N15</f>
        <v/>
      </c>
      <c r="O1252" s="77" t="inlineStr">
        <is>
          <t>EUR/MWh nominal</t>
        </is>
      </c>
    </row>
    <row r="1253" ht="15" customHeight="1" s="78">
      <c r="A1253" s="77" t="inlineStr">
        <is>
          <t>UK</t>
        </is>
      </c>
      <c r="B1253" s="77" t="n">
        <v>2021</v>
      </c>
      <c r="C1253" s="77" t="inlineStr">
        <is>
          <t>both</t>
        </is>
      </c>
      <c r="D1253" s="77" t="inlineStr">
        <is>
          <t>memo (E1=E2)</t>
        </is>
      </c>
      <c r="E1253" s="77" t="inlineStr">
        <is>
          <t>MEMO — embedded carbon in wholesale price (official-MEF central, D40)</t>
        </is>
      </c>
      <c r="F1253" s="77" t="inlineStr">
        <is>
          <t>MEMO — within 1 Commodity (not additive)</t>
        </is>
      </c>
      <c r="G1253" s="77" t="inlineStr">
        <is>
          <t>carbon cost embedded in wholesale</t>
        </is>
      </c>
      <c r="H1253" s="77" t="inlineStr">
        <is>
          <t>i (inside wholesale price)</t>
        </is>
      </c>
      <c r="I1253" s="77">
        <f>IF(ISNUMBER(N1253),N1253*fx_deflator!$I$16*fx_deflator!$M$16,"")</f>
        <v/>
      </c>
      <c r="J1253" s="77" t="inlineStr">
        <is>
          <t>carbon tab (DEHSt/UK ETS Authority/DBT-BEIS MEF series)</t>
        </is>
      </c>
      <c r="K1253" s="77" t="inlineStr">
        <is>
          <t>carbon r14</t>
        </is>
      </c>
      <c r="L1253" s="77" t="inlineStr">
        <is>
          <t>2026-07-16</t>
        </is>
      </c>
      <c r="M1253" s="77" t="inlineStr">
        <is>
          <t>Y</t>
        </is>
      </c>
      <c r="N1253" s="77">
        <f>carbon!O14</f>
        <v/>
      </c>
      <c r="O1253" s="77" t="inlineStr">
        <is>
          <t>GBP/MWh nominal</t>
        </is>
      </c>
    </row>
    <row r="1254" ht="15" customHeight="1" s="78">
      <c r="A1254" s="77" t="inlineStr">
        <is>
          <t>DE</t>
        </is>
      </c>
      <c r="B1254" s="77" t="n">
        <v>2021</v>
      </c>
      <c r="C1254" s="77" t="inlineStr">
        <is>
          <t>both</t>
        </is>
      </c>
      <c r="D1254" s="77" t="inlineStr">
        <is>
          <t>memo (E1=E2)</t>
        </is>
      </c>
      <c r="E1254" s="77" t="inlineStr">
        <is>
          <t>MEMO — embedded carbon in wholesale price (official-MEF central, D40)</t>
        </is>
      </c>
      <c r="F1254" s="77" t="inlineStr">
        <is>
          <t>MEMO — within 1 Commodity (not additive)</t>
        </is>
      </c>
      <c r="G1254" s="77" t="inlineStr">
        <is>
          <t>carbon cost embedded in wholesale</t>
        </is>
      </c>
      <c r="H1254" s="77" t="inlineStr">
        <is>
          <t>i (inside wholesale price)</t>
        </is>
      </c>
      <c r="I1254" s="77">
        <f>IF(ISNUMBER(N1254),N1254*fx_deflator!$J$16*fx_deflator!$M$16,"")</f>
        <v/>
      </c>
      <c r="J1254" s="77" t="inlineStr">
        <is>
          <t>carbon tab (DEHSt EUA; DEHSt SPK 0.76/0.72)</t>
        </is>
      </c>
      <c r="K1254" s="77" t="inlineStr">
        <is>
          <t>carbon r15</t>
        </is>
      </c>
      <c r="L1254" s="77" t="inlineStr">
        <is>
          <t>2026-07-16</t>
        </is>
      </c>
      <c r="M1254" s="77" t="inlineStr">
        <is>
          <t>Y</t>
        </is>
      </c>
      <c r="N1254" s="77">
        <f>carbon!O15</f>
        <v/>
      </c>
      <c r="O1254" s="77" t="inlineStr">
        <is>
          <t>EUR/MWh nominal</t>
        </is>
      </c>
    </row>
    <row r="1255" ht="15" customHeight="1" s="78">
      <c r="A1255" s="77" t="inlineStr">
        <is>
          <t>UK</t>
        </is>
      </c>
      <c r="B1255" s="77" t="n">
        <v>2022</v>
      </c>
      <c r="C1255" s="77" t="inlineStr">
        <is>
          <t>both</t>
        </is>
      </c>
      <c r="D1255" s="77" t="inlineStr">
        <is>
          <t>memo (E1=E2)</t>
        </is>
      </c>
      <c r="E1255" s="77" t="inlineStr">
        <is>
          <t>MEMO — embedded carbon in wholesale price (official-MEF central, D40)</t>
        </is>
      </c>
      <c r="F1255" s="77" t="inlineStr">
        <is>
          <t>MEMO — within 1 Commodity (not additive)</t>
        </is>
      </c>
      <c r="G1255" s="77" t="inlineStr">
        <is>
          <t>carbon cost embedded in wholesale</t>
        </is>
      </c>
      <c r="H1255" s="77" t="inlineStr">
        <is>
          <t>i (inside wholesale price)</t>
        </is>
      </c>
      <c r="I1255" s="77">
        <f>IF(ISNUMBER(N1255),N1255*fx_deflator!$I$17*fx_deflator!$M$17,"")</f>
        <v/>
      </c>
      <c r="J1255" s="77" t="inlineStr">
        <is>
          <t>carbon tab (DEHSt/UK ETS Authority/DBT-BEIS MEF series)</t>
        </is>
      </c>
      <c r="K1255" s="77" t="inlineStr">
        <is>
          <t>carbon r14</t>
        </is>
      </c>
      <c r="L1255" s="77" t="inlineStr">
        <is>
          <t>2026-07-16</t>
        </is>
      </c>
      <c r="M1255" s="77" t="inlineStr">
        <is>
          <t>Y</t>
        </is>
      </c>
      <c r="N1255" s="77">
        <f>carbon!P14</f>
        <v/>
      </c>
      <c r="O1255" s="77" t="inlineStr">
        <is>
          <t>GBP/MWh nominal</t>
        </is>
      </c>
    </row>
    <row r="1256" ht="15" customHeight="1" s="78">
      <c r="A1256" s="77" t="inlineStr">
        <is>
          <t>DE</t>
        </is>
      </c>
      <c r="B1256" s="77" t="n">
        <v>2022</v>
      </c>
      <c r="C1256" s="77" t="inlineStr">
        <is>
          <t>both</t>
        </is>
      </c>
      <c r="D1256" s="77" t="inlineStr">
        <is>
          <t>memo (E1=E2)</t>
        </is>
      </c>
      <c r="E1256" s="77" t="inlineStr">
        <is>
          <t>MEMO — embedded carbon in wholesale price (official-MEF central, D40)</t>
        </is>
      </c>
      <c r="F1256" s="77" t="inlineStr">
        <is>
          <t>MEMO — within 1 Commodity (not additive)</t>
        </is>
      </c>
      <c r="G1256" s="77" t="inlineStr">
        <is>
          <t>carbon cost embedded in wholesale</t>
        </is>
      </c>
      <c r="H1256" s="77" t="inlineStr">
        <is>
          <t>i (inside wholesale price)</t>
        </is>
      </c>
      <c r="I1256" s="77">
        <f>IF(ISNUMBER(N1256),N1256*fx_deflator!$J$17*fx_deflator!$M$17,"")</f>
        <v/>
      </c>
      <c r="J1256" s="77" t="inlineStr">
        <is>
          <t>carbon tab (DEHSt EUA; DEHSt SPK 0.76/0.72)</t>
        </is>
      </c>
      <c r="K1256" s="77" t="inlineStr">
        <is>
          <t>carbon r15</t>
        </is>
      </c>
      <c r="L1256" s="77" t="inlineStr">
        <is>
          <t>2026-07-16</t>
        </is>
      </c>
      <c r="M1256" s="77" t="inlineStr">
        <is>
          <t>Y</t>
        </is>
      </c>
      <c r="N1256" s="77">
        <f>carbon!P15</f>
        <v/>
      </c>
      <c r="O1256" s="77" t="inlineStr">
        <is>
          <t>EUR/MWh nominal</t>
        </is>
      </c>
    </row>
    <row r="1257" ht="15" customHeight="1" s="78">
      <c r="A1257" s="77" t="inlineStr">
        <is>
          <t>UK</t>
        </is>
      </c>
      <c r="B1257" s="77" t="n">
        <v>2023</v>
      </c>
      <c r="C1257" s="77" t="inlineStr">
        <is>
          <t>both</t>
        </is>
      </c>
      <c r="D1257" s="77" t="inlineStr">
        <is>
          <t>memo (E1=E2)</t>
        </is>
      </c>
      <c r="E1257" s="77" t="inlineStr">
        <is>
          <t>MEMO — embedded carbon in wholesale price (official-MEF central, D40)</t>
        </is>
      </c>
      <c r="F1257" s="77" t="inlineStr">
        <is>
          <t>MEMO — within 1 Commodity (not additive)</t>
        </is>
      </c>
      <c r="G1257" s="77" t="inlineStr">
        <is>
          <t>carbon cost embedded in wholesale</t>
        </is>
      </c>
      <c r="H1257" s="77" t="inlineStr">
        <is>
          <t>i (inside wholesale price)</t>
        </is>
      </c>
      <c r="I1257" s="77">
        <f>IF(ISNUMBER(N1257),N1257*fx_deflator!$I$18*fx_deflator!$M$18,"")</f>
        <v/>
      </c>
      <c r="J1257" s="77" t="inlineStr">
        <is>
          <t>carbon tab (DEHSt/UK ETS Authority/DBT-BEIS MEF series)</t>
        </is>
      </c>
      <c r="K1257" s="77" t="inlineStr">
        <is>
          <t>carbon r14</t>
        </is>
      </c>
      <c r="L1257" s="77" t="inlineStr">
        <is>
          <t>2026-07-16</t>
        </is>
      </c>
      <c r="M1257" s="77" t="inlineStr">
        <is>
          <t>Y</t>
        </is>
      </c>
      <c r="N1257" s="77">
        <f>carbon!Q14</f>
        <v/>
      </c>
      <c r="O1257" s="77" t="inlineStr">
        <is>
          <t>GBP/MWh nominal</t>
        </is>
      </c>
    </row>
    <row r="1258" ht="15" customHeight="1" s="78">
      <c r="A1258" s="77" t="inlineStr">
        <is>
          <t>DE</t>
        </is>
      </c>
      <c r="B1258" s="77" t="n">
        <v>2023</v>
      </c>
      <c r="C1258" s="77" t="inlineStr">
        <is>
          <t>both</t>
        </is>
      </c>
      <c r="D1258" s="77" t="inlineStr">
        <is>
          <t>memo (E1=E2)</t>
        </is>
      </c>
      <c r="E1258" s="77" t="inlineStr">
        <is>
          <t>MEMO — embedded carbon in wholesale price (official-MEF central, D40)</t>
        </is>
      </c>
      <c r="F1258" s="77" t="inlineStr">
        <is>
          <t>MEMO — within 1 Commodity (not additive)</t>
        </is>
      </c>
      <c r="G1258" s="77" t="inlineStr">
        <is>
          <t>carbon cost embedded in wholesale</t>
        </is>
      </c>
      <c r="H1258" s="77" t="inlineStr">
        <is>
          <t>i (inside wholesale price)</t>
        </is>
      </c>
      <c r="I1258" s="77">
        <f>IF(ISNUMBER(N1258),N1258*fx_deflator!$J$18*fx_deflator!$M$18,"")</f>
        <v/>
      </c>
      <c r="J1258" s="77" t="inlineStr">
        <is>
          <t>carbon tab (DEHSt EUA; DEHSt SPK 0.76/0.72)</t>
        </is>
      </c>
      <c r="K1258" s="77" t="inlineStr">
        <is>
          <t>carbon r15</t>
        </is>
      </c>
      <c r="L1258" s="77" t="inlineStr">
        <is>
          <t>2026-07-16</t>
        </is>
      </c>
      <c r="M1258" s="77" t="inlineStr">
        <is>
          <t>Y</t>
        </is>
      </c>
      <c r="N1258" s="77">
        <f>carbon!Q15</f>
        <v/>
      </c>
      <c r="O1258" s="77" t="inlineStr">
        <is>
          <t>EUR/MWh nominal</t>
        </is>
      </c>
    </row>
    <row r="1259" ht="15" customHeight="1" s="78">
      <c r="A1259" s="77" t="inlineStr">
        <is>
          <t>UK</t>
        </is>
      </c>
      <c r="B1259" s="77" t="n">
        <v>2024</v>
      </c>
      <c r="C1259" s="77" t="inlineStr">
        <is>
          <t>both</t>
        </is>
      </c>
      <c r="D1259" s="77" t="inlineStr">
        <is>
          <t>memo (E1=E2)</t>
        </is>
      </c>
      <c r="E1259" s="77" t="inlineStr">
        <is>
          <t>MEMO — embedded carbon in wholesale price (official-MEF central, D40)</t>
        </is>
      </c>
      <c r="F1259" s="77" t="inlineStr">
        <is>
          <t>MEMO — within 1 Commodity (not additive)</t>
        </is>
      </c>
      <c r="G1259" s="77" t="inlineStr">
        <is>
          <t>carbon cost embedded in wholesale</t>
        </is>
      </c>
      <c r="H1259" s="77" t="inlineStr">
        <is>
          <t>i (inside wholesale price)</t>
        </is>
      </c>
      <c r="I1259" s="77">
        <f>IF(ISNUMBER(N1259),N1259*fx_deflator!$I$19*fx_deflator!$M$19,"")</f>
        <v/>
      </c>
      <c r="J1259" s="77" t="inlineStr">
        <is>
          <t>carbon tab (DEHSt/UK ETS Authority/DBT-BEIS MEF series)</t>
        </is>
      </c>
      <c r="K1259" s="77" t="inlineStr">
        <is>
          <t>carbon r14</t>
        </is>
      </c>
      <c r="L1259" s="77" t="inlineStr">
        <is>
          <t>2026-07-16</t>
        </is>
      </c>
      <c r="M1259" s="77" t="inlineStr">
        <is>
          <t>Y</t>
        </is>
      </c>
      <c r="N1259" s="77">
        <f>carbon!R14</f>
        <v/>
      </c>
      <c r="O1259" s="77" t="inlineStr">
        <is>
          <t>GBP/MWh nominal</t>
        </is>
      </c>
    </row>
    <row r="1260" ht="15" customHeight="1" s="78">
      <c r="A1260" s="77" t="inlineStr">
        <is>
          <t>DE</t>
        </is>
      </c>
      <c r="B1260" s="77" t="n">
        <v>2024</v>
      </c>
      <c r="C1260" s="77" t="inlineStr">
        <is>
          <t>both</t>
        </is>
      </c>
      <c r="D1260" s="77" t="inlineStr">
        <is>
          <t>memo (E1=E2)</t>
        </is>
      </c>
      <c r="E1260" s="77" t="inlineStr">
        <is>
          <t>MEMO — embedded carbon in wholesale price (official-MEF central, D40)</t>
        </is>
      </c>
      <c r="F1260" s="77" t="inlineStr">
        <is>
          <t>MEMO — within 1 Commodity (not additive)</t>
        </is>
      </c>
      <c r="G1260" s="77" t="inlineStr">
        <is>
          <t>carbon cost embedded in wholesale</t>
        </is>
      </c>
      <c r="H1260" s="77" t="inlineStr">
        <is>
          <t>i (inside wholesale price)</t>
        </is>
      </c>
      <c r="I1260" s="77">
        <f>IF(ISNUMBER(N1260),N1260*fx_deflator!$J$19*fx_deflator!$M$19,"")</f>
        <v/>
      </c>
      <c r="J1260" s="77" t="inlineStr">
        <is>
          <t>carbon tab (DEHSt EUA; DEHSt SPK 0.76/0.72)</t>
        </is>
      </c>
      <c r="K1260" s="77" t="inlineStr">
        <is>
          <t>carbon r15</t>
        </is>
      </c>
      <c r="L1260" s="77" t="inlineStr">
        <is>
          <t>2026-07-16</t>
        </is>
      </c>
      <c r="M1260" s="77" t="inlineStr">
        <is>
          <t>Y</t>
        </is>
      </c>
      <c r="N1260" s="77">
        <f>carbon!R15</f>
        <v/>
      </c>
      <c r="O1260" s="77" t="inlineStr">
        <is>
          <t>EUR/MWh nominal</t>
        </is>
      </c>
    </row>
    <row r="1261" ht="15" customHeight="1" s="78">
      <c r="A1261" s="77" t="inlineStr">
        <is>
          <t>UK</t>
        </is>
      </c>
      <c r="B1261" s="77" t="n">
        <v>2025</v>
      </c>
      <c r="C1261" s="77" t="inlineStr">
        <is>
          <t>both</t>
        </is>
      </c>
      <c r="D1261" s="77" t="inlineStr">
        <is>
          <t>memo (E1=E2)</t>
        </is>
      </c>
      <c r="E1261" s="77" t="inlineStr">
        <is>
          <t>MEMO — embedded carbon in wholesale price (official-MEF central, D40)</t>
        </is>
      </c>
      <c r="F1261" s="77" t="inlineStr">
        <is>
          <t>MEMO — within 1 Commodity (not additive)</t>
        </is>
      </c>
      <c r="G1261" s="77" t="inlineStr">
        <is>
          <t>carbon cost embedded in wholesale</t>
        </is>
      </c>
      <c r="H1261" s="77" t="inlineStr">
        <is>
          <t>i (inside wholesale price)</t>
        </is>
      </c>
      <c r="I1261" s="77">
        <f>IF(ISNUMBER(N1261),N1261*fx_deflator!$I$20*fx_deflator!$M$20,"")</f>
        <v/>
      </c>
      <c r="J1261" s="77" t="inlineStr">
        <is>
          <t>carbon tab (DEHSt/UK ETS Authority/DBT-BEIS MEF series)</t>
        </is>
      </c>
      <c r="K1261" s="77" t="inlineStr">
        <is>
          <t>carbon r14</t>
        </is>
      </c>
      <c r="L1261" s="77" t="inlineStr">
        <is>
          <t>2026-07-16</t>
        </is>
      </c>
      <c r="M1261" s="77" t="inlineStr">
        <is>
          <t>Y</t>
        </is>
      </c>
      <c r="N1261" s="77">
        <f>carbon!S14</f>
        <v/>
      </c>
      <c r="O1261" s="77" t="inlineStr">
        <is>
          <t>GBP/MWh nominal</t>
        </is>
      </c>
    </row>
    <row r="1262" ht="15" customHeight="1" s="78">
      <c r="A1262" s="77" t="inlineStr">
        <is>
          <t>DE</t>
        </is>
      </c>
      <c r="B1262" s="77" t="n">
        <v>2025</v>
      </c>
      <c r="C1262" s="77" t="inlineStr">
        <is>
          <t>both</t>
        </is>
      </c>
      <c r="D1262" s="77" t="inlineStr">
        <is>
          <t>memo (E1=E2)</t>
        </is>
      </c>
      <c r="E1262" s="77" t="inlineStr">
        <is>
          <t>MEMO — embedded carbon in wholesale price (official-MEF central, D40)</t>
        </is>
      </c>
      <c r="F1262" s="77" t="inlineStr">
        <is>
          <t>MEMO — within 1 Commodity (not additive)</t>
        </is>
      </c>
      <c r="G1262" s="77" t="inlineStr">
        <is>
          <t>carbon cost embedded in wholesale</t>
        </is>
      </c>
      <c r="H1262" s="77" t="inlineStr">
        <is>
          <t>i (inside wholesale price)</t>
        </is>
      </c>
      <c r="I1262" s="77">
        <f>IF(ISNUMBER(N1262),N1262*fx_deflator!$J$20*fx_deflator!$M$20,"")</f>
        <v/>
      </c>
      <c r="J1262" s="77" t="inlineStr">
        <is>
          <t>carbon tab (DEHSt EUA; DEHSt SPK 0.76/0.72)</t>
        </is>
      </c>
      <c r="K1262" s="77" t="inlineStr">
        <is>
          <t>carbon r15</t>
        </is>
      </c>
      <c r="L1262" s="77" t="inlineStr">
        <is>
          <t>2026-07-16</t>
        </is>
      </c>
      <c r="M1262" s="77" t="inlineStr">
        <is>
          <t>Y</t>
        </is>
      </c>
      <c r="N1262" s="77">
        <f>carbon!S15</f>
        <v/>
      </c>
      <c r="O1262" s="77" t="inlineStr">
        <is>
          <t>EUR/MWh nominal</t>
        </is>
      </c>
    </row>
    <row r="1263" ht="15" customHeight="1" s="78">
      <c r="A1263" s="77" t="inlineStr">
        <is>
          <t>CN</t>
        </is>
      </c>
      <c r="B1263" s="77" t="n">
        <v>2021</v>
      </c>
      <c r="C1263" s="77" t="inlineStr">
        <is>
          <t>both</t>
        </is>
      </c>
      <c r="D1263" s="77" t="inlineStr">
        <is>
          <t>memo (E1=E2)</t>
        </is>
      </c>
      <c r="E1263" s="77" t="inlineStr">
        <is>
          <t>MEMO — embedded carbon = 0 (documented; regulated band tariffs + free output-based allocation)</t>
        </is>
      </c>
      <c r="F1263" s="77" t="inlineStr">
        <is>
          <t>MEMO — within 1 Commodity (not additive)</t>
        </is>
      </c>
      <c r="G1263" s="77" t="inlineStr">
        <is>
          <t>carbon cost embedded in wholesale</t>
        </is>
      </c>
      <c r="H1263" s="77" t="inlineStr">
        <is>
          <t>n/a</t>
        </is>
      </c>
      <c r="I1263" s="77">
        <f>IF(ISNUMBER(N1263),N1263/fx_deflator!$K$16*fx_deflator!$M$16,"")</f>
        <v/>
      </c>
      <c r="J1263" s="77" t="inlineStr">
        <is>
          <t>ADB 2024 pp.13-14; IEA-Tsinghua 2021; Pizer &amp; Zhang 2018; NDRC 1439-hao</t>
        </is>
      </c>
      <c r="K1263" s="77" t="inlineStr">
        <is>
          <t>carbon r18</t>
        </is>
      </c>
      <c r="L1263" s="77" t="inlineStr">
        <is>
          <t>2026-07-16</t>
        </is>
      </c>
      <c r="M1263" s="77" t="inlineStr">
        <is>
          <t>Y</t>
        </is>
      </c>
      <c r="N1263" s="77" t="n">
        <v>0</v>
      </c>
      <c r="O1263" s="77" t="inlineStr">
        <is>
          <t>CNY/MWh nominal</t>
        </is>
      </c>
    </row>
    <row r="1264" ht="15" customHeight="1" s="78">
      <c r="A1264" s="77" t="inlineStr">
        <is>
          <t>CN</t>
        </is>
      </c>
      <c r="B1264" s="77" t="n">
        <v>2022</v>
      </c>
      <c r="C1264" s="77" t="inlineStr">
        <is>
          <t>both</t>
        </is>
      </c>
      <c r="D1264" s="77" t="inlineStr">
        <is>
          <t>memo (E1=E2)</t>
        </is>
      </c>
      <c r="E1264" s="77" t="inlineStr">
        <is>
          <t>MEMO — embedded carbon = 0 (documented; regulated band tariffs + free output-based allocation)</t>
        </is>
      </c>
      <c r="F1264" s="77" t="inlineStr">
        <is>
          <t>MEMO — within 1 Commodity (not additive)</t>
        </is>
      </c>
      <c r="G1264" s="77" t="inlineStr">
        <is>
          <t>carbon cost embedded in wholesale</t>
        </is>
      </c>
      <c r="H1264" s="77" t="inlineStr">
        <is>
          <t>n/a</t>
        </is>
      </c>
      <c r="I1264" s="77">
        <f>IF(ISNUMBER(N1264),N1264/fx_deflator!$K$17*fx_deflator!$M$17,"")</f>
        <v/>
      </c>
      <c r="J1264" s="77" t="inlineStr">
        <is>
          <t>ADB 2024 pp.13-14; IEA-Tsinghua 2021; Pizer &amp; Zhang 2018; NDRC 1439-hao</t>
        </is>
      </c>
      <c r="K1264" s="77" t="inlineStr">
        <is>
          <t>carbon r18</t>
        </is>
      </c>
      <c r="L1264" s="77" t="inlineStr">
        <is>
          <t>2026-07-16</t>
        </is>
      </c>
      <c r="M1264" s="77" t="inlineStr">
        <is>
          <t>Y</t>
        </is>
      </c>
      <c r="N1264" s="77" t="n">
        <v>0</v>
      </c>
      <c r="O1264" s="77" t="inlineStr">
        <is>
          <t>CNY/MWh nominal</t>
        </is>
      </c>
    </row>
    <row r="1265" ht="15" customHeight="1" s="78">
      <c r="A1265" s="77" t="inlineStr">
        <is>
          <t>CN</t>
        </is>
      </c>
      <c r="B1265" s="77" t="n">
        <v>2023</v>
      </c>
      <c r="C1265" s="77" t="inlineStr">
        <is>
          <t>both</t>
        </is>
      </c>
      <c r="D1265" s="77" t="inlineStr">
        <is>
          <t>memo (E1=E2)</t>
        </is>
      </c>
      <c r="E1265" s="77" t="inlineStr">
        <is>
          <t>MEMO — embedded carbon = 0 (documented; regulated band tariffs + free output-based allocation)</t>
        </is>
      </c>
      <c r="F1265" s="77" t="inlineStr">
        <is>
          <t>MEMO — within 1 Commodity (not additive)</t>
        </is>
      </c>
      <c r="G1265" s="77" t="inlineStr">
        <is>
          <t>carbon cost embedded in wholesale</t>
        </is>
      </c>
      <c r="H1265" s="77" t="inlineStr">
        <is>
          <t>n/a</t>
        </is>
      </c>
      <c r="I1265" s="77">
        <f>IF(ISNUMBER(N1265),N1265/fx_deflator!$K$18*fx_deflator!$M$18,"")</f>
        <v/>
      </c>
      <c r="J1265" s="77" t="inlineStr">
        <is>
          <t>ADB 2024 pp.13-14; IEA-Tsinghua 2021; Pizer &amp; Zhang 2018; NDRC 1439-hao</t>
        </is>
      </c>
      <c r="K1265" s="77" t="inlineStr">
        <is>
          <t>carbon r18</t>
        </is>
      </c>
      <c r="L1265" s="77" t="inlineStr">
        <is>
          <t>2026-07-16</t>
        </is>
      </c>
      <c r="M1265" s="77" t="inlineStr">
        <is>
          <t>Y</t>
        </is>
      </c>
      <c r="N1265" s="77" t="n">
        <v>0</v>
      </c>
      <c r="O1265" s="77" t="inlineStr">
        <is>
          <t>CNY/MWh nominal</t>
        </is>
      </c>
    </row>
    <row r="1266" ht="15" customHeight="1" s="78">
      <c r="A1266" s="77" t="inlineStr">
        <is>
          <t>CN</t>
        </is>
      </c>
      <c r="B1266" s="77" t="n">
        <v>2024</v>
      </c>
      <c r="C1266" s="77" t="inlineStr">
        <is>
          <t>both</t>
        </is>
      </c>
      <c r="D1266" s="77" t="inlineStr">
        <is>
          <t>memo (E1=E2)</t>
        </is>
      </c>
      <c r="E1266" s="77" t="inlineStr">
        <is>
          <t>MEMO — embedded carbon = 0 (documented; regulated band tariffs + free output-based allocation)</t>
        </is>
      </c>
      <c r="F1266" s="77" t="inlineStr">
        <is>
          <t>MEMO — within 1 Commodity (not additive)</t>
        </is>
      </c>
      <c r="G1266" s="77" t="inlineStr">
        <is>
          <t>carbon cost embedded in wholesale</t>
        </is>
      </c>
      <c r="H1266" s="77" t="inlineStr">
        <is>
          <t>n/a</t>
        </is>
      </c>
      <c r="I1266" s="77">
        <f>IF(ISNUMBER(N1266),N1266/fx_deflator!$K$19*fx_deflator!$M$19,"")</f>
        <v/>
      </c>
      <c r="J1266" s="77" t="inlineStr">
        <is>
          <t>ADB 2024 pp.13-14; IEA-Tsinghua 2021; Pizer &amp; Zhang 2018; NDRC 1439-hao</t>
        </is>
      </c>
      <c r="K1266" s="77" t="inlineStr">
        <is>
          <t>carbon r18</t>
        </is>
      </c>
      <c r="L1266" s="77" t="inlineStr">
        <is>
          <t>2026-07-16</t>
        </is>
      </c>
      <c r="M1266" s="77" t="inlineStr">
        <is>
          <t>Y</t>
        </is>
      </c>
      <c r="N1266" s="77" t="n">
        <v>0</v>
      </c>
      <c r="O1266" s="77" t="inlineStr">
        <is>
          <t>CNY/MWh nominal</t>
        </is>
      </c>
    </row>
    <row r="1267" ht="15" customHeight="1" s="78">
      <c r="A1267" s="77" t="inlineStr">
        <is>
          <t>CN</t>
        </is>
      </c>
      <c r="B1267" s="77" t="n">
        <v>2025</v>
      </c>
      <c r="C1267" s="77" t="inlineStr">
        <is>
          <t>both</t>
        </is>
      </c>
      <c r="D1267" s="77" t="inlineStr">
        <is>
          <t>memo (E1=E2)</t>
        </is>
      </c>
      <c r="E1267" s="77" t="inlineStr">
        <is>
          <t>MEMO — embedded carbon = 0 (documented; regulated band tariffs + free output-based allocation)</t>
        </is>
      </c>
      <c r="F1267" s="77" t="inlineStr">
        <is>
          <t>MEMO — within 1 Commodity (not additive)</t>
        </is>
      </c>
      <c r="G1267" s="77" t="inlineStr">
        <is>
          <t>carbon cost embedded in wholesale</t>
        </is>
      </c>
      <c r="H1267" s="77" t="inlineStr">
        <is>
          <t>n/a</t>
        </is>
      </c>
      <c r="I1267" s="77">
        <f>IF(ISNUMBER(N1267),N1267/fx_deflator!$K$20*fx_deflator!$M$20,"")</f>
        <v/>
      </c>
      <c r="J1267" s="77" t="inlineStr">
        <is>
          <t>ADB 2024 pp.13-14; IEA-Tsinghua 2021; Pizer &amp; Zhang 2018; NDRC 1439-hao</t>
        </is>
      </c>
      <c r="K1267" s="77" t="inlineStr">
        <is>
          <t>carbon r18</t>
        </is>
      </c>
      <c r="L1267" s="77" t="inlineStr">
        <is>
          <t>2026-07-16</t>
        </is>
      </c>
      <c r="M1267" s="77" t="inlineStr">
        <is>
          <t>Y</t>
        </is>
      </c>
      <c r="N1267" s="77" t="n">
        <v>0</v>
      </c>
      <c r="O1267" s="77" t="inlineStr">
        <is>
          <t>CNY/MWh nominal</t>
        </is>
      </c>
    </row>
    <row r="1268" ht="15" customHeight="1" s="78">
      <c r="A1268" s="77" t="inlineStr">
        <is>
          <t>UK</t>
        </is>
      </c>
      <c r="B1268" s="77" t="n">
        <v>2010</v>
      </c>
      <c r="C1268" s="77" t="inlineStr">
        <is>
          <t>large</t>
        </is>
      </c>
      <c r="D1268" s="77" t="inlineStr">
        <is>
          <t>memo (vs E1)</t>
        </is>
      </c>
      <c r="E1268" s="77" t="inlineStr">
        <is>
          <t>MEMO — 6 Supply cost &amp; margin residual: QEP Extra Large band (incl CCL) minus modelled E1 (incl CCL) [D71]</t>
        </is>
      </c>
      <c r="F1268" s="77" t="inlineStr">
        <is>
          <t>MEMO — 6 Supply margin (observed minus modelled)</t>
        </is>
      </c>
      <c r="G1268" s="77" t="inlineStr">
        <is>
          <t>supply</t>
        </is>
      </c>
      <c r="H1268" s="77" t="inlineStr">
        <is>
          <t>i</t>
        </is>
      </c>
      <c r="I1268" s="77">
        <f>IF(ISNUMBER(N1268),N1268*fx_deflator!$I$5*fx_deflator!$M$5,"")</f>
        <v/>
      </c>
      <c r="J1268" s="77" t="inlineStr">
        <is>
          <t>DESNZ QEP 3.4.1</t>
        </is>
      </c>
      <c r="K1268" s="77" t="inlineStr">
        <is>
          <t>timeseries r20/30 or r54/65</t>
        </is>
      </c>
      <c r="L1268" s="77" t="inlineStr">
        <is>
          <t>2026-07-15</t>
        </is>
      </c>
      <c r="M1268" s="77" t="inlineStr">
        <is>
          <t>Y</t>
        </is>
      </c>
      <c r="N1268" s="77">
        <f>IF(AND(ISNUMBER(timeseries!D20),ISNUMBER(timeseries!D15)),timeseries!D20-timeseries!D15,"")</f>
        <v/>
      </c>
      <c r="O1268" s="77" t="inlineStr">
        <is>
          <t>GBP/MWh nominal</t>
        </is>
      </c>
      <c r="P1268" s="77" t="inlineStr">
        <is>
          <t>Q30: wedge is margin-shaped, a chapter-5 exhibit, NOT part of the modelled stack; band avg is not the archetype (DE)</t>
        </is>
      </c>
    </row>
    <row r="1269" ht="15" customHeight="1" s="78">
      <c r="A1269" s="77" t="inlineStr">
        <is>
          <t>UK</t>
        </is>
      </c>
      <c r="B1269" s="77" t="n">
        <v>2011</v>
      </c>
      <c r="C1269" s="77" t="inlineStr">
        <is>
          <t>large</t>
        </is>
      </c>
      <c r="D1269" s="77" t="inlineStr">
        <is>
          <t>memo (vs E1)</t>
        </is>
      </c>
      <c r="E1269" s="77" t="inlineStr">
        <is>
          <t>MEMO — 6 Supply cost &amp; margin residual: QEP Extra Large band (incl CCL) minus modelled E1 (incl CCL) [D71]</t>
        </is>
      </c>
      <c r="F1269" s="77" t="inlineStr">
        <is>
          <t>MEMO — 6 Supply margin (observed minus modelled)</t>
        </is>
      </c>
      <c r="G1269" s="77" t="inlineStr">
        <is>
          <t>supply</t>
        </is>
      </c>
      <c r="H1269" s="77" t="inlineStr">
        <is>
          <t>i</t>
        </is>
      </c>
      <c r="I1269" s="77">
        <f>IF(ISNUMBER(N1269),N1269*fx_deflator!$I$6*fx_deflator!$M$6,"")</f>
        <v/>
      </c>
      <c r="J1269" s="77" t="inlineStr">
        <is>
          <t>DESNZ QEP 3.4.1</t>
        </is>
      </c>
      <c r="K1269" s="77" t="inlineStr">
        <is>
          <t>timeseries r20/30 or r54/65</t>
        </is>
      </c>
      <c r="L1269" s="77" t="inlineStr">
        <is>
          <t>2026-07-15</t>
        </is>
      </c>
      <c r="M1269" s="77" t="inlineStr">
        <is>
          <t>Y</t>
        </is>
      </c>
      <c r="N1269" s="77">
        <f>IF(AND(ISNUMBER(timeseries!E20),ISNUMBER(timeseries!E15)),timeseries!E20-timeseries!E15,"")</f>
        <v/>
      </c>
      <c r="O1269" s="77" t="inlineStr">
        <is>
          <t>GBP/MWh nominal</t>
        </is>
      </c>
      <c r="P1269" s="77" t="inlineStr">
        <is>
          <t>Q30: wedge is margin-shaped, a chapter-5 exhibit, NOT part of the modelled stack; band avg is not the archetype (DE)</t>
        </is>
      </c>
    </row>
    <row r="1270" ht="15" customHeight="1" s="78">
      <c r="A1270" s="77" t="inlineStr">
        <is>
          <t>UK</t>
        </is>
      </c>
      <c r="B1270" s="77" t="n">
        <v>2012</v>
      </c>
      <c r="C1270" s="77" t="inlineStr">
        <is>
          <t>large</t>
        </is>
      </c>
      <c r="D1270" s="77" t="inlineStr">
        <is>
          <t>memo (vs E1)</t>
        </is>
      </c>
      <c r="E1270" s="77" t="inlineStr">
        <is>
          <t>MEMO — 6 Supply cost &amp; margin residual: QEP Extra Large band (incl CCL) minus modelled E1 (incl CCL) [D71]</t>
        </is>
      </c>
      <c r="F1270" s="77" t="inlineStr">
        <is>
          <t>MEMO — 6 Supply margin (observed minus modelled)</t>
        </is>
      </c>
      <c r="G1270" s="77" t="inlineStr">
        <is>
          <t>supply</t>
        </is>
      </c>
      <c r="H1270" s="77" t="inlineStr">
        <is>
          <t>i</t>
        </is>
      </c>
      <c r="I1270" s="77">
        <f>IF(ISNUMBER(N1270),N1270*fx_deflator!$I$7*fx_deflator!$M$7,"")</f>
        <v/>
      </c>
      <c r="J1270" s="77" t="inlineStr">
        <is>
          <t>DESNZ QEP 3.4.1</t>
        </is>
      </c>
      <c r="K1270" s="77" t="inlineStr">
        <is>
          <t>timeseries r20/30 or r54/65</t>
        </is>
      </c>
      <c r="L1270" s="77" t="inlineStr">
        <is>
          <t>2026-07-15</t>
        </is>
      </c>
      <c r="M1270" s="77" t="inlineStr">
        <is>
          <t>Y</t>
        </is>
      </c>
      <c r="N1270" s="77">
        <f>IF(AND(ISNUMBER(timeseries!F20),ISNUMBER(timeseries!F15)),timeseries!F20-timeseries!F15,"")</f>
        <v/>
      </c>
      <c r="O1270" s="77" t="inlineStr">
        <is>
          <t>GBP/MWh nominal</t>
        </is>
      </c>
      <c r="P1270" s="77" t="inlineStr">
        <is>
          <t>Q30: wedge is margin-shaped, a chapter-5 exhibit, NOT part of the modelled stack; band avg is not the archetype (DE)</t>
        </is>
      </c>
    </row>
    <row r="1271" ht="15" customHeight="1" s="78">
      <c r="A1271" s="77" t="inlineStr">
        <is>
          <t>UK</t>
        </is>
      </c>
      <c r="B1271" s="77" t="n">
        <v>2013</v>
      </c>
      <c r="C1271" s="77" t="inlineStr">
        <is>
          <t>large</t>
        </is>
      </c>
      <c r="D1271" s="77" t="inlineStr">
        <is>
          <t>memo (vs E1)</t>
        </is>
      </c>
      <c r="E1271" s="77" t="inlineStr">
        <is>
          <t>MEMO — 6 Supply cost &amp; margin residual: QEP Extra Large band (incl CCL) minus modelled E1 (incl CCL) [D71]</t>
        </is>
      </c>
      <c r="F1271" s="77" t="inlineStr">
        <is>
          <t>MEMO — 6 Supply margin (observed minus modelled)</t>
        </is>
      </c>
      <c r="G1271" s="77" t="inlineStr">
        <is>
          <t>supply</t>
        </is>
      </c>
      <c r="H1271" s="77" t="inlineStr">
        <is>
          <t>i</t>
        </is>
      </c>
      <c r="I1271" s="77">
        <f>IF(ISNUMBER(N1271),N1271*fx_deflator!$I$8*fx_deflator!$M$8,"")</f>
        <v/>
      </c>
      <c r="J1271" s="77" t="inlineStr">
        <is>
          <t>DESNZ QEP 3.4.1</t>
        </is>
      </c>
      <c r="K1271" s="77" t="inlineStr">
        <is>
          <t>timeseries r20/30 or r54/65</t>
        </is>
      </c>
      <c r="L1271" s="77" t="inlineStr">
        <is>
          <t>2026-07-15</t>
        </is>
      </c>
      <c r="M1271" s="77" t="inlineStr">
        <is>
          <t>Y</t>
        </is>
      </c>
      <c r="N1271" s="77">
        <f>IF(AND(ISNUMBER(timeseries!G20),ISNUMBER(timeseries!G15)),timeseries!G20-timeseries!G15,"")</f>
        <v/>
      </c>
      <c r="O1271" s="77" t="inlineStr">
        <is>
          <t>GBP/MWh nominal</t>
        </is>
      </c>
      <c r="P1271" s="77" t="inlineStr">
        <is>
          <t>Q30: wedge is margin-shaped, a chapter-5 exhibit, NOT part of the modelled stack; band avg is not the archetype (DE)</t>
        </is>
      </c>
    </row>
    <row r="1272" ht="15" customHeight="1" s="78">
      <c r="A1272" s="77" t="inlineStr">
        <is>
          <t>UK</t>
        </is>
      </c>
      <c r="B1272" s="77" t="n">
        <v>2014</v>
      </c>
      <c r="C1272" s="77" t="inlineStr">
        <is>
          <t>large</t>
        </is>
      </c>
      <c r="D1272" s="77" t="inlineStr">
        <is>
          <t>memo (vs E1)</t>
        </is>
      </c>
      <c r="E1272" s="77" t="inlineStr">
        <is>
          <t>MEMO — 6 Supply cost &amp; margin residual: QEP Extra Large band (incl CCL) minus modelled E1 (incl CCL) [D71]</t>
        </is>
      </c>
      <c r="F1272" s="77" t="inlineStr">
        <is>
          <t>MEMO — 6 Supply margin (observed minus modelled)</t>
        </is>
      </c>
      <c r="G1272" s="77" t="inlineStr">
        <is>
          <t>supply</t>
        </is>
      </c>
      <c r="H1272" s="77" t="inlineStr">
        <is>
          <t>i</t>
        </is>
      </c>
      <c r="I1272" s="77">
        <f>IF(ISNUMBER(N1272),N1272*fx_deflator!$I$9*fx_deflator!$M$9,"")</f>
        <v/>
      </c>
      <c r="J1272" s="77" t="inlineStr">
        <is>
          <t>DESNZ QEP 3.4.1</t>
        </is>
      </c>
      <c r="K1272" s="77" t="inlineStr">
        <is>
          <t>timeseries r20/30 or r54/65</t>
        </is>
      </c>
      <c r="L1272" s="77" t="inlineStr">
        <is>
          <t>2026-07-15</t>
        </is>
      </c>
      <c r="M1272" s="77" t="inlineStr">
        <is>
          <t>Y</t>
        </is>
      </c>
      <c r="N1272" s="77">
        <f>IF(AND(ISNUMBER(timeseries!H20),ISNUMBER(timeseries!H15)),timeseries!H20-timeseries!H15,"")</f>
        <v/>
      </c>
      <c r="O1272" s="77" t="inlineStr">
        <is>
          <t>GBP/MWh nominal</t>
        </is>
      </c>
      <c r="P1272" s="77" t="inlineStr">
        <is>
          <t>Q30: wedge is margin-shaped, a chapter-5 exhibit, NOT part of the modelled stack; band avg is not the archetype (DE)</t>
        </is>
      </c>
    </row>
    <row r="1273" ht="15" customHeight="1" s="78">
      <c r="A1273" s="77" t="inlineStr">
        <is>
          <t>UK</t>
        </is>
      </c>
      <c r="B1273" s="77" t="n">
        <v>2015</v>
      </c>
      <c r="C1273" s="77" t="inlineStr">
        <is>
          <t>large</t>
        </is>
      </c>
      <c r="D1273" s="77" t="inlineStr">
        <is>
          <t>memo (vs E1)</t>
        </is>
      </c>
      <c r="E1273" s="77" t="inlineStr">
        <is>
          <t>MEMO — 6 Supply cost &amp; margin residual: QEP Extra Large band (incl CCL) minus modelled E1 (incl CCL) [D71]</t>
        </is>
      </c>
      <c r="F1273" s="77" t="inlineStr">
        <is>
          <t>MEMO — 6 Supply margin (observed minus modelled)</t>
        </is>
      </c>
      <c r="G1273" s="77" t="inlineStr">
        <is>
          <t>supply</t>
        </is>
      </c>
      <c r="H1273" s="77" t="inlineStr">
        <is>
          <t>i</t>
        </is>
      </c>
      <c r="I1273" s="77">
        <f>IF(ISNUMBER(N1273),N1273*fx_deflator!$I$10*fx_deflator!$M$10,"")</f>
        <v/>
      </c>
      <c r="J1273" s="77" t="inlineStr">
        <is>
          <t>DESNZ QEP 3.4.1</t>
        </is>
      </c>
      <c r="K1273" s="77" t="inlineStr">
        <is>
          <t>timeseries r20/30 or r54/65</t>
        </is>
      </c>
      <c r="L1273" s="77" t="inlineStr">
        <is>
          <t>2026-07-15</t>
        </is>
      </c>
      <c r="M1273" s="77" t="inlineStr">
        <is>
          <t>Y</t>
        </is>
      </c>
      <c r="N1273" s="77">
        <f>IF(AND(ISNUMBER(timeseries!I20),ISNUMBER(timeseries!I15)),timeseries!I20-timeseries!I15,"")</f>
        <v/>
      </c>
      <c r="O1273" s="77" t="inlineStr">
        <is>
          <t>GBP/MWh nominal</t>
        </is>
      </c>
      <c r="P1273" s="77" t="inlineStr">
        <is>
          <t>Q30: wedge is margin-shaped, a chapter-5 exhibit, NOT part of the modelled stack; band avg is not the archetype (DE)</t>
        </is>
      </c>
    </row>
    <row r="1274" ht="15" customHeight="1" s="78">
      <c r="A1274" s="77" t="inlineStr">
        <is>
          <t>UK</t>
        </is>
      </c>
      <c r="B1274" s="77" t="n">
        <v>2016</v>
      </c>
      <c r="C1274" s="77" t="inlineStr">
        <is>
          <t>large</t>
        </is>
      </c>
      <c r="D1274" s="77" t="inlineStr">
        <is>
          <t>memo (vs E1)</t>
        </is>
      </c>
      <c r="E1274" s="77" t="inlineStr">
        <is>
          <t>MEMO — 6 Supply cost &amp; margin residual: QEP Extra Large band (incl CCL) minus modelled E1 (incl CCL) [D71]</t>
        </is>
      </c>
      <c r="F1274" s="77" t="inlineStr">
        <is>
          <t>MEMO — 6 Supply margin (observed minus modelled)</t>
        </is>
      </c>
      <c r="G1274" s="77" t="inlineStr">
        <is>
          <t>supply</t>
        </is>
      </c>
      <c r="H1274" s="77" t="inlineStr">
        <is>
          <t>i</t>
        </is>
      </c>
      <c r="I1274" s="77">
        <f>IF(ISNUMBER(N1274),N1274*fx_deflator!$I$11*fx_deflator!$M$11,"")</f>
        <v/>
      </c>
      <c r="J1274" s="77" t="inlineStr">
        <is>
          <t>DESNZ QEP 3.4.1</t>
        </is>
      </c>
      <c r="K1274" s="77" t="inlineStr">
        <is>
          <t>timeseries r20/30 or r54/65</t>
        </is>
      </c>
      <c r="L1274" s="77" t="inlineStr">
        <is>
          <t>2026-07-15</t>
        </is>
      </c>
      <c r="M1274" s="77" t="inlineStr">
        <is>
          <t>Y</t>
        </is>
      </c>
      <c r="N1274" s="77">
        <f>IF(AND(ISNUMBER(timeseries!J20),ISNUMBER(timeseries!J15)),timeseries!J20-timeseries!J15,"")</f>
        <v/>
      </c>
      <c r="O1274" s="77" t="inlineStr">
        <is>
          <t>GBP/MWh nominal</t>
        </is>
      </c>
      <c r="P1274" s="77" t="inlineStr">
        <is>
          <t>Q30: wedge is margin-shaped, a chapter-5 exhibit, NOT part of the modelled stack; band avg is not the archetype (DE)</t>
        </is>
      </c>
    </row>
    <row r="1275" ht="15" customHeight="1" s="78">
      <c r="A1275" s="77" t="inlineStr">
        <is>
          <t>UK</t>
        </is>
      </c>
      <c r="B1275" s="77" t="n">
        <v>2017</v>
      </c>
      <c r="C1275" s="77" t="inlineStr">
        <is>
          <t>large</t>
        </is>
      </c>
      <c r="D1275" s="77" t="inlineStr">
        <is>
          <t>memo (vs E1)</t>
        </is>
      </c>
      <c r="E1275" s="77" t="inlineStr">
        <is>
          <t>MEMO — 6 Supply cost &amp; margin residual: QEP Extra Large band (incl CCL) minus modelled E1 (incl CCL) [D71]</t>
        </is>
      </c>
      <c r="F1275" s="77" t="inlineStr">
        <is>
          <t>MEMO — 6 Supply margin (observed minus modelled)</t>
        </is>
      </c>
      <c r="G1275" s="77" t="inlineStr">
        <is>
          <t>supply</t>
        </is>
      </c>
      <c r="H1275" s="77" t="inlineStr">
        <is>
          <t>i</t>
        </is>
      </c>
      <c r="I1275" s="77">
        <f>IF(ISNUMBER(N1275),N1275*fx_deflator!$I$12*fx_deflator!$M$12,"")</f>
        <v/>
      </c>
      <c r="J1275" s="77" t="inlineStr">
        <is>
          <t>DESNZ QEP 3.4.1</t>
        </is>
      </c>
      <c r="K1275" s="77" t="inlineStr">
        <is>
          <t>timeseries r20/30 or r54/65</t>
        </is>
      </c>
      <c r="L1275" s="77" t="inlineStr">
        <is>
          <t>2026-07-15</t>
        </is>
      </c>
      <c r="M1275" s="77" t="inlineStr">
        <is>
          <t>Y</t>
        </is>
      </c>
      <c r="N1275" s="77">
        <f>IF(AND(ISNUMBER(timeseries!K20),ISNUMBER(timeseries!K15)),timeseries!K20-timeseries!K15,"")</f>
        <v/>
      </c>
      <c r="O1275" s="77" t="inlineStr">
        <is>
          <t>GBP/MWh nominal</t>
        </is>
      </c>
      <c r="P1275" s="77" t="inlineStr">
        <is>
          <t>Q30: wedge is margin-shaped, a chapter-5 exhibit, NOT part of the modelled stack; band avg is not the archetype (DE)</t>
        </is>
      </c>
    </row>
    <row r="1276" ht="15" customHeight="1" s="78">
      <c r="A1276" s="77" t="inlineStr">
        <is>
          <t>UK</t>
        </is>
      </c>
      <c r="B1276" s="77" t="n">
        <v>2018</v>
      </c>
      <c r="C1276" s="77" t="inlineStr">
        <is>
          <t>large</t>
        </is>
      </c>
      <c r="D1276" s="77" t="inlineStr">
        <is>
          <t>memo (vs E1)</t>
        </is>
      </c>
      <c r="E1276" s="77" t="inlineStr">
        <is>
          <t>MEMO — 6 Supply cost &amp; margin residual: QEP Extra Large band (incl CCL) minus modelled E1 (incl CCL) [D71]</t>
        </is>
      </c>
      <c r="F1276" s="77" t="inlineStr">
        <is>
          <t>MEMO — 6 Supply margin (observed minus modelled)</t>
        </is>
      </c>
      <c r="G1276" s="77" t="inlineStr">
        <is>
          <t>supply</t>
        </is>
      </c>
      <c r="H1276" s="77" t="inlineStr">
        <is>
          <t>i</t>
        </is>
      </c>
      <c r="I1276" s="77">
        <f>IF(ISNUMBER(N1276),N1276*fx_deflator!$I$13*fx_deflator!$M$13,"")</f>
        <v/>
      </c>
      <c r="J1276" s="77" t="inlineStr">
        <is>
          <t>DESNZ QEP 3.4.1</t>
        </is>
      </c>
      <c r="K1276" s="77" t="inlineStr">
        <is>
          <t>timeseries r20/30 or r54/65</t>
        </is>
      </c>
      <c r="L1276" s="77" t="inlineStr">
        <is>
          <t>2026-07-15</t>
        </is>
      </c>
      <c r="M1276" s="77" t="inlineStr">
        <is>
          <t>Y</t>
        </is>
      </c>
      <c r="N1276" s="77">
        <f>IF(AND(ISNUMBER(timeseries!L20),ISNUMBER(timeseries!L15)),timeseries!L20-timeseries!L15,"")</f>
        <v/>
      </c>
      <c r="O1276" s="77" t="inlineStr">
        <is>
          <t>GBP/MWh nominal</t>
        </is>
      </c>
      <c r="P1276" s="77" t="inlineStr">
        <is>
          <t>Q30: wedge is margin-shaped, a chapter-5 exhibit, NOT part of the modelled stack; band avg is not the archetype (DE)</t>
        </is>
      </c>
    </row>
    <row r="1277" ht="15" customHeight="1" s="78">
      <c r="A1277" s="77" t="inlineStr">
        <is>
          <t>UK</t>
        </is>
      </c>
      <c r="B1277" s="77" t="n">
        <v>2019</v>
      </c>
      <c r="C1277" s="77" t="inlineStr">
        <is>
          <t>large</t>
        </is>
      </c>
      <c r="D1277" s="77" t="inlineStr">
        <is>
          <t>memo (vs E1)</t>
        </is>
      </c>
      <c r="E1277" s="77" t="inlineStr">
        <is>
          <t>MEMO — 6 Supply cost &amp; margin residual: QEP Extra Large band (incl CCL) minus modelled E1 (incl CCL) [D71]</t>
        </is>
      </c>
      <c r="F1277" s="77" t="inlineStr">
        <is>
          <t>MEMO — 6 Supply margin (observed minus modelled)</t>
        </is>
      </c>
      <c r="G1277" s="77" t="inlineStr">
        <is>
          <t>supply</t>
        </is>
      </c>
      <c r="H1277" s="77" t="inlineStr">
        <is>
          <t>i</t>
        </is>
      </c>
      <c r="I1277" s="77">
        <f>IF(ISNUMBER(N1277),N1277*fx_deflator!$I$14*fx_deflator!$M$14,"")</f>
        <v/>
      </c>
      <c r="J1277" s="77" t="inlineStr">
        <is>
          <t>DESNZ QEP 3.4.1</t>
        </is>
      </c>
      <c r="K1277" s="77" t="inlineStr">
        <is>
          <t>timeseries r20/30 or r54/65</t>
        </is>
      </c>
      <c r="L1277" s="77" t="inlineStr">
        <is>
          <t>2026-07-15</t>
        </is>
      </c>
      <c r="M1277" s="77" t="inlineStr">
        <is>
          <t>Y</t>
        </is>
      </c>
      <c r="N1277" s="77">
        <f>IF(AND(ISNUMBER(timeseries!M20),ISNUMBER(timeseries!M15)),timeseries!M20-timeseries!M15,"")</f>
        <v/>
      </c>
      <c r="O1277" s="77" t="inlineStr">
        <is>
          <t>GBP/MWh nominal</t>
        </is>
      </c>
      <c r="P1277" s="77" t="inlineStr">
        <is>
          <t>Q30: wedge is margin-shaped, a chapter-5 exhibit, NOT part of the modelled stack; band avg is not the archetype (DE)</t>
        </is>
      </c>
    </row>
    <row r="1278" ht="15" customHeight="1" s="78">
      <c r="A1278" s="77" t="inlineStr">
        <is>
          <t>UK</t>
        </is>
      </c>
      <c r="B1278" s="77" t="n">
        <v>2020</v>
      </c>
      <c r="C1278" s="77" t="inlineStr">
        <is>
          <t>large</t>
        </is>
      </c>
      <c r="D1278" s="77" t="inlineStr">
        <is>
          <t>memo (vs E1)</t>
        </is>
      </c>
      <c r="E1278" s="77" t="inlineStr">
        <is>
          <t>MEMO — 6 Supply cost &amp; margin residual: QEP Extra Large band (incl CCL) minus modelled E1 (incl CCL) [D71]</t>
        </is>
      </c>
      <c r="F1278" s="77" t="inlineStr">
        <is>
          <t>MEMO — 6 Supply margin (observed minus modelled)</t>
        </is>
      </c>
      <c r="G1278" s="77" t="inlineStr">
        <is>
          <t>supply</t>
        </is>
      </c>
      <c r="H1278" s="77" t="inlineStr">
        <is>
          <t>i</t>
        </is>
      </c>
      <c r="I1278" s="77">
        <f>IF(ISNUMBER(N1278),N1278*fx_deflator!$I$15*fx_deflator!$M$15,"")</f>
        <v/>
      </c>
      <c r="J1278" s="77" t="inlineStr">
        <is>
          <t>DESNZ QEP 3.4.1</t>
        </is>
      </c>
      <c r="K1278" s="77" t="inlineStr">
        <is>
          <t>timeseries r20/30 or r54/65</t>
        </is>
      </c>
      <c r="L1278" s="77" t="inlineStr">
        <is>
          <t>2026-07-15</t>
        </is>
      </c>
      <c r="M1278" s="77" t="inlineStr">
        <is>
          <t>Y</t>
        </is>
      </c>
      <c r="N1278" s="77">
        <f>IF(AND(ISNUMBER(timeseries!N20),ISNUMBER(timeseries!N15)),timeseries!N20-timeseries!N15,"")</f>
        <v/>
      </c>
      <c r="O1278" s="77" t="inlineStr">
        <is>
          <t>GBP/MWh nominal</t>
        </is>
      </c>
      <c r="P1278" s="77" t="inlineStr">
        <is>
          <t>Q30: wedge is margin-shaped, a chapter-5 exhibit, NOT part of the modelled stack; band avg is not the archetype (DE)</t>
        </is>
      </c>
    </row>
    <row r="1279" ht="15" customHeight="1" s="78">
      <c r="A1279" s="77" t="inlineStr">
        <is>
          <t>UK</t>
        </is>
      </c>
      <c r="B1279" s="77" t="n">
        <v>2021</v>
      </c>
      <c r="C1279" s="77" t="inlineStr">
        <is>
          <t>large</t>
        </is>
      </c>
      <c r="D1279" s="77" t="inlineStr">
        <is>
          <t>memo (vs E1)</t>
        </is>
      </c>
      <c r="E1279" s="77" t="inlineStr">
        <is>
          <t>MEMO — 6 Supply cost &amp; margin residual: QEP Extra Large band (incl CCL) minus modelled E1 (incl CCL) [D71]</t>
        </is>
      </c>
      <c r="F1279" s="77" t="inlineStr">
        <is>
          <t>MEMO — 6 Supply margin (observed minus modelled)</t>
        </is>
      </c>
      <c r="G1279" s="77" t="inlineStr">
        <is>
          <t>supply</t>
        </is>
      </c>
      <c r="H1279" s="77" t="inlineStr">
        <is>
          <t>i</t>
        </is>
      </c>
      <c r="I1279" s="77">
        <f>IF(ISNUMBER(N1279),N1279*fx_deflator!$I$16*fx_deflator!$M$16,"")</f>
        <v/>
      </c>
      <c r="J1279" s="77" t="inlineStr">
        <is>
          <t>DESNZ QEP 3.4.1</t>
        </is>
      </c>
      <c r="K1279" s="77" t="inlineStr">
        <is>
          <t>timeseries r20/30 or r54/65</t>
        </is>
      </c>
      <c r="L1279" s="77" t="inlineStr">
        <is>
          <t>2026-07-15</t>
        </is>
      </c>
      <c r="M1279" s="77" t="inlineStr">
        <is>
          <t>Y</t>
        </is>
      </c>
      <c r="N1279" s="77">
        <f>IF(AND(ISNUMBER(timeseries!O20),ISNUMBER(timeseries!O15)),timeseries!O20-timeseries!O15,"")</f>
        <v/>
      </c>
      <c r="O1279" s="77" t="inlineStr">
        <is>
          <t>GBP/MWh nominal</t>
        </is>
      </c>
      <c r="P1279" s="77" t="inlineStr">
        <is>
          <t>Q30: wedge is margin-shaped, a chapter-5 exhibit, NOT part of the modelled stack; band avg is not the archetype (DE)</t>
        </is>
      </c>
    </row>
    <row r="1280" ht="15" customHeight="1" s="78">
      <c r="A1280" s="77" t="inlineStr">
        <is>
          <t>UK</t>
        </is>
      </c>
      <c r="B1280" s="77" t="n">
        <v>2022</v>
      </c>
      <c r="C1280" s="77" t="inlineStr">
        <is>
          <t>large</t>
        </is>
      </c>
      <c r="D1280" s="77" t="inlineStr">
        <is>
          <t>memo (vs E1)</t>
        </is>
      </c>
      <c r="E1280" s="77" t="inlineStr">
        <is>
          <t>MEMO — 6 Supply cost &amp; margin residual: QEP Extra Large band (incl CCL) minus modelled E1 (incl CCL) [D71]</t>
        </is>
      </c>
      <c r="F1280" s="77" t="inlineStr">
        <is>
          <t>MEMO — 6 Supply margin (observed minus modelled)</t>
        </is>
      </c>
      <c r="G1280" s="77" t="inlineStr">
        <is>
          <t>supply</t>
        </is>
      </c>
      <c r="H1280" s="77" t="inlineStr">
        <is>
          <t>i</t>
        </is>
      </c>
      <c r="I1280" s="77">
        <f>IF(ISNUMBER(N1280),N1280*fx_deflator!$I$17*fx_deflator!$M$17,"")</f>
        <v/>
      </c>
      <c r="J1280" s="77" t="inlineStr">
        <is>
          <t>DESNZ QEP 3.4.1</t>
        </is>
      </c>
      <c r="K1280" s="77" t="inlineStr">
        <is>
          <t>timeseries r20/30 or r54/65</t>
        </is>
      </c>
      <c r="L1280" s="77" t="inlineStr">
        <is>
          <t>2026-07-15</t>
        </is>
      </c>
      <c r="M1280" s="77" t="inlineStr">
        <is>
          <t>Y</t>
        </is>
      </c>
      <c r="N1280" s="77">
        <f>IF(AND(ISNUMBER(timeseries!P20),ISNUMBER(timeseries!P15)),timeseries!P20-timeseries!P15,"")</f>
        <v/>
      </c>
      <c r="O1280" s="77" t="inlineStr">
        <is>
          <t>GBP/MWh nominal</t>
        </is>
      </c>
      <c r="P1280" s="77" t="inlineStr">
        <is>
          <t>Q30: wedge is margin-shaped, a chapter-5 exhibit, NOT part of the modelled stack; band avg is not the archetype (DE)</t>
        </is>
      </c>
    </row>
    <row r="1281" ht="15" customHeight="1" s="78">
      <c r="A1281" s="77" t="inlineStr">
        <is>
          <t>UK</t>
        </is>
      </c>
      <c r="B1281" s="77" t="n">
        <v>2023</v>
      </c>
      <c r="C1281" s="77" t="inlineStr">
        <is>
          <t>large</t>
        </is>
      </c>
      <c r="D1281" s="77" t="inlineStr">
        <is>
          <t>memo (vs E1)</t>
        </is>
      </c>
      <c r="E1281" s="77" t="inlineStr">
        <is>
          <t>MEMO — 6 Supply cost &amp; margin residual: QEP Extra Large band (incl CCL) minus modelled E1 (incl CCL) [D71]</t>
        </is>
      </c>
      <c r="F1281" s="77" t="inlineStr">
        <is>
          <t>MEMO — 6 Supply margin (observed minus modelled)</t>
        </is>
      </c>
      <c r="G1281" s="77" t="inlineStr">
        <is>
          <t>supply</t>
        </is>
      </c>
      <c r="H1281" s="77" t="inlineStr">
        <is>
          <t>i</t>
        </is>
      </c>
      <c r="I1281" s="77">
        <f>IF(ISNUMBER(N1281),N1281*fx_deflator!$I$18*fx_deflator!$M$18,"")</f>
        <v/>
      </c>
      <c r="J1281" s="77" t="inlineStr">
        <is>
          <t>DESNZ QEP 3.4.1</t>
        </is>
      </c>
      <c r="K1281" s="77" t="inlineStr">
        <is>
          <t>timeseries r20/30 or r54/65</t>
        </is>
      </c>
      <c r="L1281" s="77" t="inlineStr">
        <is>
          <t>2026-07-15</t>
        </is>
      </c>
      <c r="M1281" s="77" t="inlineStr">
        <is>
          <t>Y</t>
        </is>
      </c>
      <c r="N1281" s="77">
        <f>IF(AND(ISNUMBER(timeseries!Q20),ISNUMBER(timeseries!Q15)),timeseries!Q20-timeseries!Q15,"")</f>
        <v/>
      </c>
      <c r="O1281" s="77" t="inlineStr">
        <is>
          <t>GBP/MWh nominal</t>
        </is>
      </c>
      <c r="P1281" s="77" t="inlineStr">
        <is>
          <t>Q30: wedge is margin-shaped, a chapter-5 exhibit, NOT part of the modelled stack; band avg is not the archetype (DE)</t>
        </is>
      </c>
    </row>
    <row r="1282" ht="15" customHeight="1" s="78">
      <c r="A1282" s="77" t="inlineStr">
        <is>
          <t>UK</t>
        </is>
      </c>
      <c r="B1282" s="77" t="n">
        <v>2024</v>
      </c>
      <c r="C1282" s="77" t="inlineStr">
        <is>
          <t>large</t>
        </is>
      </c>
      <c r="D1282" s="77" t="inlineStr">
        <is>
          <t>memo (vs E1)</t>
        </is>
      </c>
      <c r="E1282" s="77" t="inlineStr">
        <is>
          <t>MEMO — 6 Supply cost &amp; margin residual: QEP Extra Large band (incl CCL) minus modelled E1 (incl CCL) [D71]</t>
        </is>
      </c>
      <c r="F1282" s="77" t="inlineStr">
        <is>
          <t>MEMO — 6 Supply margin (observed minus modelled)</t>
        </is>
      </c>
      <c r="G1282" s="77" t="inlineStr">
        <is>
          <t>supply</t>
        </is>
      </c>
      <c r="H1282" s="77" t="inlineStr">
        <is>
          <t>i</t>
        </is>
      </c>
      <c r="I1282" s="77">
        <f>IF(ISNUMBER(N1282),N1282*fx_deflator!$I$19*fx_deflator!$M$19,"")</f>
        <v/>
      </c>
      <c r="J1282" s="77" t="inlineStr">
        <is>
          <t>DESNZ QEP 3.4.1</t>
        </is>
      </c>
      <c r="K1282" s="77" t="inlineStr">
        <is>
          <t>timeseries r20/30 or r54/65</t>
        </is>
      </c>
      <c r="L1282" s="77" t="inlineStr">
        <is>
          <t>2026-07-15</t>
        </is>
      </c>
      <c r="M1282" s="77" t="inlineStr">
        <is>
          <t>Y</t>
        </is>
      </c>
      <c r="N1282" s="77">
        <f>IF(AND(ISNUMBER(timeseries!R20),ISNUMBER(timeseries!R15)),timeseries!R20-timeseries!R15,"")</f>
        <v/>
      </c>
      <c r="O1282" s="77" t="inlineStr">
        <is>
          <t>GBP/MWh nominal</t>
        </is>
      </c>
      <c r="P1282" s="77" t="inlineStr">
        <is>
          <t>Q30: wedge is margin-shaped, a chapter-5 exhibit, NOT part of the modelled stack; band avg is not the archetype (DE)</t>
        </is>
      </c>
    </row>
    <row r="1283" ht="15" customHeight="1" s="78">
      <c r="A1283" s="77" t="inlineStr">
        <is>
          <t>UK</t>
        </is>
      </c>
      <c r="B1283" s="77" t="n">
        <v>2025</v>
      </c>
      <c r="C1283" s="77" t="inlineStr">
        <is>
          <t>large</t>
        </is>
      </c>
      <c r="D1283" s="77" t="inlineStr">
        <is>
          <t>memo (vs E1)</t>
        </is>
      </c>
      <c r="E1283" s="77" t="inlineStr">
        <is>
          <t>MEMO — 6 Supply cost &amp; margin residual: QEP Extra Large band (incl CCL) minus modelled E1 (incl CCL) [D71]</t>
        </is>
      </c>
      <c r="F1283" s="77" t="inlineStr">
        <is>
          <t>MEMO — 6 Supply margin (observed minus modelled)</t>
        </is>
      </c>
      <c r="G1283" s="77" t="inlineStr">
        <is>
          <t>supply</t>
        </is>
      </c>
      <c r="H1283" s="77" t="inlineStr">
        <is>
          <t>i</t>
        </is>
      </c>
      <c r="I1283" s="77">
        <f>IF(ISNUMBER(N1283),N1283*fx_deflator!$I$20*fx_deflator!$M$20,"")</f>
        <v/>
      </c>
      <c r="J1283" s="77" t="inlineStr">
        <is>
          <t>DESNZ QEP 3.4.1</t>
        </is>
      </c>
      <c r="K1283" s="77" t="inlineStr">
        <is>
          <t>timeseries r20/30 or r54/65</t>
        </is>
      </c>
      <c r="L1283" s="77" t="inlineStr">
        <is>
          <t>2026-07-15</t>
        </is>
      </c>
      <c r="M1283" s="77" t="inlineStr">
        <is>
          <t>Y</t>
        </is>
      </c>
      <c r="N1283" s="77">
        <f>IF(AND(ISNUMBER(timeseries!S20),ISNUMBER(timeseries!S15)),timeseries!S20-timeseries!S15,"")</f>
        <v/>
      </c>
      <c r="O1283" s="77" t="inlineStr">
        <is>
          <t>GBP/MWh nominal</t>
        </is>
      </c>
      <c r="P1283" s="77" t="inlineStr">
        <is>
          <t>Q30: wedge is margin-shaped, a chapter-5 exhibit, NOT part of the modelled stack; band avg is not the archetype (DE)</t>
        </is>
      </c>
    </row>
    <row r="1284" ht="15" customHeight="1" s="78">
      <c r="A1284" s="77" t="inlineStr">
        <is>
          <t>UK</t>
        </is>
      </c>
      <c r="B1284" s="77" t="n">
        <v>2010</v>
      </c>
      <c r="C1284" s="77" t="inlineStr">
        <is>
          <t>medium</t>
        </is>
      </c>
      <c r="D1284" s="77" t="inlineStr">
        <is>
          <t>memo (vs E1)</t>
        </is>
      </c>
      <c r="E1284" s="77" t="inlineStr">
        <is>
          <t>MEMO — 6 Supply cost &amp; margin residual: QEP Large band (incl CCL) minus modelled E1 (incl CCL) [D71]</t>
        </is>
      </c>
      <c r="F1284" s="77" t="inlineStr">
        <is>
          <t>MEMO — 6 Supply margin (observed minus modelled)</t>
        </is>
      </c>
      <c r="G1284" s="77" t="inlineStr">
        <is>
          <t>supply</t>
        </is>
      </c>
      <c r="H1284" s="77" t="inlineStr">
        <is>
          <t>i</t>
        </is>
      </c>
      <c r="I1284" s="77">
        <f>IF(ISNUMBER(N1284),N1284*fx_deflator!$I$5*fx_deflator!$M$5,"")</f>
        <v/>
      </c>
      <c r="J1284" s="77" t="inlineStr">
        <is>
          <t>DESNZ QEP 3.4.1</t>
        </is>
      </c>
      <c r="K1284" s="77" t="inlineStr">
        <is>
          <t>timeseries r20/30 or r54/65</t>
        </is>
      </c>
      <c r="L1284" s="77" t="inlineStr">
        <is>
          <t>2026-07-15</t>
        </is>
      </c>
      <c r="M1284" s="77" t="inlineStr">
        <is>
          <t>Y</t>
        </is>
      </c>
      <c r="N1284" s="77">
        <f>IF(AND(ISNUMBER(timeseries!D30),ISNUMBER(timeseries!D28)),timeseries!D30-timeseries!D28,"")</f>
        <v/>
      </c>
      <c r="O1284" s="77" t="inlineStr">
        <is>
          <t>GBP/MWh nominal</t>
        </is>
      </c>
      <c r="P1284" s="77" t="inlineStr">
        <is>
          <t>Q30: wedge is margin-shaped, a chapter-5 exhibit, NOT part of the modelled stack; band avg is not the archetype (DE)</t>
        </is>
      </c>
    </row>
    <row r="1285" ht="15" customHeight="1" s="78">
      <c r="A1285" s="77" t="inlineStr">
        <is>
          <t>UK</t>
        </is>
      </c>
      <c r="B1285" s="77" t="n">
        <v>2011</v>
      </c>
      <c r="C1285" s="77" t="inlineStr">
        <is>
          <t>medium</t>
        </is>
      </c>
      <c r="D1285" s="77" t="inlineStr">
        <is>
          <t>memo (vs E1)</t>
        </is>
      </c>
      <c r="E1285" s="77" t="inlineStr">
        <is>
          <t>MEMO — 6 Supply cost &amp; margin residual: QEP Large band (incl CCL) minus modelled E1 (incl CCL) [D71]</t>
        </is>
      </c>
      <c r="F1285" s="77" t="inlineStr">
        <is>
          <t>MEMO — 6 Supply margin (observed minus modelled)</t>
        </is>
      </c>
      <c r="G1285" s="77" t="inlineStr">
        <is>
          <t>supply</t>
        </is>
      </c>
      <c r="H1285" s="77" t="inlineStr">
        <is>
          <t>i</t>
        </is>
      </c>
      <c r="I1285" s="77">
        <f>IF(ISNUMBER(N1285),N1285*fx_deflator!$I$6*fx_deflator!$M$6,"")</f>
        <v/>
      </c>
      <c r="J1285" s="77" t="inlineStr">
        <is>
          <t>DESNZ QEP 3.4.1</t>
        </is>
      </c>
      <c r="K1285" s="77" t="inlineStr">
        <is>
          <t>timeseries r20/30 or r54/65</t>
        </is>
      </c>
      <c r="L1285" s="77" t="inlineStr">
        <is>
          <t>2026-07-15</t>
        </is>
      </c>
      <c r="M1285" s="77" t="inlineStr">
        <is>
          <t>Y</t>
        </is>
      </c>
      <c r="N1285" s="77">
        <f>IF(AND(ISNUMBER(timeseries!E30),ISNUMBER(timeseries!E28)),timeseries!E30-timeseries!E28,"")</f>
        <v/>
      </c>
      <c r="O1285" s="77" t="inlineStr">
        <is>
          <t>GBP/MWh nominal</t>
        </is>
      </c>
      <c r="P1285" s="77" t="inlineStr">
        <is>
          <t>Q30: wedge is margin-shaped, a chapter-5 exhibit, NOT part of the modelled stack; band avg is not the archetype (DE)</t>
        </is>
      </c>
    </row>
    <row r="1286" ht="15" customHeight="1" s="78">
      <c r="A1286" s="77" t="inlineStr">
        <is>
          <t>UK</t>
        </is>
      </c>
      <c r="B1286" s="77" t="n">
        <v>2012</v>
      </c>
      <c r="C1286" s="77" t="inlineStr">
        <is>
          <t>medium</t>
        </is>
      </c>
      <c r="D1286" s="77" t="inlineStr">
        <is>
          <t>memo (vs E1)</t>
        </is>
      </c>
      <c r="E1286" s="77" t="inlineStr">
        <is>
          <t>MEMO — 6 Supply cost &amp; margin residual: QEP Large band (incl CCL) minus modelled E1 (incl CCL) [D71]</t>
        </is>
      </c>
      <c r="F1286" s="77" t="inlineStr">
        <is>
          <t>MEMO — 6 Supply margin (observed minus modelled)</t>
        </is>
      </c>
      <c r="G1286" s="77" t="inlineStr">
        <is>
          <t>supply</t>
        </is>
      </c>
      <c r="H1286" s="77" t="inlineStr">
        <is>
          <t>i</t>
        </is>
      </c>
      <c r="I1286" s="77">
        <f>IF(ISNUMBER(N1286),N1286*fx_deflator!$I$7*fx_deflator!$M$7,"")</f>
        <v/>
      </c>
      <c r="J1286" s="77" t="inlineStr">
        <is>
          <t>DESNZ QEP 3.4.1</t>
        </is>
      </c>
      <c r="K1286" s="77" t="inlineStr">
        <is>
          <t>timeseries r20/30 or r54/65</t>
        </is>
      </c>
      <c r="L1286" s="77" t="inlineStr">
        <is>
          <t>2026-07-15</t>
        </is>
      </c>
      <c r="M1286" s="77" t="inlineStr">
        <is>
          <t>Y</t>
        </is>
      </c>
      <c r="N1286" s="77">
        <f>IF(AND(ISNUMBER(timeseries!F30),ISNUMBER(timeseries!F28)),timeseries!F30-timeseries!F28,"")</f>
        <v/>
      </c>
      <c r="O1286" s="77" t="inlineStr">
        <is>
          <t>GBP/MWh nominal</t>
        </is>
      </c>
      <c r="P1286" s="77" t="inlineStr">
        <is>
          <t>Q30: wedge is margin-shaped, a chapter-5 exhibit, NOT part of the modelled stack; band avg is not the archetype (DE)</t>
        </is>
      </c>
    </row>
    <row r="1287" ht="15" customHeight="1" s="78">
      <c r="A1287" s="77" t="inlineStr">
        <is>
          <t>UK</t>
        </is>
      </c>
      <c r="B1287" s="77" t="n">
        <v>2013</v>
      </c>
      <c r="C1287" s="77" t="inlineStr">
        <is>
          <t>medium</t>
        </is>
      </c>
      <c r="D1287" s="77" t="inlineStr">
        <is>
          <t>memo (vs E1)</t>
        </is>
      </c>
      <c r="E1287" s="77" t="inlineStr">
        <is>
          <t>MEMO — 6 Supply cost &amp; margin residual: QEP Large band (incl CCL) minus modelled E1 (incl CCL) [D71]</t>
        </is>
      </c>
      <c r="F1287" s="77" t="inlineStr">
        <is>
          <t>MEMO — 6 Supply margin (observed minus modelled)</t>
        </is>
      </c>
      <c r="G1287" s="77" t="inlineStr">
        <is>
          <t>supply</t>
        </is>
      </c>
      <c r="H1287" s="77" t="inlineStr">
        <is>
          <t>i</t>
        </is>
      </c>
      <c r="I1287" s="77">
        <f>IF(ISNUMBER(N1287),N1287*fx_deflator!$I$8*fx_deflator!$M$8,"")</f>
        <v/>
      </c>
      <c r="J1287" s="77" t="inlineStr">
        <is>
          <t>DESNZ QEP 3.4.1</t>
        </is>
      </c>
      <c r="K1287" s="77" t="inlineStr">
        <is>
          <t>timeseries r20/30 or r54/65</t>
        </is>
      </c>
      <c r="L1287" s="77" t="inlineStr">
        <is>
          <t>2026-07-15</t>
        </is>
      </c>
      <c r="M1287" s="77" t="inlineStr">
        <is>
          <t>Y</t>
        </is>
      </c>
      <c r="N1287" s="77">
        <f>IF(AND(ISNUMBER(timeseries!G30),ISNUMBER(timeseries!G28)),timeseries!G30-timeseries!G28,"")</f>
        <v/>
      </c>
      <c r="O1287" s="77" t="inlineStr">
        <is>
          <t>GBP/MWh nominal</t>
        </is>
      </c>
      <c r="P1287" s="77" t="inlineStr">
        <is>
          <t>Q30: wedge is margin-shaped, a chapter-5 exhibit, NOT part of the modelled stack; band avg is not the archetype (DE)</t>
        </is>
      </c>
    </row>
    <row r="1288" ht="15" customHeight="1" s="78">
      <c r="A1288" s="77" t="inlineStr">
        <is>
          <t>UK</t>
        </is>
      </c>
      <c r="B1288" s="77" t="n">
        <v>2014</v>
      </c>
      <c r="C1288" s="77" t="inlineStr">
        <is>
          <t>medium</t>
        </is>
      </c>
      <c r="D1288" s="77" t="inlineStr">
        <is>
          <t>memo (vs E1)</t>
        </is>
      </c>
      <c r="E1288" s="77" t="inlineStr">
        <is>
          <t>MEMO — 6 Supply cost &amp; margin residual: QEP Large band (incl CCL) minus modelled E1 (incl CCL) [D71]</t>
        </is>
      </c>
      <c r="F1288" s="77" t="inlineStr">
        <is>
          <t>MEMO — 6 Supply margin (observed minus modelled)</t>
        </is>
      </c>
      <c r="G1288" s="77" t="inlineStr">
        <is>
          <t>supply</t>
        </is>
      </c>
      <c r="H1288" s="77" t="inlineStr">
        <is>
          <t>i</t>
        </is>
      </c>
      <c r="I1288" s="77">
        <f>IF(ISNUMBER(N1288),N1288*fx_deflator!$I$9*fx_deflator!$M$9,"")</f>
        <v/>
      </c>
      <c r="J1288" s="77" t="inlineStr">
        <is>
          <t>DESNZ QEP 3.4.1</t>
        </is>
      </c>
      <c r="K1288" s="77" t="inlineStr">
        <is>
          <t>timeseries r20/30 or r54/65</t>
        </is>
      </c>
      <c r="L1288" s="77" t="inlineStr">
        <is>
          <t>2026-07-15</t>
        </is>
      </c>
      <c r="M1288" s="77" t="inlineStr">
        <is>
          <t>Y</t>
        </is>
      </c>
      <c r="N1288" s="77">
        <f>IF(AND(ISNUMBER(timeseries!H30),ISNUMBER(timeseries!H28)),timeseries!H30-timeseries!H28,"")</f>
        <v/>
      </c>
      <c r="O1288" s="77" t="inlineStr">
        <is>
          <t>GBP/MWh nominal</t>
        </is>
      </c>
      <c r="P1288" s="77" t="inlineStr">
        <is>
          <t>Q30: wedge is margin-shaped, a chapter-5 exhibit, NOT part of the modelled stack; band avg is not the archetype (DE)</t>
        </is>
      </c>
    </row>
    <row r="1289" ht="15" customHeight="1" s="78">
      <c r="A1289" s="77" t="inlineStr">
        <is>
          <t>UK</t>
        </is>
      </c>
      <c r="B1289" s="77" t="n">
        <v>2015</v>
      </c>
      <c r="C1289" s="77" t="inlineStr">
        <is>
          <t>medium</t>
        </is>
      </c>
      <c r="D1289" s="77" t="inlineStr">
        <is>
          <t>memo (vs E1)</t>
        </is>
      </c>
      <c r="E1289" s="77" t="inlineStr">
        <is>
          <t>MEMO — 6 Supply cost &amp; margin residual: QEP Large band (incl CCL) minus modelled E1 (incl CCL) [D71]</t>
        </is>
      </c>
      <c r="F1289" s="77" t="inlineStr">
        <is>
          <t>MEMO — 6 Supply margin (observed minus modelled)</t>
        </is>
      </c>
      <c r="G1289" s="77" t="inlineStr">
        <is>
          <t>supply</t>
        </is>
      </c>
      <c r="H1289" s="77" t="inlineStr">
        <is>
          <t>i</t>
        </is>
      </c>
      <c r="I1289" s="77">
        <f>IF(ISNUMBER(N1289),N1289*fx_deflator!$I$10*fx_deflator!$M$10,"")</f>
        <v/>
      </c>
      <c r="J1289" s="77" t="inlineStr">
        <is>
          <t>DESNZ QEP 3.4.1</t>
        </is>
      </c>
      <c r="K1289" s="77" t="inlineStr">
        <is>
          <t>timeseries r20/30 or r54/65</t>
        </is>
      </c>
      <c r="L1289" s="77" t="inlineStr">
        <is>
          <t>2026-07-15</t>
        </is>
      </c>
      <c r="M1289" s="77" t="inlineStr">
        <is>
          <t>Y</t>
        </is>
      </c>
      <c r="N1289" s="77">
        <f>IF(AND(ISNUMBER(timeseries!I30),ISNUMBER(timeseries!I28)),timeseries!I30-timeseries!I28,"")</f>
        <v/>
      </c>
      <c r="O1289" s="77" t="inlineStr">
        <is>
          <t>GBP/MWh nominal</t>
        </is>
      </c>
      <c r="P1289" s="77" t="inlineStr">
        <is>
          <t>Q30: wedge is margin-shaped, a chapter-5 exhibit, NOT part of the modelled stack; band avg is not the archetype (DE)</t>
        </is>
      </c>
    </row>
    <row r="1290" ht="15" customHeight="1" s="78">
      <c r="A1290" s="77" t="inlineStr">
        <is>
          <t>UK</t>
        </is>
      </c>
      <c r="B1290" s="77" t="n">
        <v>2016</v>
      </c>
      <c r="C1290" s="77" t="inlineStr">
        <is>
          <t>medium</t>
        </is>
      </c>
      <c r="D1290" s="77" t="inlineStr">
        <is>
          <t>memo (vs E1)</t>
        </is>
      </c>
      <c r="E1290" s="77" t="inlineStr">
        <is>
          <t>MEMO — 6 Supply cost &amp; margin residual: QEP Large band (incl CCL) minus modelled E1 (incl CCL) [D71]</t>
        </is>
      </c>
      <c r="F1290" s="77" t="inlineStr">
        <is>
          <t>MEMO — 6 Supply margin (observed minus modelled)</t>
        </is>
      </c>
      <c r="G1290" s="77" t="inlineStr">
        <is>
          <t>supply</t>
        </is>
      </c>
      <c r="H1290" s="77" t="inlineStr">
        <is>
          <t>i</t>
        </is>
      </c>
      <c r="I1290" s="77">
        <f>IF(ISNUMBER(N1290),N1290*fx_deflator!$I$11*fx_deflator!$M$11,"")</f>
        <v/>
      </c>
      <c r="J1290" s="77" t="inlineStr">
        <is>
          <t>DESNZ QEP 3.4.1</t>
        </is>
      </c>
      <c r="K1290" s="77" t="inlineStr">
        <is>
          <t>timeseries r20/30 or r54/65</t>
        </is>
      </c>
      <c r="L1290" s="77" t="inlineStr">
        <is>
          <t>2026-07-15</t>
        </is>
      </c>
      <c r="M1290" s="77" t="inlineStr">
        <is>
          <t>Y</t>
        </is>
      </c>
      <c r="N1290" s="77">
        <f>IF(AND(ISNUMBER(timeseries!J30),ISNUMBER(timeseries!J28)),timeseries!J30-timeseries!J28,"")</f>
        <v/>
      </c>
      <c r="O1290" s="77" t="inlineStr">
        <is>
          <t>GBP/MWh nominal</t>
        </is>
      </c>
      <c r="P1290" s="77" t="inlineStr">
        <is>
          <t>Q30: wedge is margin-shaped, a chapter-5 exhibit, NOT part of the modelled stack; band avg is not the archetype (DE)</t>
        </is>
      </c>
    </row>
    <row r="1291" ht="15" customHeight="1" s="78">
      <c r="A1291" s="77" t="inlineStr">
        <is>
          <t>UK</t>
        </is>
      </c>
      <c r="B1291" s="77" t="n">
        <v>2017</v>
      </c>
      <c r="C1291" s="77" t="inlineStr">
        <is>
          <t>medium</t>
        </is>
      </c>
      <c r="D1291" s="77" t="inlineStr">
        <is>
          <t>memo (vs E1)</t>
        </is>
      </c>
      <c r="E1291" s="77" t="inlineStr">
        <is>
          <t>MEMO — 6 Supply cost &amp; margin residual: QEP Large band (incl CCL) minus modelled E1 (incl CCL) [D71]</t>
        </is>
      </c>
      <c r="F1291" s="77" t="inlineStr">
        <is>
          <t>MEMO — 6 Supply margin (observed minus modelled)</t>
        </is>
      </c>
      <c r="G1291" s="77" t="inlineStr">
        <is>
          <t>supply</t>
        </is>
      </c>
      <c r="H1291" s="77" t="inlineStr">
        <is>
          <t>i</t>
        </is>
      </c>
      <c r="I1291" s="77">
        <f>IF(ISNUMBER(N1291),N1291*fx_deflator!$I$12*fx_deflator!$M$12,"")</f>
        <v/>
      </c>
      <c r="J1291" s="77" t="inlineStr">
        <is>
          <t>DESNZ QEP 3.4.1</t>
        </is>
      </c>
      <c r="K1291" s="77" t="inlineStr">
        <is>
          <t>timeseries r20/30 or r54/65</t>
        </is>
      </c>
      <c r="L1291" s="77" t="inlineStr">
        <is>
          <t>2026-07-15</t>
        </is>
      </c>
      <c r="M1291" s="77" t="inlineStr">
        <is>
          <t>Y</t>
        </is>
      </c>
      <c r="N1291" s="77">
        <f>IF(AND(ISNUMBER(timeseries!K30),ISNUMBER(timeseries!K28)),timeseries!K30-timeseries!K28,"")</f>
        <v/>
      </c>
      <c r="O1291" s="77" t="inlineStr">
        <is>
          <t>GBP/MWh nominal</t>
        </is>
      </c>
      <c r="P1291" s="77" t="inlineStr">
        <is>
          <t>Q30: wedge is margin-shaped, a chapter-5 exhibit, NOT part of the modelled stack; band avg is not the archetype (DE)</t>
        </is>
      </c>
    </row>
    <row r="1292" ht="15" customHeight="1" s="78">
      <c r="A1292" s="77" t="inlineStr">
        <is>
          <t>UK</t>
        </is>
      </c>
      <c r="B1292" s="77" t="n">
        <v>2018</v>
      </c>
      <c r="C1292" s="77" t="inlineStr">
        <is>
          <t>medium</t>
        </is>
      </c>
      <c r="D1292" s="77" t="inlineStr">
        <is>
          <t>memo (vs E1)</t>
        </is>
      </c>
      <c r="E1292" s="77" t="inlineStr">
        <is>
          <t>MEMO — 6 Supply cost &amp; margin residual: QEP Large band (incl CCL) minus modelled E1 (incl CCL) [D71]</t>
        </is>
      </c>
      <c r="F1292" s="77" t="inlineStr">
        <is>
          <t>MEMO — 6 Supply margin (observed minus modelled)</t>
        </is>
      </c>
      <c r="G1292" s="77" t="inlineStr">
        <is>
          <t>supply</t>
        </is>
      </c>
      <c r="H1292" s="77" t="inlineStr">
        <is>
          <t>i</t>
        </is>
      </c>
      <c r="I1292" s="77">
        <f>IF(ISNUMBER(N1292),N1292*fx_deflator!$I$13*fx_deflator!$M$13,"")</f>
        <v/>
      </c>
      <c r="J1292" s="77" t="inlineStr">
        <is>
          <t>DESNZ QEP 3.4.1</t>
        </is>
      </c>
      <c r="K1292" s="77" t="inlineStr">
        <is>
          <t>timeseries r20/30 or r54/65</t>
        </is>
      </c>
      <c r="L1292" s="77" t="inlineStr">
        <is>
          <t>2026-07-15</t>
        </is>
      </c>
      <c r="M1292" s="77" t="inlineStr">
        <is>
          <t>Y</t>
        </is>
      </c>
      <c r="N1292" s="77">
        <f>IF(AND(ISNUMBER(timeseries!L30),ISNUMBER(timeseries!L28)),timeseries!L30-timeseries!L28,"")</f>
        <v/>
      </c>
      <c r="O1292" s="77" t="inlineStr">
        <is>
          <t>GBP/MWh nominal</t>
        </is>
      </c>
      <c r="P1292" s="77" t="inlineStr">
        <is>
          <t>Q30: wedge is margin-shaped, a chapter-5 exhibit, NOT part of the modelled stack; band avg is not the archetype (DE)</t>
        </is>
      </c>
    </row>
    <row r="1293" ht="15" customHeight="1" s="78">
      <c r="A1293" s="77" t="inlineStr">
        <is>
          <t>UK</t>
        </is>
      </c>
      <c r="B1293" s="77" t="n">
        <v>2019</v>
      </c>
      <c r="C1293" s="77" t="inlineStr">
        <is>
          <t>medium</t>
        </is>
      </c>
      <c r="D1293" s="77" t="inlineStr">
        <is>
          <t>memo (vs E1)</t>
        </is>
      </c>
      <c r="E1293" s="77" t="inlineStr">
        <is>
          <t>MEMO — 6 Supply cost &amp; margin residual: QEP Large band (incl CCL) minus modelled E1 (incl CCL) [D71]</t>
        </is>
      </c>
      <c r="F1293" s="77" t="inlineStr">
        <is>
          <t>MEMO — 6 Supply margin (observed minus modelled)</t>
        </is>
      </c>
      <c r="G1293" s="77" t="inlineStr">
        <is>
          <t>supply</t>
        </is>
      </c>
      <c r="H1293" s="77" t="inlineStr">
        <is>
          <t>i</t>
        </is>
      </c>
      <c r="I1293" s="77">
        <f>IF(ISNUMBER(N1293),N1293*fx_deflator!$I$14*fx_deflator!$M$14,"")</f>
        <v/>
      </c>
      <c r="J1293" s="77" t="inlineStr">
        <is>
          <t>DESNZ QEP 3.4.1</t>
        </is>
      </c>
      <c r="K1293" s="77" t="inlineStr">
        <is>
          <t>timeseries r20/30 or r54/65</t>
        </is>
      </c>
      <c r="L1293" s="77" t="inlineStr">
        <is>
          <t>2026-07-15</t>
        </is>
      </c>
      <c r="M1293" s="77" t="inlineStr">
        <is>
          <t>Y</t>
        </is>
      </c>
      <c r="N1293" s="77">
        <f>IF(AND(ISNUMBER(timeseries!M30),ISNUMBER(timeseries!M28)),timeseries!M30-timeseries!M28,"")</f>
        <v/>
      </c>
      <c r="O1293" s="77" t="inlineStr">
        <is>
          <t>GBP/MWh nominal</t>
        </is>
      </c>
      <c r="P1293" s="77" t="inlineStr">
        <is>
          <t>Q30: wedge is margin-shaped, a chapter-5 exhibit, NOT part of the modelled stack; band avg is not the archetype (DE)</t>
        </is>
      </c>
    </row>
    <row r="1294" ht="15" customHeight="1" s="78">
      <c r="A1294" s="77" t="inlineStr">
        <is>
          <t>UK</t>
        </is>
      </c>
      <c r="B1294" s="77" t="n">
        <v>2020</v>
      </c>
      <c r="C1294" s="77" t="inlineStr">
        <is>
          <t>medium</t>
        </is>
      </c>
      <c r="D1294" s="77" t="inlineStr">
        <is>
          <t>memo (vs E1)</t>
        </is>
      </c>
      <c r="E1294" s="77" t="inlineStr">
        <is>
          <t>MEMO — 6 Supply cost &amp; margin residual: QEP Large band (incl CCL) minus modelled E1 (incl CCL) [D71]</t>
        </is>
      </c>
      <c r="F1294" s="77" t="inlineStr">
        <is>
          <t>MEMO — 6 Supply margin (observed minus modelled)</t>
        </is>
      </c>
      <c r="G1294" s="77" t="inlineStr">
        <is>
          <t>supply</t>
        </is>
      </c>
      <c r="H1294" s="77" t="inlineStr">
        <is>
          <t>i</t>
        </is>
      </c>
      <c r="I1294" s="77">
        <f>IF(ISNUMBER(N1294),N1294*fx_deflator!$I$15*fx_deflator!$M$15,"")</f>
        <v/>
      </c>
      <c r="J1294" s="77" t="inlineStr">
        <is>
          <t>DESNZ QEP 3.4.1</t>
        </is>
      </c>
      <c r="K1294" s="77" t="inlineStr">
        <is>
          <t>timeseries r20/30 or r54/65</t>
        </is>
      </c>
      <c r="L1294" s="77" t="inlineStr">
        <is>
          <t>2026-07-15</t>
        </is>
      </c>
      <c r="M1294" s="77" t="inlineStr">
        <is>
          <t>Y</t>
        </is>
      </c>
      <c r="N1294" s="77">
        <f>IF(AND(ISNUMBER(timeseries!N30),ISNUMBER(timeseries!N28)),timeseries!N30-timeseries!N28,"")</f>
        <v/>
      </c>
      <c r="O1294" s="77" t="inlineStr">
        <is>
          <t>GBP/MWh nominal</t>
        </is>
      </c>
      <c r="P1294" s="77" t="inlineStr">
        <is>
          <t>Q30: wedge is margin-shaped, a chapter-5 exhibit, NOT part of the modelled stack; band avg is not the archetype (DE)</t>
        </is>
      </c>
    </row>
    <row r="1295" ht="15" customHeight="1" s="78">
      <c r="A1295" s="77" t="inlineStr">
        <is>
          <t>UK</t>
        </is>
      </c>
      <c r="B1295" s="77" t="n">
        <v>2021</v>
      </c>
      <c r="C1295" s="77" t="inlineStr">
        <is>
          <t>medium</t>
        </is>
      </c>
      <c r="D1295" s="77" t="inlineStr">
        <is>
          <t>memo (vs E1)</t>
        </is>
      </c>
      <c r="E1295" s="77" t="inlineStr">
        <is>
          <t>MEMO — 6 Supply cost &amp; margin residual: QEP Large band (incl CCL) minus modelled E1 (incl CCL) [D71]</t>
        </is>
      </c>
      <c r="F1295" s="77" t="inlineStr">
        <is>
          <t>MEMO — 6 Supply margin (observed minus modelled)</t>
        </is>
      </c>
      <c r="G1295" s="77" t="inlineStr">
        <is>
          <t>supply</t>
        </is>
      </c>
      <c r="H1295" s="77" t="inlineStr">
        <is>
          <t>i</t>
        </is>
      </c>
      <c r="I1295" s="77">
        <f>IF(ISNUMBER(N1295),N1295*fx_deflator!$I$16*fx_deflator!$M$16,"")</f>
        <v/>
      </c>
      <c r="J1295" s="77" t="inlineStr">
        <is>
          <t>DESNZ QEP 3.4.1</t>
        </is>
      </c>
      <c r="K1295" s="77" t="inlineStr">
        <is>
          <t>timeseries r20/30 or r54/65</t>
        </is>
      </c>
      <c r="L1295" s="77" t="inlineStr">
        <is>
          <t>2026-07-15</t>
        </is>
      </c>
      <c r="M1295" s="77" t="inlineStr">
        <is>
          <t>Y</t>
        </is>
      </c>
      <c r="N1295" s="77">
        <f>IF(AND(ISNUMBER(timeseries!O30),ISNUMBER(timeseries!O28)),timeseries!O30-timeseries!O28,"")</f>
        <v/>
      </c>
      <c r="O1295" s="77" t="inlineStr">
        <is>
          <t>GBP/MWh nominal</t>
        </is>
      </c>
      <c r="P1295" s="77" t="inlineStr">
        <is>
          <t>Q30: wedge is margin-shaped, a chapter-5 exhibit, NOT part of the modelled stack; band avg is not the archetype (DE)</t>
        </is>
      </c>
    </row>
    <row r="1296" ht="15" customHeight="1" s="78">
      <c r="A1296" s="77" t="inlineStr">
        <is>
          <t>UK</t>
        </is>
      </c>
      <c r="B1296" s="77" t="n">
        <v>2022</v>
      </c>
      <c r="C1296" s="77" t="inlineStr">
        <is>
          <t>medium</t>
        </is>
      </c>
      <c r="D1296" s="77" t="inlineStr">
        <is>
          <t>memo (vs E1)</t>
        </is>
      </c>
      <c r="E1296" s="77" t="inlineStr">
        <is>
          <t>MEMO — 6 Supply cost &amp; margin residual: QEP Large band (incl CCL) minus modelled E1 (incl CCL) [D71]</t>
        </is>
      </c>
      <c r="F1296" s="77" t="inlineStr">
        <is>
          <t>MEMO — 6 Supply margin (observed minus modelled)</t>
        </is>
      </c>
      <c r="G1296" s="77" t="inlineStr">
        <is>
          <t>supply</t>
        </is>
      </c>
      <c r="H1296" s="77" t="inlineStr">
        <is>
          <t>i</t>
        </is>
      </c>
      <c r="I1296" s="77">
        <f>IF(ISNUMBER(N1296),N1296*fx_deflator!$I$17*fx_deflator!$M$17,"")</f>
        <v/>
      </c>
      <c r="J1296" s="77" t="inlineStr">
        <is>
          <t>DESNZ QEP 3.4.1</t>
        </is>
      </c>
      <c r="K1296" s="77" t="inlineStr">
        <is>
          <t>timeseries r20/30 or r54/65</t>
        </is>
      </c>
      <c r="L1296" s="77" t="inlineStr">
        <is>
          <t>2026-07-15</t>
        </is>
      </c>
      <c r="M1296" s="77" t="inlineStr">
        <is>
          <t>Y</t>
        </is>
      </c>
      <c r="N1296" s="77">
        <f>IF(AND(ISNUMBER(timeseries!P30),ISNUMBER(timeseries!P28)),timeseries!P30-timeseries!P28,"")</f>
        <v/>
      </c>
      <c r="O1296" s="77" t="inlineStr">
        <is>
          <t>GBP/MWh nominal</t>
        </is>
      </c>
      <c r="P1296" s="77" t="inlineStr">
        <is>
          <t>Q30: wedge is margin-shaped, a chapter-5 exhibit, NOT part of the modelled stack; band avg is not the archetype (DE)</t>
        </is>
      </c>
    </row>
    <row r="1297" ht="15" customHeight="1" s="78">
      <c r="A1297" s="77" t="inlineStr">
        <is>
          <t>UK</t>
        </is>
      </c>
      <c r="B1297" s="77" t="n">
        <v>2023</v>
      </c>
      <c r="C1297" s="77" t="inlineStr">
        <is>
          <t>medium</t>
        </is>
      </c>
      <c r="D1297" s="77" t="inlineStr">
        <is>
          <t>memo (vs E1)</t>
        </is>
      </c>
      <c r="E1297" s="77" t="inlineStr">
        <is>
          <t>MEMO — 6 Supply cost &amp; margin residual: QEP Large band (incl CCL) minus modelled E1 (incl CCL) [D71]</t>
        </is>
      </c>
      <c r="F1297" s="77" t="inlineStr">
        <is>
          <t>MEMO — 6 Supply margin (observed minus modelled)</t>
        </is>
      </c>
      <c r="G1297" s="77" t="inlineStr">
        <is>
          <t>supply</t>
        </is>
      </c>
      <c r="H1297" s="77" t="inlineStr">
        <is>
          <t>i</t>
        </is>
      </c>
      <c r="I1297" s="77">
        <f>IF(ISNUMBER(N1297),N1297*fx_deflator!$I$18*fx_deflator!$M$18,"")</f>
        <v/>
      </c>
      <c r="J1297" s="77" t="inlineStr">
        <is>
          <t>DESNZ QEP 3.4.1</t>
        </is>
      </c>
      <c r="K1297" s="77" t="inlineStr">
        <is>
          <t>timeseries r20/30 or r54/65</t>
        </is>
      </c>
      <c r="L1297" s="77" t="inlineStr">
        <is>
          <t>2026-07-15</t>
        </is>
      </c>
      <c r="M1297" s="77" t="inlineStr">
        <is>
          <t>Y</t>
        </is>
      </c>
      <c r="N1297" s="77">
        <f>IF(AND(ISNUMBER(timeseries!Q30),ISNUMBER(timeseries!Q28)),timeseries!Q30-timeseries!Q28,"")</f>
        <v/>
      </c>
      <c r="O1297" s="77" t="inlineStr">
        <is>
          <t>GBP/MWh nominal</t>
        </is>
      </c>
      <c r="P1297" s="77" t="inlineStr">
        <is>
          <t>Q30: wedge is margin-shaped, a chapter-5 exhibit, NOT part of the modelled stack; band avg is not the archetype (DE)</t>
        </is>
      </c>
    </row>
    <row r="1298" ht="15" customHeight="1" s="78">
      <c r="A1298" s="77" t="inlineStr">
        <is>
          <t>UK</t>
        </is>
      </c>
      <c r="B1298" s="77" t="n">
        <v>2024</v>
      </c>
      <c r="C1298" s="77" t="inlineStr">
        <is>
          <t>medium</t>
        </is>
      </c>
      <c r="D1298" s="77" t="inlineStr">
        <is>
          <t>memo (vs E1)</t>
        </is>
      </c>
      <c r="E1298" s="77" t="inlineStr">
        <is>
          <t>MEMO — 6 Supply cost &amp; margin residual: QEP Large band (incl CCL) minus modelled E1 (incl CCL) [D71]</t>
        </is>
      </c>
      <c r="F1298" s="77" t="inlineStr">
        <is>
          <t>MEMO — 6 Supply margin (observed minus modelled)</t>
        </is>
      </c>
      <c r="G1298" s="77" t="inlineStr">
        <is>
          <t>supply</t>
        </is>
      </c>
      <c r="H1298" s="77" t="inlineStr">
        <is>
          <t>i</t>
        </is>
      </c>
      <c r="I1298" s="77">
        <f>IF(ISNUMBER(N1298),N1298*fx_deflator!$I$19*fx_deflator!$M$19,"")</f>
        <v/>
      </c>
      <c r="J1298" s="77" t="inlineStr">
        <is>
          <t>DESNZ QEP 3.4.1</t>
        </is>
      </c>
      <c r="K1298" s="77" t="inlineStr">
        <is>
          <t>timeseries r20/30 or r54/65</t>
        </is>
      </c>
      <c r="L1298" s="77" t="inlineStr">
        <is>
          <t>2026-07-15</t>
        </is>
      </c>
      <c r="M1298" s="77" t="inlineStr">
        <is>
          <t>Y</t>
        </is>
      </c>
      <c r="N1298" s="77">
        <f>IF(AND(ISNUMBER(timeseries!R30),ISNUMBER(timeseries!R28)),timeseries!R30-timeseries!R28,"")</f>
        <v/>
      </c>
      <c r="O1298" s="77" t="inlineStr">
        <is>
          <t>GBP/MWh nominal</t>
        </is>
      </c>
      <c r="P1298" s="77" t="inlineStr">
        <is>
          <t>Q30: wedge is margin-shaped, a chapter-5 exhibit, NOT part of the modelled stack; band avg is not the archetype (DE)</t>
        </is>
      </c>
    </row>
    <row r="1299" ht="15" customHeight="1" s="78">
      <c r="A1299" s="77" t="inlineStr">
        <is>
          <t>UK</t>
        </is>
      </c>
      <c r="B1299" s="77" t="n">
        <v>2025</v>
      </c>
      <c r="C1299" s="77" t="inlineStr">
        <is>
          <t>medium</t>
        </is>
      </c>
      <c r="D1299" s="77" t="inlineStr">
        <is>
          <t>memo (vs E1)</t>
        </is>
      </c>
      <c r="E1299" s="77" t="inlineStr">
        <is>
          <t>MEMO — 6 Supply cost &amp; margin residual: QEP Large band (incl CCL) minus modelled E1 (incl CCL) [D71]</t>
        </is>
      </c>
      <c r="F1299" s="77" t="inlineStr">
        <is>
          <t>MEMO — 6 Supply margin (observed minus modelled)</t>
        </is>
      </c>
      <c r="G1299" s="77" t="inlineStr">
        <is>
          <t>supply</t>
        </is>
      </c>
      <c r="H1299" s="77" t="inlineStr">
        <is>
          <t>i</t>
        </is>
      </c>
      <c r="I1299" s="77">
        <f>IF(ISNUMBER(N1299),N1299*fx_deflator!$I$20*fx_deflator!$M$20,"")</f>
        <v/>
      </c>
      <c r="J1299" s="77" t="inlineStr">
        <is>
          <t>DESNZ QEP 3.4.1</t>
        </is>
      </c>
      <c r="K1299" s="77" t="inlineStr">
        <is>
          <t>timeseries r20/30 or r54/65</t>
        </is>
      </c>
      <c r="L1299" s="77" t="inlineStr">
        <is>
          <t>2026-07-15</t>
        </is>
      </c>
      <c r="M1299" s="77" t="inlineStr">
        <is>
          <t>Y</t>
        </is>
      </c>
      <c r="N1299" s="77">
        <f>IF(AND(ISNUMBER(timeseries!S30),ISNUMBER(timeseries!S28)),timeseries!S30-timeseries!S28,"")</f>
        <v/>
      </c>
      <c r="O1299" s="77" t="inlineStr">
        <is>
          <t>GBP/MWh nominal</t>
        </is>
      </c>
      <c r="P1299" s="77" t="inlineStr">
        <is>
          <t>Q30: wedge is margin-shaped, a chapter-5 exhibit, NOT part of the modelled stack; band avg is not the archetype (DE)</t>
        </is>
      </c>
    </row>
    <row r="1300" ht="15" customHeight="1" s="78">
      <c r="A1300" s="77" t="inlineStr">
        <is>
          <t>DE</t>
        </is>
      </c>
      <c r="B1300" s="77" t="n">
        <v>2011</v>
      </c>
      <c r="C1300" s="77" t="inlineStr">
        <is>
          <t>large</t>
        </is>
      </c>
      <c r="D1300" s="77" t="inlineStr">
        <is>
          <t>memo (vs E1)</t>
        </is>
      </c>
      <c r="E1300" s="77" t="inlineStr">
        <is>
          <t>MEMO — 6 Supply cost &amp; margin residual: Eurostat IF annual (band avg, semester mean) minus modelled E1</t>
        </is>
      </c>
      <c r="F1300" s="77" t="inlineStr">
        <is>
          <t>MEMO — 6 Supply margin (observed minus modelled)</t>
        </is>
      </c>
      <c r="G1300" s="77" t="inlineStr">
        <is>
          <t>supply</t>
        </is>
      </c>
      <c r="H1300" s="77" t="inlineStr">
        <is>
          <t>i</t>
        </is>
      </c>
      <c r="I1300" s="77">
        <f>IF(ISNUMBER(N1300),N1300*fx_deflator!$J$6*fx_deflator!$M$6,"")</f>
        <v/>
      </c>
      <c r="J1300" s="77" t="inlineStr">
        <is>
          <t>Eurostat nrg_pc_205 (D7 semester avg)</t>
        </is>
      </c>
      <c r="K1300" s="77" t="inlineStr">
        <is>
          <t>timeseries r20/30 or r54/65</t>
        </is>
      </c>
      <c r="L1300" s="77" t="inlineStr">
        <is>
          <t>2026-07-15</t>
        </is>
      </c>
      <c r="M1300" s="77" t="inlineStr">
        <is>
          <t>Y</t>
        </is>
      </c>
      <c r="N1300" s="77">
        <f>IF(AND(ISNUMBER(timeseries!E54),ISNUMBER(timeseries!E41)),timeseries!E54-timeseries!E41,"")</f>
        <v/>
      </c>
      <c r="O1300" s="77" t="inlineStr">
        <is>
          <t>EUR/MWh nominal</t>
        </is>
      </c>
      <c r="P1300" s="77" t="inlineStr">
        <is>
          <t>Q30: wedge is margin-shaped, a chapter-5 exhibit, NOT part of the modelled stack; band avg is not the archetype (DE)</t>
        </is>
      </c>
    </row>
    <row r="1301" ht="15" customHeight="1" s="78">
      <c r="A1301" s="77" t="inlineStr">
        <is>
          <t>DE</t>
        </is>
      </c>
      <c r="B1301" s="77" t="n">
        <v>2012</v>
      </c>
      <c r="C1301" s="77" t="inlineStr">
        <is>
          <t>large</t>
        </is>
      </c>
      <c r="D1301" s="77" t="inlineStr">
        <is>
          <t>memo (vs E1)</t>
        </is>
      </c>
      <c r="E1301" s="77" t="inlineStr">
        <is>
          <t>MEMO — 6 Supply cost &amp; margin residual: Eurostat IF annual (band avg, semester mean) minus modelled E1</t>
        </is>
      </c>
      <c r="F1301" s="77" t="inlineStr">
        <is>
          <t>MEMO — 6 Supply margin (observed minus modelled)</t>
        </is>
      </c>
      <c r="G1301" s="77" t="inlineStr">
        <is>
          <t>supply</t>
        </is>
      </c>
      <c r="H1301" s="77" t="inlineStr">
        <is>
          <t>i</t>
        </is>
      </c>
      <c r="I1301" s="77">
        <f>IF(ISNUMBER(N1301),N1301*fx_deflator!$J$7*fx_deflator!$M$7,"")</f>
        <v/>
      </c>
      <c r="J1301" s="77" t="inlineStr">
        <is>
          <t>Eurostat nrg_pc_205 (D7 semester avg)</t>
        </is>
      </c>
      <c r="K1301" s="77" t="inlineStr">
        <is>
          <t>timeseries r20/30 or r54/65</t>
        </is>
      </c>
      <c r="L1301" s="77" t="inlineStr">
        <is>
          <t>2026-07-15</t>
        </is>
      </c>
      <c r="M1301" s="77" t="inlineStr">
        <is>
          <t>Y</t>
        </is>
      </c>
      <c r="N1301" s="77">
        <f>IF(AND(ISNUMBER(timeseries!F54),ISNUMBER(timeseries!F41)),timeseries!F54-timeseries!F41,"")</f>
        <v/>
      </c>
      <c r="O1301" s="77" t="inlineStr">
        <is>
          <t>EUR/MWh nominal</t>
        </is>
      </c>
      <c r="P1301" s="77" t="inlineStr">
        <is>
          <t>Q30: wedge is margin-shaped, a chapter-5 exhibit, NOT part of the modelled stack; band avg is not the archetype (DE)</t>
        </is>
      </c>
    </row>
    <row r="1302" ht="15" customHeight="1" s="78">
      <c r="A1302" s="77" t="inlineStr">
        <is>
          <t>DE</t>
        </is>
      </c>
      <c r="B1302" s="77" t="n">
        <v>2013</v>
      </c>
      <c r="C1302" s="77" t="inlineStr">
        <is>
          <t>large</t>
        </is>
      </c>
      <c r="D1302" s="77" t="inlineStr">
        <is>
          <t>memo (vs E1)</t>
        </is>
      </c>
      <c r="E1302" s="77" t="inlineStr">
        <is>
          <t>MEMO — 6 Supply cost &amp; margin residual: Eurostat IF annual (band avg, semester mean) minus modelled E1</t>
        </is>
      </c>
      <c r="F1302" s="77" t="inlineStr">
        <is>
          <t>MEMO — 6 Supply margin (observed minus modelled)</t>
        </is>
      </c>
      <c r="G1302" s="77" t="inlineStr">
        <is>
          <t>supply</t>
        </is>
      </c>
      <c r="H1302" s="77" t="inlineStr">
        <is>
          <t>i</t>
        </is>
      </c>
      <c r="I1302" s="77">
        <f>IF(ISNUMBER(N1302),N1302*fx_deflator!$J$8*fx_deflator!$M$8,"")</f>
        <v/>
      </c>
      <c r="J1302" s="77" t="inlineStr">
        <is>
          <t>Eurostat nrg_pc_205 (D7 semester avg)</t>
        </is>
      </c>
      <c r="K1302" s="77" t="inlineStr">
        <is>
          <t>timeseries r20/30 or r54/65</t>
        </is>
      </c>
      <c r="L1302" s="77" t="inlineStr">
        <is>
          <t>2026-07-15</t>
        </is>
      </c>
      <c r="M1302" s="77" t="inlineStr">
        <is>
          <t>Y</t>
        </is>
      </c>
      <c r="N1302" s="77">
        <f>IF(AND(ISNUMBER(timeseries!G54),ISNUMBER(timeseries!G41)),timeseries!G54-timeseries!G41,"")</f>
        <v/>
      </c>
      <c r="O1302" s="77" t="inlineStr">
        <is>
          <t>EUR/MWh nominal</t>
        </is>
      </c>
      <c r="P1302" s="77" t="inlineStr">
        <is>
          <t>Q30: wedge is margin-shaped, a chapter-5 exhibit, NOT part of the modelled stack; band avg is not the archetype (DE)</t>
        </is>
      </c>
    </row>
    <row r="1303" ht="15" customHeight="1" s="78">
      <c r="A1303" s="77" t="inlineStr">
        <is>
          <t>DE</t>
        </is>
      </c>
      <c r="B1303" s="77" t="n">
        <v>2014</v>
      </c>
      <c r="C1303" s="77" t="inlineStr">
        <is>
          <t>large</t>
        </is>
      </c>
      <c r="D1303" s="77" t="inlineStr">
        <is>
          <t>memo (vs E1)</t>
        </is>
      </c>
      <c r="E1303" s="77" t="inlineStr">
        <is>
          <t>MEMO — 6 Supply cost &amp; margin residual: Eurostat IF annual (band avg, semester mean) minus modelled E1</t>
        </is>
      </c>
      <c r="F1303" s="77" t="inlineStr">
        <is>
          <t>MEMO — 6 Supply margin (observed minus modelled)</t>
        </is>
      </c>
      <c r="G1303" s="77" t="inlineStr">
        <is>
          <t>supply</t>
        </is>
      </c>
      <c r="H1303" s="77" t="inlineStr">
        <is>
          <t>i</t>
        </is>
      </c>
      <c r="I1303" s="77">
        <f>IF(ISNUMBER(N1303),N1303*fx_deflator!$J$9*fx_deflator!$M$9,"")</f>
        <v/>
      </c>
      <c r="J1303" s="77" t="inlineStr">
        <is>
          <t>Eurostat nrg_pc_205 (D7 semester avg)</t>
        </is>
      </c>
      <c r="K1303" s="77" t="inlineStr">
        <is>
          <t>timeseries r20/30 or r54/65</t>
        </is>
      </c>
      <c r="L1303" s="77" t="inlineStr">
        <is>
          <t>2026-07-15</t>
        </is>
      </c>
      <c r="M1303" s="77" t="inlineStr">
        <is>
          <t>Y</t>
        </is>
      </c>
      <c r="N1303" s="77">
        <f>IF(AND(ISNUMBER(timeseries!H54),ISNUMBER(timeseries!H41)),timeseries!H54-timeseries!H41,"")</f>
        <v/>
      </c>
      <c r="O1303" s="77" t="inlineStr">
        <is>
          <t>EUR/MWh nominal</t>
        </is>
      </c>
      <c r="P1303" s="77" t="inlineStr">
        <is>
          <t>Q30: wedge is margin-shaped, a chapter-5 exhibit, NOT part of the modelled stack; band avg is not the archetype (DE)</t>
        </is>
      </c>
    </row>
    <row r="1304" ht="15" customHeight="1" s="78">
      <c r="A1304" s="77" t="inlineStr">
        <is>
          <t>DE</t>
        </is>
      </c>
      <c r="B1304" s="77" t="n">
        <v>2015</v>
      </c>
      <c r="C1304" s="77" t="inlineStr">
        <is>
          <t>large</t>
        </is>
      </c>
      <c r="D1304" s="77" t="inlineStr">
        <is>
          <t>memo (vs E1)</t>
        </is>
      </c>
      <c r="E1304" s="77" t="inlineStr">
        <is>
          <t>MEMO — 6 Supply cost &amp; margin residual: Eurostat IF annual (band avg, semester mean) minus modelled E1</t>
        </is>
      </c>
      <c r="F1304" s="77" t="inlineStr">
        <is>
          <t>MEMO — 6 Supply margin (observed minus modelled)</t>
        </is>
      </c>
      <c r="G1304" s="77" t="inlineStr">
        <is>
          <t>supply</t>
        </is>
      </c>
      <c r="H1304" s="77" t="inlineStr">
        <is>
          <t>i</t>
        </is>
      </c>
      <c r="I1304" s="77">
        <f>IF(ISNUMBER(N1304),N1304*fx_deflator!$J$10*fx_deflator!$M$10,"")</f>
        <v/>
      </c>
      <c r="J1304" s="77" t="inlineStr">
        <is>
          <t>Eurostat nrg_pc_205 (D7 semester avg)</t>
        </is>
      </c>
      <c r="K1304" s="77" t="inlineStr">
        <is>
          <t>timeseries r20/30 or r54/65</t>
        </is>
      </c>
      <c r="L1304" s="77" t="inlineStr">
        <is>
          <t>2026-07-15</t>
        </is>
      </c>
      <c r="M1304" s="77" t="inlineStr">
        <is>
          <t>Y</t>
        </is>
      </c>
      <c r="N1304" s="77">
        <f>IF(AND(ISNUMBER(timeseries!I54),ISNUMBER(timeseries!I41)),timeseries!I54-timeseries!I41,"")</f>
        <v/>
      </c>
      <c r="O1304" s="77" t="inlineStr">
        <is>
          <t>EUR/MWh nominal</t>
        </is>
      </c>
      <c r="P1304" s="77" t="inlineStr">
        <is>
          <t>Q30: wedge is margin-shaped, a chapter-5 exhibit, NOT part of the modelled stack; band avg is not the archetype (DE)</t>
        </is>
      </c>
    </row>
    <row r="1305" ht="15" customHeight="1" s="78">
      <c r="A1305" s="77" t="inlineStr">
        <is>
          <t>DE</t>
        </is>
      </c>
      <c r="B1305" s="77" t="n">
        <v>2016</v>
      </c>
      <c r="C1305" s="77" t="inlineStr">
        <is>
          <t>large</t>
        </is>
      </c>
      <c r="D1305" s="77" t="inlineStr">
        <is>
          <t>memo (vs E1)</t>
        </is>
      </c>
      <c r="E1305" s="77" t="inlineStr">
        <is>
          <t>MEMO — 6 Supply cost &amp; margin residual: Eurostat IF annual (band avg, semester mean) minus modelled E1</t>
        </is>
      </c>
      <c r="F1305" s="77" t="inlineStr">
        <is>
          <t>MEMO — 6 Supply margin (observed minus modelled)</t>
        </is>
      </c>
      <c r="G1305" s="77" t="inlineStr">
        <is>
          <t>supply</t>
        </is>
      </c>
      <c r="H1305" s="77" t="inlineStr">
        <is>
          <t>i</t>
        </is>
      </c>
      <c r="I1305" s="77">
        <f>IF(ISNUMBER(N1305),N1305*fx_deflator!$J$11*fx_deflator!$M$11,"")</f>
        <v/>
      </c>
      <c r="J1305" s="77" t="inlineStr">
        <is>
          <t>Eurostat nrg_pc_205 (D7 semester avg)</t>
        </is>
      </c>
      <c r="K1305" s="77" t="inlineStr">
        <is>
          <t>timeseries r20/30 or r54/65</t>
        </is>
      </c>
      <c r="L1305" s="77" t="inlineStr">
        <is>
          <t>2026-07-15</t>
        </is>
      </c>
      <c r="M1305" s="77" t="inlineStr">
        <is>
          <t>Y</t>
        </is>
      </c>
      <c r="N1305" s="77">
        <f>IF(AND(ISNUMBER(timeseries!J54),ISNUMBER(timeseries!J41)),timeseries!J54-timeseries!J41,"")</f>
        <v/>
      </c>
      <c r="O1305" s="77" t="inlineStr">
        <is>
          <t>EUR/MWh nominal</t>
        </is>
      </c>
      <c r="P1305" s="77" t="inlineStr">
        <is>
          <t>Q30: wedge is margin-shaped, a chapter-5 exhibit, NOT part of the modelled stack; band avg is not the archetype (DE)</t>
        </is>
      </c>
    </row>
    <row r="1306" ht="15" customHeight="1" s="78">
      <c r="A1306" s="77" t="inlineStr">
        <is>
          <t>DE</t>
        </is>
      </c>
      <c r="B1306" s="77" t="n">
        <v>2017</v>
      </c>
      <c r="C1306" s="77" t="inlineStr">
        <is>
          <t>large</t>
        </is>
      </c>
      <c r="D1306" s="77" t="inlineStr">
        <is>
          <t>memo (vs E1)</t>
        </is>
      </c>
      <c r="E1306" s="77" t="inlineStr">
        <is>
          <t>MEMO — 6 Supply cost &amp; margin residual: Eurostat IF annual (band avg, semester mean) minus modelled E1</t>
        </is>
      </c>
      <c r="F1306" s="77" t="inlineStr">
        <is>
          <t>MEMO — 6 Supply margin (observed minus modelled)</t>
        </is>
      </c>
      <c r="G1306" s="77" t="inlineStr">
        <is>
          <t>supply</t>
        </is>
      </c>
      <c r="H1306" s="77" t="inlineStr">
        <is>
          <t>i</t>
        </is>
      </c>
      <c r="I1306" s="77">
        <f>IF(ISNUMBER(N1306),N1306*fx_deflator!$J$12*fx_deflator!$M$12,"")</f>
        <v/>
      </c>
      <c r="J1306" s="77" t="inlineStr">
        <is>
          <t>Eurostat nrg_pc_205 (D7 semester avg)</t>
        </is>
      </c>
      <c r="K1306" s="77" t="inlineStr">
        <is>
          <t>timeseries r20/30 or r54/65</t>
        </is>
      </c>
      <c r="L1306" s="77" t="inlineStr">
        <is>
          <t>2026-07-15</t>
        </is>
      </c>
      <c r="M1306" s="77" t="inlineStr">
        <is>
          <t>Y</t>
        </is>
      </c>
      <c r="N1306" s="77">
        <f>IF(AND(ISNUMBER(timeseries!K54),ISNUMBER(timeseries!K41)),timeseries!K54-timeseries!K41,"")</f>
        <v/>
      </c>
      <c r="O1306" s="77" t="inlineStr">
        <is>
          <t>EUR/MWh nominal</t>
        </is>
      </c>
      <c r="P1306" s="77" t="inlineStr">
        <is>
          <t>Q30: wedge is margin-shaped, a chapter-5 exhibit, NOT part of the modelled stack; band avg is not the archetype (DE)</t>
        </is>
      </c>
    </row>
    <row r="1307" ht="15" customHeight="1" s="78">
      <c r="A1307" s="77" t="inlineStr">
        <is>
          <t>DE</t>
        </is>
      </c>
      <c r="B1307" s="77" t="n">
        <v>2018</v>
      </c>
      <c r="C1307" s="77" t="inlineStr">
        <is>
          <t>large</t>
        </is>
      </c>
      <c r="D1307" s="77" t="inlineStr">
        <is>
          <t>memo (vs E1)</t>
        </is>
      </c>
      <c r="E1307" s="77" t="inlineStr">
        <is>
          <t>MEMO — 6 Supply cost &amp; margin residual: Eurostat IF annual (band avg, semester mean) minus modelled E1</t>
        </is>
      </c>
      <c r="F1307" s="77" t="inlineStr">
        <is>
          <t>MEMO — 6 Supply margin (observed minus modelled)</t>
        </is>
      </c>
      <c r="G1307" s="77" t="inlineStr">
        <is>
          <t>supply</t>
        </is>
      </c>
      <c r="H1307" s="77" t="inlineStr">
        <is>
          <t>i</t>
        </is>
      </c>
      <c r="I1307" s="77">
        <f>IF(ISNUMBER(N1307),N1307*fx_deflator!$J$13*fx_deflator!$M$13,"")</f>
        <v/>
      </c>
      <c r="J1307" s="77" t="inlineStr">
        <is>
          <t>Eurostat nrg_pc_205 (D7 semester avg)</t>
        </is>
      </c>
      <c r="K1307" s="77" t="inlineStr">
        <is>
          <t>timeseries r20/30 or r54/65</t>
        </is>
      </c>
      <c r="L1307" s="77" t="inlineStr">
        <is>
          <t>2026-07-15</t>
        </is>
      </c>
      <c r="M1307" s="77" t="inlineStr">
        <is>
          <t>Y</t>
        </is>
      </c>
      <c r="N1307" s="77">
        <f>IF(AND(ISNUMBER(timeseries!L54),ISNUMBER(timeseries!L41)),timeseries!L54-timeseries!L41,"")</f>
        <v/>
      </c>
      <c r="O1307" s="77" t="inlineStr">
        <is>
          <t>EUR/MWh nominal</t>
        </is>
      </c>
      <c r="P1307" s="77" t="inlineStr">
        <is>
          <t>Q30: wedge is margin-shaped, a chapter-5 exhibit, NOT part of the modelled stack; band avg is not the archetype (DE)</t>
        </is>
      </c>
    </row>
    <row r="1308" ht="15" customHeight="1" s="78">
      <c r="A1308" s="77" t="inlineStr">
        <is>
          <t>DE</t>
        </is>
      </c>
      <c r="B1308" s="77" t="n">
        <v>2019</v>
      </c>
      <c r="C1308" s="77" t="inlineStr">
        <is>
          <t>large</t>
        </is>
      </c>
      <c r="D1308" s="77" t="inlineStr">
        <is>
          <t>memo (vs E1)</t>
        </is>
      </c>
      <c r="E1308" s="77" t="inlineStr">
        <is>
          <t>MEMO — 6 Supply cost &amp; margin residual: Eurostat IF annual (band avg, semester mean) minus modelled E1</t>
        </is>
      </c>
      <c r="F1308" s="77" t="inlineStr">
        <is>
          <t>MEMO — 6 Supply margin (observed minus modelled)</t>
        </is>
      </c>
      <c r="G1308" s="77" t="inlineStr">
        <is>
          <t>supply</t>
        </is>
      </c>
      <c r="H1308" s="77" t="inlineStr">
        <is>
          <t>i</t>
        </is>
      </c>
      <c r="I1308" s="77">
        <f>IF(ISNUMBER(N1308),N1308*fx_deflator!$J$14*fx_deflator!$M$14,"")</f>
        <v/>
      </c>
      <c r="J1308" s="77" t="inlineStr">
        <is>
          <t>Eurostat nrg_pc_205 (D7 semester avg)</t>
        </is>
      </c>
      <c r="K1308" s="77" t="inlineStr">
        <is>
          <t>timeseries r20/30 or r54/65</t>
        </is>
      </c>
      <c r="L1308" s="77" t="inlineStr">
        <is>
          <t>2026-07-15</t>
        </is>
      </c>
      <c r="M1308" s="77" t="inlineStr">
        <is>
          <t>Y</t>
        </is>
      </c>
      <c r="N1308" s="77">
        <f>IF(AND(ISNUMBER(timeseries!M54),ISNUMBER(timeseries!M41)),timeseries!M54-timeseries!M41,"")</f>
        <v/>
      </c>
      <c r="O1308" s="77" t="inlineStr">
        <is>
          <t>EUR/MWh nominal</t>
        </is>
      </c>
      <c r="P1308" s="77" t="inlineStr">
        <is>
          <t>Q30: wedge is margin-shaped, a chapter-5 exhibit, NOT part of the modelled stack; band avg is not the archetype (DE)</t>
        </is>
      </c>
    </row>
    <row r="1309" ht="15" customHeight="1" s="78">
      <c r="A1309" s="77" t="inlineStr">
        <is>
          <t>DE</t>
        </is>
      </c>
      <c r="B1309" s="77" t="n">
        <v>2020</v>
      </c>
      <c r="C1309" s="77" t="inlineStr">
        <is>
          <t>large</t>
        </is>
      </c>
      <c r="D1309" s="77" t="inlineStr">
        <is>
          <t>memo (vs E1)</t>
        </is>
      </c>
      <c r="E1309" s="77" t="inlineStr">
        <is>
          <t>MEMO — 6 Supply cost &amp; margin residual: Eurostat IF annual (band avg, semester mean) minus modelled E1</t>
        </is>
      </c>
      <c r="F1309" s="77" t="inlineStr">
        <is>
          <t>MEMO — 6 Supply margin (observed minus modelled)</t>
        </is>
      </c>
      <c r="G1309" s="77" t="inlineStr">
        <is>
          <t>supply</t>
        </is>
      </c>
      <c r="H1309" s="77" t="inlineStr">
        <is>
          <t>i</t>
        </is>
      </c>
      <c r="I1309" s="77">
        <f>IF(ISNUMBER(N1309),N1309*fx_deflator!$J$15*fx_deflator!$M$15,"")</f>
        <v/>
      </c>
      <c r="J1309" s="77" t="inlineStr">
        <is>
          <t>Eurostat nrg_pc_205 (D7 semester avg)</t>
        </is>
      </c>
      <c r="K1309" s="77" t="inlineStr">
        <is>
          <t>timeseries r20/30 or r54/65</t>
        </is>
      </c>
      <c r="L1309" s="77" t="inlineStr">
        <is>
          <t>2026-07-15</t>
        </is>
      </c>
      <c r="M1309" s="77" t="inlineStr">
        <is>
          <t>Y</t>
        </is>
      </c>
      <c r="N1309" s="77">
        <f>IF(AND(ISNUMBER(timeseries!N54),ISNUMBER(timeseries!N41)),timeseries!N54-timeseries!N41,"")</f>
        <v/>
      </c>
      <c r="O1309" s="77" t="inlineStr">
        <is>
          <t>EUR/MWh nominal</t>
        </is>
      </c>
      <c r="P1309" s="77" t="inlineStr">
        <is>
          <t>Q30: wedge is margin-shaped, a chapter-5 exhibit, NOT part of the modelled stack; band avg is not the archetype (DE)</t>
        </is>
      </c>
    </row>
    <row r="1310" ht="15" customHeight="1" s="78">
      <c r="A1310" s="77" t="inlineStr">
        <is>
          <t>DE</t>
        </is>
      </c>
      <c r="B1310" s="77" t="n">
        <v>2021</v>
      </c>
      <c r="C1310" s="77" t="inlineStr">
        <is>
          <t>large</t>
        </is>
      </c>
      <c r="D1310" s="77" t="inlineStr">
        <is>
          <t>memo (vs E1)</t>
        </is>
      </c>
      <c r="E1310" s="77" t="inlineStr">
        <is>
          <t>MEMO — 6 Supply cost &amp; margin residual: Eurostat IF annual (band avg, semester mean) minus modelled E1</t>
        </is>
      </c>
      <c r="F1310" s="77" t="inlineStr">
        <is>
          <t>MEMO — 6 Supply margin (observed minus modelled)</t>
        </is>
      </c>
      <c r="G1310" s="77" t="inlineStr">
        <is>
          <t>supply</t>
        </is>
      </c>
      <c r="H1310" s="77" t="inlineStr">
        <is>
          <t>i</t>
        </is>
      </c>
      <c r="I1310" s="77">
        <f>IF(ISNUMBER(N1310),N1310*fx_deflator!$J$16*fx_deflator!$M$16,"")</f>
        <v/>
      </c>
      <c r="J1310" s="77" t="inlineStr">
        <is>
          <t>Eurostat nrg_pc_205 (D7 semester avg)</t>
        </is>
      </c>
      <c r="K1310" s="77" t="inlineStr">
        <is>
          <t>timeseries r20/30 or r54/65</t>
        </is>
      </c>
      <c r="L1310" s="77" t="inlineStr">
        <is>
          <t>2026-07-15</t>
        </is>
      </c>
      <c r="M1310" s="77" t="inlineStr">
        <is>
          <t>Y</t>
        </is>
      </c>
      <c r="N1310" s="77">
        <f>IF(AND(ISNUMBER(timeseries!O54),ISNUMBER(timeseries!O41)),timeseries!O54-timeseries!O41,"")</f>
        <v/>
      </c>
      <c r="O1310" s="77" t="inlineStr">
        <is>
          <t>EUR/MWh nominal</t>
        </is>
      </c>
      <c r="P1310" s="77" t="inlineStr">
        <is>
          <t>Q30: wedge is margin-shaped, a chapter-5 exhibit, NOT part of the modelled stack; band avg is not the archetype (DE)</t>
        </is>
      </c>
    </row>
    <row r="1311" ht="15" customHeight="1" s="78">
      <c r="A1311" s="77" t="inlineStr">
        <is>
          <t>DE</t>
        </is>
      </c>
      <c r="B1311" s="77" t="n">
        <v>2022</v>
      </c>
      <c r="C1311" s="77" t="inlineStr">
        <is>
          <t>large</t>
        </is>
      </c>
      <c r="D1311" s="77" t="inlineStr">
        <is>
          <t>memo (vs E1)</t>
        </is>
      </c>
      <c r="E1311" s="77" t="inlineStr">
        <is>
          <t>MEMO — 6 Supply cost &amp; margin residual: Eurostat IF annual (band avg, semester mean) minus modelled E1</t>
        </is>
      </c>
      <c r="F1311" s="77" t="inlineStr">
        <is>
          <t>MEMO — 6 Supply margin (observed minus modelled)</t>
        </is>
      </c>
      <c r="G1311" s="77" t="inlineStr">
        <is>
          <t>supply</t>
        </is>
      </c>
      <c r="H1311" s="77" t="inlineStr">
        <is>
          <t>i</t>
        </is>
      </c>
      <c r="I1311" s="77">
        <f>IF(ISNUMBER(N1311),N1311*fx_deflator!$J$17*fx_deflator!$M$17,"")</f>
        <v/>
      </c>
      <c r="J1311" s="77" t="inlineStr">
        <is>
          <t>Eurostat nrg_pc_205 (D7 semester avg)</t>
        </is>
      </c>
      <c r="K1311" s="77" t="inlineStr">
        <is>
          <t>timeseries r20/30 or r54/65</t>
        </is>
      </c>
      <c r="L1311" s="77" t="inlineStr">
        <is>
          <t>2026-07-15</t>
        </is>
      </c>
      <c r="M1311" s="77" t="inlineStr">
        <is>
          <t>Y</t>
        </is>
      </c>
      <c r="N1311" s="77">
        <f>IF(AND(ISNUMBER(timeseries!P54),ISNUMBER(timeseries!P41)),timeseries!P54-timeseries!P41,"")</f>
        <v/>
      </c>
      <c r="O1311" s="77" t="inlineStr">
        <is>
          <t>EUR/MWh nominal</t>
        </is>
      </c>
      <c r="P1311" s="77" t="inlineStr">
        <is>
          <t>Q30: wedge is margin-shaped, a chapter-5 exhibit, NOT part of the modelled stack; band avg is not the archetype (DE)</t>
        </is>
      </c>
    </row>
    <row r="1312" ht="15" customHeight="1" s="78">
      <c r="A1312" s="77" t="inlineStr">
        <is>
          <t>DE</t>
        </is>
      </c>
      <c r="B1312" s="77" t="n">
        <v>2023</v>
      </c>
      <c r="C1312" s="77" t="inlineStr">
        <is>
          <t>large</t>
        </is>
      </c>
      <c r="D1312" s="77" t="inlineStr">
        <is>
          <t>memo (vs E1)</t>
        </is>
      </c>
      <c r="E1312" s="77" t="inlineStr">
        <is>
          <t>MEMO — 6 Supply cost &amp; margin residual: Eurostat IF annual (band avg, semester mean) minus modelled E1</t>
        </is>
      </c>
      <c r="F1312" s="77" t="inlineStr">
        <is>
          <t>MEMO — 6 Supply margin (observed minus modelled)</t>
        </is>
      </c>
      <c r="G1312" s="77" t="inlineStr">
        <is>
          <t>supply</t>
        </is>
      </c>
      <c r="H1312" s="77" t="inlineStr">
        <is>
          <t>i</t>
        </is>
      </c>
      <c r="I1312" s="77">
        <f>IF(ISNUMBER(N1312),N1312*fx_deflator!$J$18*fx_deflator!$M$18,"")</f>
        <v/>
      </c>
      <c r="J1312" s="77" t="inlineStr">
        <is>
          <t>Eurostat nrg_pc_205 (D7 semester avg)</t>
        </is>
      </c>
      <c r="K1312" s="77" t="inlineStr">
        <is>
          <t>timeseries r20/30 or r54/65</t>
        </is>
      </c>
      <c r="L1312" s="77" t="inlineStr">
        <is>
          <t>2026-07-15</t>
        </is>
      </c>
      <c r="M1312" s="77" t="inlineStr">
        <is>
          <t>Y</t>
        </is>
      </c>
      <c r="N1312" s="77">
        <f>IF(AND(ISNUMBER(timeseries!Q54),ISNUMBER(timeseries!Q41)),timeseries!Q54-timeseries!Q41,"")</f>
        <v/>
      </c>
      <c r="O1312" s="77" t="inlineStr">
        <is>
          <t>EUR/MWh nominal</t>
        </is>
      </c>
      <c r="P1312" s="77" t="inlineStr">
        <is>
          <t>Q30: wedge is margin-shaped, a chapter-5 exhibit, NOT part of the modelled stack; band avg is not the archetype (DE)</t>
        </is>
      </c>
    </row>
    <row r="1313" ht="15" customHeight="1" s="78">
      <c r="A1313" s="77" t="inlineStr">
        <is>
          <t>DE</t>
        </is>
      </c>
      <c r="B1313" s="77" t="n">
        <v>2024</v>
      </c>
      <c r="C1313" s="77" t="inlineStr">
        <is>
          <t>large</t>
        </is>
      </c>
      <c r="D1313" s="77" t="inlineStr">
        <is>
          <t>memo (vs E1)</t>
        </is>
      </c>
      <c r="E1313" s="77" t="inlineStr">
        <is>
          <t>MEMO — 6 Supply cost &amp; margin residual: Eurostat IF annual (band avg, semester mean) minus modelled E1</t>
        </is>
      </c>
      <c r="F1313" s="77" t="inlineStr">
        <is>
          <t>MEMO — 6 Supply margin (observed minus modelled)</t>
        </is>
      </c>
      <c r="G1313" s="77" t="inlineStr">
        <is>
          <t>supply</t>
        </is>
      </c>
      <c r="H1313" s="77" t="inlineStr">
        <is>
          <t>i</t>
        </is>
      </c>
      <c r="I1313" s="77">
        <f>IF(ISNUMBER(N1313),N1313*fx_deflator!$J$19*fx_deflator!$M$19,"")</f>
        <v/>
      </c>
      <c r="J1313" s="77" t="inlineStr">
        <is>
          <t>Eurostat nrg_pc_205 (D7 semester avg)</t>
        </is>
      </c>
      <c r="K1313" s="77" t="inlineStr">
        <is>
          <t>timeseries r20/30 or r54/65</t>
        </is>
      </c>
      <c r="L1313" s="77" t="inlineStr">
        <is>
          <t>2026-07-15</t>
        </is>
      </c>
      <c r="M1313" s="77" t="inlineStr">
        <is>
          <t>Y</t>
        </is>
      </c>
      <c r="N1313" s="77">
        <f>IF(AND(ISNUMBER(timeseries!R54),ISNUMBER(timeseries!R41)),timeseries!R54-timeseries!R41,"")</f>
        <v/>
      </c>
      <c r="O1313" s="77" t="inlineStr">
        <is>
          <t>EUR/MWh nominal</t>
        </is>
      </c>
      <c r="P1313" s="77" t="inlineStr">
        <is>
          <t>Q30: wedge is margin-shaped, a chapter-5 exhibit, NOT part of the modelled stack; band avg is not the archetype (DE)</t>
        </is>
      </c>
    </row>
    <row r="1314" ht="15" customHeight="1" s="78">
      <c r="A1314" s="77" t="inlineStr">
        <is>
          <t>DE</t>
        </is>
      </c>
      <c r="B1314" s="77" t="n">
        <v>2025</v>
      </c>
      <c r="C1314" s="77" t="inlineStr">
        <is>
          <t>large</t>
        </is>
      </c>
      <c r="D1314" s="77" t="inlineStr">
        <is>
          <t>memo (vs E1)</t>
        </is>
      </c>
      <c r="E1314" s="77" t="inlineStr">
        <is>
          <t>MEMO — 6 Supply cost &amp; margin residual: Eurostat IF annual (band avg, semester mean) minus modelled E1</t>
        </is>
      </c>
      <c r="F1314" s="77" t="inlineStr">
        <is>
          <t>MEMO — 6 Supply margin (observed minus modelled)</t>
        </is>
      </c>
      <c r="G1314" s="77" t="inlineStr">
        <is>
          <t>supply</t>
        </is>
      </c>
      <c r="H1314" s="77" t="inlineStr">
        <is>
          <t>i</t>
        </is>
      </c>
      <c r="I1314" s="77">
        <f>IF(ISNUMBER(N1314),N1314*fx_deflator!$J$20*fx_deflator!$M$20,"")</f>
        <v/>
      </c>
      <c r="J1314" s="77" t="inlineStr">
        <is>
          <t>Eurostat nrg_pc_205 (D7 semester avg)</t>
        </is>
      </c>
      <c r="K1314" s="77" t="inlineStr">
        <is>
          <t>timeseries r20/30 or r54/65</t>
        </is>
      </c>
      <c r="L1314" s="77" t="inlineStr">
        <is>
          <t>2026-07-15</t>
        </is>
      </c>
      <c r="M1314" s="77" t="inlineStr">
        <is>
          <t>Y</t>
        </is>
      </c>
      <c r="N1314" s="77">
        <f>IF(AND(ISNUMBER(timeseries!S54),ISNUMBER(timeseries!S41)),timeseries!S54-timeseries!S41,"")</f>
        <v/>
      </c>
      <c r="O1314" s="77" t="inlineStr">
        <is>
          <t>EUR/MWh nominal</t>
        </is>
      </c>
      <c r="P1314" s="77" t="inlineStr">
        <is>
          <t>Q30: wedge is margin-shaped, a chapter-5 exhibit, NOT part of the modelled stack; band avg is not the archetype (DE)</t>
        </is>
      </c>
    </row>
    <row r="1315" ht="15" customHeight="1" s="78">
      <c r="A1315" s="77" t="inlineStr">
        <is>
          <t>DE</t>
        </is>
      </c>
      <c r="B1315" s="77" t="n">
        <v>2011</v>
      </c>
      <c r="C1315" s="77" t="inlineStr">
        <is>
          <t>medium</t>
        </is>
      </c>
      <c r="D1315" s="77" t="inlineStr">
        <is>
          <t>memo (vs E1)</t>
        </is>
      </c>
      <c r="E1315" s="77" t="inlineStr">
        <is>
          <t>MEMO — 6 Supply cost &amp; margin residual: Eurostat ID annual minus modelled E1</t>
        </is>
      </c>
      <c r="F1315" s="77" t="inlineStr">
        <is>
          <t>MEMO — 6 Supply margin (observed minus modelled)</t>
        </is>
      </c>
      <c r="G1315" s="77" t="inlineStr">
        <is>
          <t>supply</t>
        </is>
      </c>
      <c r="H1315" s="77" t="inlineStr">
        <is>
          <t>i</t>
        </is>
      </c>
      <c r="I1315" s="77">
        <f>IF(ISNUMBER(N1315),N1315*fx_deflator!$J$6*fx_deflator!$M$6,"")</f>
        <v/>
      </c>
      <c r="J1315" s="77" t="inlineStr">
        <is>
          <t>Eurostat nrg_pc_205 (D7 semester avg)</t>
        </is>
      </c>
      <c r="K1315" s="77" t="inlineStr">
        <is>
          <t>timeseries r20/30 or r54/65</t>
        </is>
      </c>
      <c r="L1315" s="77" t="inlineStr">
        <is>
          <t>2026-07-15</t>
        </is>
      </c>
      <c r="M1315" s="77" t="inlineStr">
        <is>
          <t>Y</t>
        </is>
      </c>
      <c r="N1315" s="77">
        <f>IF(AND(ISNUMBER(timeseries!E65),ISNUMBER(timeseries!E61)),timeseries!E65-timeseries!E61,"")</f>
        <v/>
      </c>
      <c r="O1315" s="77" t="inlineStr">
        <is>
          <t>EUR/MWh nominal</t>
        </is>
      </c>
      <c r="P1315" s="77" t="inlineStr">
        <is>
          <t>Q30: wedge is margin-shaped, a chapter-5 exhibit, NOT part of the modelled stack; band avg is not the archetype (DE)</t>
        </is>
      </c>
    </row>
    <row r="1316" ht="15" customHeight="1" s="78">
      <c r="A1316" s="77" t="inlineStr">
        <is>
          <t>DE</t>
        </is>
      </c>
      <c r="B1316" s="77" t="n">
        <v>2012</v>
      </c>
      <c r="C1316" s="77" t="inlineStr">
        <is>
          <t>medium</t>
        </is>
      </c>
      <c r="D1316" s="77" t="inlineStr">
        <is>
          <t>memo (vs E1)</t>
        </is>
      </c>
      <c r="E1316" s="77" t="inlineStr">
        <is>
          <t>MEMO — 6 Supply cost &amp; margin residual: Eurostat ID annual minus modelled E1</t>
        </is>
      </c>
      <c r="F1316" s="77" t="inlineStr">
        <is>
          <t>MEMO — 6 Supply margin (observed minus modelled)</t>
        </is>
      </c>
      <c r="G1316" s="77" t="inlineStr">
        <is>
          <t>supply</t>
        </is>
      </c>
      <c r="H1316" s="77" t="inlineStr">
        <is>
          <t>i</t>
        </is>
      </c>
      <c r="I1316" s="77">
        <f>IF(ISNUMBER(N1316),N1316*fx_deflator!$J$7*fx_deflator!$M$7,"")</f>
        <v/>
      </c>
      <c r="J1316" s="77" t="inlineStr">
        <is>
          <t>Eurostat nrg_pc_205 (D7 semester avg)</t>
        </is>
      </c>
      <c r="K1316" s="77" t="inlineStr">
        <is>
          <t>timeseries r20/30 or r54/65</t>
        </is>
      </c>
      <c r="L1316" s="77" t="inlineStr">
        <is>
          <t>2026-07-15</t>
        </is>
      </c>
      <c r="M1316" s="77" t="inlineStr">
        <is>
          <t>Y</t>
        </is>
      </c>
      <c r="N1316" s="77">
        <f>IF(AND(ISNUMBER(timeseries!F65),ISNUMBER(timeseries!F61)),timeseries!F65-timeseries!F61,"")</f>
        <v/>
      </c>
      <c r="O1316" s="77" t="inlineStr">
        <is>
          <t>EUR/MWh nominal</t>
        </is>
      </c>
      <c r="P1316" s="77" t="inlineStr">
        <is>
          <t>Q30: wedge is margin-shaped, a chapter-5 exhibit, NOT part of the modelled stack; band avg is not the archetype (DE)</t>
        </is>
      </c>
    </row>
    <row r="1317" ht="15" customHeight="1" s="78">
      <c r="A1317" s="77" t="inlineStr">
        <is>
          <t>DE</t>
        </is>
      </c>
      <c r="B1317" s="77" t="n">
        <v>2013</v>
      </c>
      <c r="C1317" s="77" t="inlineStr">
        <is>
          <t>medium</t>
        </is>
      </c>
      <c r="D1317" s="77" t="inlineStr">
        <is>
          <t>memo (vs E1)</t>
        </is>
      </c>
      <c r="E1317" s="77" t="inlineStr">
        <is>
          <t>MEMO — 6 Supply cost &amp; margin residual: Eurostat ID annual minus modelled E1</t>
        </is>
      </c>
      <c r="F1317" s="77" t="inlineStr">
        <is>
          <t>MEMO — 6 Supply margin (observed minus modelled)</t>
        </is>
      </c>
      <c r="G1317" s="77" t="inlineStr">
        <is>
          <t>supply</t>
        </is>
      </c>
      <c r="H1317" s="77" t="inlineStr">
        <is>
          <t>i</t>
        </is>
      </c>
      <c r="I1317" s="77">
        <f>IF(ISNUMBER(N1317),N1317*fx_deflator!$J$8*fx_deflator!$M$8,"")</f>
        <v/>
      </c>
      <c r="J1317" s="77" t="inlineStr">
        <is>
          <t>Eurostat nrg_pc_205 (D7 semester avg)</t>
        </is>
      </c>
      <c r="K1317" s="77" t="inlineStr">
        <is>
          <t>timeseries r20/30 or r54/65</t>
        </is>
      </c>
      <c r="L1317" s="77" t="inlineStr">
        <is>
          <t>2026-07-15</t>
        </is>
      </c>
      <c r="M1317" s="77" t="inlineStr">
        <is>
          <t>Y</t>
        </is>
      </c>
      <c r="N1317" s="77">
        <f>IF(AND(ISNUMBER(timeseries!G65),ISNUMBER(timeseries!G61)),timeseries!G65-timeseries!G61,"")</f>
        <v/>
      </c>
      <c r="O1317" s="77" t="inlineStr">
        <is>
          <t>EUR/MWh nominal</t>
        </is>
      </c>
      <c r="P1317" s="77" t="inlineStr">
        <is>
          <t>Q30: wedge is margin-shaped, a chapter-5 exhibit, NOT part of the modelled stack; band avg is not the archetype (DE)</t>
        </is>
      </c>
    </row>
    <row r="1318" ht="15" customHeight="1" s="78">
      <c r="A1318" s="77" t="inlineStr">
        <is>
          <t>DE</t>
        </is>
      </c>
      <c r="B1318" s="77" t="n">
        <v>2014</v>
      </c>
      <c r="C1318" s="77" t="inlineStr">
        <is>
          <t>medium</t>
        </is>
      </c>
      <c r="D1318" s="77" t="inlineStr">
        <is>
          <t>memo (vs E1)</t>
        </is>
      </c>
      <c r="E1318" s="77" t="inlineStr">
        <is>
          <t>MEMO — 6 Supply cost &amp; margin residual: Eurostat ID annual minus modelled E1</t>
        </is>
      </c>
      <c r="F1318" s="77" t="inlineStr">
        <is>
          <t>MEMO — 6 Supply margin (observed minus modelled)</t>
        </is>
      </c>
      <c r="G1318" s="77" t="inlineStr">
        <is>
          <t>supply</t>
        </is>
      </c>
      <c r="H1318" s="77" t="inlineStr">
        <is>
          <t>i</t>
        </is>
      </c>
      <c r="I1318" s="77">
        <f>IF(ISNUMBER(N1318),N1318*fx_deflator!$J$9*fx_deflator!$M$9,"")</f>
        <v/>
      </c>
      <c r="J1318" s="77" t="inlineStr">
        <is>
          <t>Eurostat nrg_pc_205 (D7 semester avg)</t>
        </is>
      </c>
      <c r="K1318" s="77" t="inlineStr">
        <is>
          <t>timeseries r20/30 or r54/65</t>
        </is>
      </c>
      <c r="L1318" s="77" t="inlineStr">
        <is>
          <t>2026-07-15</t>
        </is>
      </c>
      <c r="M1318" s="77" t="inlineStr">
        <is>
          <t>Y</t>
        </is>
      </c>
      <c r="N1318" s="77">
        <f>IF(AND(ISNUMBER(timeseries!H65),ISNUMBER(timeseries!H61)),timeseries!H65-timeseries!H61,"")</f>
        <v/>
      </c>
      <c r="O1318" s="77" t="inlineStr">
        <is>
          <t>EUR/MWh nominal</t>
        </is>
      </c>
      <c r="P1318" s="77" t="inlineStr">
        <is>
          <t>Q30: wedge is margin-shaped, a chapter-5 exhibit, NOT part of the modelled stack; band avg is not the archetype (DE)</t>
        </is>
      </c>
    </row>
    <row r="1319" ht="15" customHeight="1" s="78">
      <c r="A1319" s="77" t="inlineStr">
        <is>
          <t>DE</t>
        </is>
      </c>
      <c r="B1319" s="77" t="n">
        <v>2015</v>
      </c>
      <c r="C1319" s="77" t="inlineStr">
        <is>
          <t>medium</t>
        </is>
      </c>
      <c r="D1319" s="77" t="inlineStr">
        <is>
          <t>memo (vs E1)</t>
        </is>
      </c>
      <c r="E1319" s="77" t="inlineStr">
        <is>
          <t>MEMO — 6 Supply cost &amp; margin residual: Eurostat ID annual minus modelled E1</t>
        </is>
      </c>
      <c r="F1319" s="77" t="inlineStr">
        <is>
          <t>MEMO — 6 Supply margin (observed minus modelled)</t>
        </is>
      </c>
      <c r="G1319" s="77" t="inlineStr">
        <is>
          <t>supply</t>
        </is>
      </c>
      <c r="H1319" s="77" t="inlineStr">
        <is>
          <t>i</t>
        </is>
      </c>
      <c r="I1319" s="77">
        <f>IF(ISNUMBER(N1319),N1319*fx_deflator!$J$10*fx_deflator!$M$10,"")</f>
        <v/>
      </c>
      <c r="J1319" s="77" t="inlineStr">
        <is>
          <t>Eurostat nrg_pc_205 (D7 semester avg)</t>
        </is>
      </c>
      <c r="K1319" s="77" t="inlineStr">
        <is>
          <t>timeseries r20/30 or r54/65</t>
        </is>
      </c>
      <c r="L1319" s="77" t="inlineStr">
        <is>
          <t>2026-07-15</t>
        </is>
      </c>
      <c r="M1319" s="77" t="inlineStr">
        <is>
          <t>Y</t>
        </is>
      </c>
      <c r="N1319" s="77">
        <f>IF(AND(ISNUMBER(timeseries!I65),ISNUMBER(timeseries!I61)),timeseries!I65-timeseries!I61,"")</f>
        <v/>
      </c>
      <c r="O1319" s="77" t="inlineStr">
        <is>
          <t>EUR/MWh nominal</t>
        </is>
      </c>
      <c r="P1319" s="77" t="inlineStr">
        <is>
          <t>Q30: wedge is margin-shaped, a chapter-5 exhibit, NOT part of the modelled stack; band avg is not the archetype (DE)</t>
        </is>
      </c>
    </row>
    <row r="1320" ht="15" customHeight="1" s="78">
      <c r="A1320" s="77" t="inlineStr">
        <is>
          <t>DE</t>
        </is>
      </c>
      <c r="B1320" s="77" t="n">
        <v>2016</v>
      </c>
      <c r="C1320" s="77" t="inlineStr">
        <is>
          <t>medium</t>
        </is>
      </c>
      <c r="D1320" s="77" t="inlineStr">
        <is>
          <t>memo (vs E1)</t>
        </is>
      </c>
      <c r="E1320" s="77" t="inlineStr">
        <is>
          <t>MEMO — 6 Supply cost &amp; margin residual: Eurostat ID annual minus modelled E1</t>
        </is>
      </c>
      <c r="F1320" s="77" t="inlineStr">
        <is>
          <t>MEMO — 6 Supply margin (observed minus modelled)</t>
        </is>
      </c>
      <c r="G1320" s="77" t="inlineStr">
        <is>
          <t>supply</t>
        </is>
      </c>
      <c r="H1320" s="77" t="inlineStr">
        <is>
          <t>i</t>
        </is>
      </c>
      <c r="I1320" s="77">
        <f>IF(ISNUMBER(N1320),N1320*fx_deflator!$J$11*fx_deflator!$M$11,"")</f>
        <v/>
      </c>
      <c r="J1320" s="77" t="inlineStr">
        <is>
          <t>Eurostat nrg_pc_205 (D7 semester avg)</t>
        </is>
      </c>
      <c r="K1320" s="77" t="inlineStr">
        <is>
          <t>timeseries r20/30 or r54/65</t>
        </is>
      </c>
      <c r="L1320" s="77" t="inlineStr">
        <is>
          <t>2026-07-15</t>
        </is>
      </c>
      <c r="M1320" s="77" t="inlineStr">
        <is>
          <t>Y</t>
        </is>
      </c>
      <c r="N1320" s="77">
        <f>IF(AND(ISNUMBER(timeseries!J65),ISNUMBER(timeseries!J61)),timeseries!J65-timeseries!J61,"")</f>
        <v/>
      </c>
      <c r="O1320" s="77" t="inlineStr">
        <is>
          <t>EUR/MWh nominal</t>
        </is>
      </c>
      <c r="P1320" s="77" t="inlineStr">
        <is>
          <t>Q30: wedge is margin-shaped, a chapter-5 exhibit, NOT part of the modelled stack; band avg is not the archetype (DE)</t>
        </is>
      </c>
    </row>
    <row r="1321" ht="15" customHeight="1" s="78">
      <c r="A1321" s="77" t="inlineStr">
        <is>
          <t>DE</t>
        </is>
      </c>
      <c r="B1321" s="77" t="n">
        <v>2017</v>
      </c>
      <c r="C1321" s="77" t="inlineStr">
        <is>
          <t>medium</t>
        </is>
      </c>
      <c r="D1321" s="77" t="inlineStr">
        <is>
          <t>memo (vs E1)</t>
        </is>
      </c>
      <c r="E1321" s="77" t="inlineStr">
        <is>
          <t>MEMO — 6 Supply cost &amp; margin residual: Eurostat ID annual minus modelled E1</t>
        </is>
      </c>
      <c r="F1321" s="77" t="inlineStr">
        <is>
          <t>MEMO — 6 Supply margin (observed minus modelled)</t>
        </is>
      </c>
      <c r="G1321" s="77" t="inlineStr">
        <is>
          <t>supply</t>
        </is>
      </c>
      <c r="H1321" s="77" t="inlineStr">
        <is>
          <t>i</t>
        </is>
      </c>
      <c r="I1321" s="77">
        <f>IF(ISNUMBER(N1321),N1321*fx_deflator!$J$12*fx_deflator!$M$12,"")</f>
        <v/>
      </c>
      <c r="J1321" s="77" t="inlineStr">
        <is>
          <t>Eurostat nrg_pc_205 (D7 semester avg)</t>
        </is>
      </c>
      <c r="K1321" s="77" t="inlineStr">
        <is>
          <t>timeseries r20/30 or r54/65</t>
        </is>
      </c>
      <c r="L1321" s="77" t="inlineStr">
        <is>
          <t>2026-07-15</t>
        </is>
      </c>
      <c r="M1321" s="77" t="inlineStr">
        <is>
          <t>Y</t>
        </is>
      </c>
      <c r="N1321" s="77">
        <f>IF(AND(ISNUMBER(timeseries!K65),ISNUMBER(timeseries!K61)),timeseries!K65-timeseries!K61,"")</f>
        <v/>
      </c>
      <c r="O1321" s="77" t="inlineStr">
        <is>
          <t>EUR/MWh nominal</t>
        </is>
      </c>
      <c r="P1321" s="77" t="inlineStr">
        <is>
          <t>Q30: wedge is margin-shaped, a chapter-5 exhibit, NOT part of the modelled stack; band avg is not the archetype (DE)</t>
        </is>
      </c>
    </row>
    <row r="1322" ht="15" customHeight="1" s="78">
      <c r="A1322" s="77" t="inlineStr">
        <is>
          <t>DE</t>
        </is>
      </c>
      <c r="B1322" s="77" t="n">
        <v>2018</v>
      </c>
      <c r="C1322" s="77" t="inlineStr">
        <is>
          <t>medium</t>
        </is>
      </c>
      <c r="D1322" s="77" t="inlineStr">
        <is>
          <t>memo (vs E1)</t>
        </is>
      </c>
      <c r="E1322" s="77" t="inlineStr">
        <is>
          <t>MEMO — 6 Supply cost &amp; margin residual: Eurostat ID annual minus modelled E1</t>
        </is>
      </c>
      <c r="F1322" s="77" t="inlineStr">
        <is>
          <t>MEMO — 6 Supply margin (observed minus modelled)</t>
        </is>
      </c>
      <c r="G1322" s="77" t="inlineStr">
        <is>
          <t>supply</t>
        </is>
      </c>
      <c r="H1322" s="77" t="inlineStr">
        <is>
          <t>i</t>
        </is>
      </c>
      <c r="I1322" s="77">
        <f>IF(ISNUMBER(N1322),N1322*fx_deflator!$J$13*fx_deflator!$M$13,"")</f>
        <v/>
      </c>
      <c r="J1322" s="77" t="inlineStr">
        <is>
          <t>Eurostat nrg_pc_205 (D7 semester avg)</t>
        </is>
      </c>
      <c r="K1322" s="77" t="inlineStr">
        <is>
          <t>timeseries r20/30 or r54/65</t>
        </is>
      </c>
      <c r="L1322" s="77" t="inlineStr">
        <is>
          <t>2026-07-15</t>
        </is>
      </c>
      <c r="M1322" s="77" t="inlineStr">
        <is>
          <t>Y</t>
        </is>
      </c>
      <c r="N1322" s="77">
        <f>IF(AND(ISNUMBER(timeseries!L65),ISNUMBER(timeseries!L61)),timeseries!L65-timeseries!L61,"")</f>
        <v/>
      </c>
      <c r="O1322" s="77" t="inlineStr">
        <is>
          <t>EUR/MWh nominal</t>
        </is>
      </c>
      <c r="P1322" s="77" t="inlineStr">
        <is>
          <t>Q30: wedge is margin-shaped, a chapter-5 exhibit, NOT part of the modelled stack; band avg is not the archetype (DE)</t>
        </is>
      </c>
    </row>
    <row r="1323" ht="15" customHeight="1" s="78">
      <c r="A1323" s="77" t="inlineStr">
        <is>
          <t>DE</t>
        </is>
      </c>
      <c r="B1323" s="77" t="n">
        <v>2019</v>
      </c>
      <c r="C1323" s="77" t="inlineStr">
        <is>
          <t>medium</t>
        </is>
      </c>
      <c r="D1323" s="77" t="inlineStr">
        <is>
          <t>memo (vs E1)</t>
        </is>
      </c>
      <c r="E1323" s="77" t="inlineStr">
        <is>
          <t>MEMO — 6 Supply cost &amp; margin residual: Eurostat ID annual minus modelled E1</t>
        </is>
      </c>
      <c r="F1323" s="77" t="inlineStr">
        <is>
          <t>MEMO — 6 Supply margin (observed minus modelled)</t>
        </is>
      </c>
      <c r="G1323" s="77" t="inlineStr">
        <is>
          <t>supply</t>
        </is>
      </c>
      <c r="H1323" s="77" t="inlineStr">
        <is>
          <t>i</t>
        </is>
      </c>
      <c r="I1323" s="77">
        <f>IF(ISNUMBER(N1323),N1323*fx_deflator!$J$14*fx_deflator!$M$14,"")</f>
        <v/>
      </c>
      <c r="J1323" s="77" t="inlineStr">
        <is>
          <t>Eurostat nrg_pc_205 (D7 semester avg)</t>
        </is>
      </c>
      <c r="K1323" s="77" t="inlineStr">
        <is>
          <t>timeseries r20/30 or r54/65</t>
        </is>
      </c>
      <c r="L1323" s="77" t="inlineStr">
        <is>
          <t>2026-07-15</t>
        </is>
      </c>
      <c r="M1323" s="77" t="inlineStr">
        <is>
          <t>Y</t>
        </is>
      </c>
      <c r="N1323" s="77">
        <f>IF(AND(ISNUMBER(timeseries!M65),ISNUMBER(timeseries!M61)),timeseries!M65-timeseries!M61,"")</f>
        <v/>
      </c>
      <c r="O1323" s="77" t="inlineStr">
        <is>
          <t>EUR/MWh nominal</t>
        </is>
      </c>
      <c r="P1323" s="77" t="inlineStr">
        <is>
          <t>Q30: wedge is margin-shaped, a chapter-5 exhibit, NOT part of the modelled stack; band avg is not the archetype (DE)</t>
        </is>
      </c>
    </row>
    <row r="1324" ht="15" customHeight="1" s="78">
      <c r="A1324" s="77" t="inlineStr">
        <is>
          <t>DE</t>
        </is>
      </c>
      <c r="B1324" s="77" t="n">
        <v>2020</v>
      </c>
      <c r="C1324" s="77" t="inlineStr">
        <is>
          <t>medium</t>
        </is>
      </c>
      <c r="D1324" s="77" t="inlineStr">
        <is>
          <t>memo (vs E1)</t>
        </is>
      </c>
      <c r="E1324" s="77" t="inlineStr">
        <is>
          <t>MEMO — 6 Supply cost &amp; margin residual: Eurostat ID annual minus modelled E1</t>
        </is>
      </c>
      <c r="F1324" s="77" t="inlineStr">
        <is>
          <t>MEMO — 6 Supply margin (observed minus modelled)</t>
        </is>
      </c>
      <c r="G1324" s="77" t="inlineStr">
        <is>
          <t>supply</t>
        </is>
      </c>
      <c r="H1324" s="77" t="inlineStr">
        <is>
          <t>i</t>
        </is>
      </c>
      <c r="I1324" s="77">
        <f>IF(ISNUMBER(N1324),N1324*fx_deflator!$J$15*fx_deflator!$M$15,"")</f>
        <v/>
      </c>
      <c r="J1324" s="77" t="inlineStr">
        <is>
          <t>Eurostat nrg_pc_205 (D7 semester avg)</t>
        </is>
      </c>
      <c r="K1324" s="77" t="inlineStr">
        <is>
          <t>timeseries r20/30 or r54/65</t>
        </is>
      </c>
      <c r="L1324" s="77" t="inlineStr">
        <is>
          <t>2026-07-15</t>
        </is>
      </c>
      <c r="M1324" s="77" t="inlineStr">
        <is>
          <t>Y</t>
        </is>
      </c>
      <c r="N1324" s="77">
        <f>IF(AND(ISNUMBER(timeseries!N65),ISNUMBER(timeseries!N61)),timeseries!N65-timeseries!N61,"")</f>
        <v/>
      </c>
      <c r="O1324" s="77" t="inlineStr">
        <is>
          <t>EUR/MWh nominal</t>
        </is>
      </c>
      <c r="P1324" s="77" t="inlineStr">
        <is>
          <t>Q30: wedge is margin-shaped, a chapter-5 exhibit, NOT part of the modelled stack; band avg is not the archetype (DE)</t>
        </is>
      </c>
    </row>
    <row r="1325" ht="15" customHeight="1" s="78">
      <c r="A1325" s="77" t="inlineStr">
        <is>
          <t>DE</t>
        </is>
      </c>
      <c r="B1325" s="77" t="n">
        <v>2021</v>
      </c>
      <c r="C1325" s="77" t="inlineStr">
        <is>
          <t>medium</t>
        </is>
      </c>
      <c r="D1325" s="77" t="inlineStr">
        <is>
          <t>memo (vs E1)</t>
        </is>
      </c>
      <c r="E1325" s="77" t="inlineStr">
        <is>
          <t>MEMO — 6 Supply cost &amp; margin residual: Eurostat ID annual minus modelled E1</t>
        </is>
      </c>
      <c r="F1325" s="77" t="inlineStr">
        <is>
          <t>MEMO — 6 Supply margin (observed minus modelled)</t>
        </is>
      </c>
      <c r="G1325" s="77" t="inlineStr">
        <is>
          <t>supply</t>
        </is>
      </c>
      <c r="H1325" s="77" t="inlineStr">
        <is>
          <t>i</t>
        </is>
      </c>
      <c r="I1325" s="77">
        <f>IF(ISNUMBER(N1325),N1325*fx_deflator!$J$16*fx_deflator!$M$16,"")</f>
        <v/>
      </c>
      <c r="J1325" s="77" t="inlineStr">
        <is>
          <t>Eurostat nrg_pc_205 (D7 semester avg)</t>
        </is>
      </c>
      <c r="K1325" s="77" t="inlineStr">
        <is>
          <t>timeseries r20/30 or r54/65</t>
        </is>
      </c>
      <c r="L1325" s="77" t="inlineStr">
        <is>
          <t>2026-07-15</t>
        </is>
      </c>
      <c r="M1325" s="77" t="inlineStr">
        <is>
          <t>Y</t>
        </is>
      </c>
      <c r="N1325" s="77">
        <f>IF(AND(ISNUMBER(timeseries!O65),ISNUMBER(timeseries!O61)),timeseries!O65-timeseries!O61,"")</f>
        <v/>
      </c>
      <c r="O1325" s="77" t="inlineStr">
        <is>
          <t>EUR/MWh nominal</t>
        </is>
      </c>
      <c r="P1325" s="77" t="inlineStr">
        <is>
          <t>Q30: wedge is margin-shaped, a chapter-5 exhibit, NOT part of the modelled stack; band avg is not the archetype (DE)</t>
        </is>
      </c>
    </row>
    <row r="1326" ht="15" customHeight="1" s="78">
      <c r="A1326" s="77" t="inlineStr">
        <is>
          <t>DE</t>
        </is>
      </c>
      <c r="B1326" s="77" t="n">
        <v>2022</v>
      </c>
      <c r="C1326" s="77" t="inlineStr">
        <is>
          <t>medium</t>
        </is>
      </c>
      <c r="D1326" s="77" t="inlineStr">
        <is>
          <t>memo (vs E1)</t>
        </is>
      </c>
      <c r="E1326" s="77" t="inlineStr">
        <is>
          <t>MEMO — 6 Supply cost &amp; margin residual: Eurostat ID annual minus modelled E1</t>
        </is>
      </c>
      <c r="F1326" s="77" t="inlineStr">
        <is>
          <t>MEMO — 6 Supply margin (observed minus modelled)</t>
        </is>
      </c>
      <c r="G1326" s="77" t="inlineStr">
        <is>
          <t>supply</t>
        </is>
      </c>
      <c r="H1326" s="77" t="inlineStr">
        <is>
          <t>i</t>
        </is>
      </c>
      <c r="I1326" s="77">
        <f>IF(ISNUMBER(N1326),N1326*fx_deflator!$J$17*fx_deflator!$M$17,"")</f>
        <v/>
      </c>
      <c r="J1326" s="77" t="inlineStr">
        <is>
          <t>Eurostat nrg_pc_205 (D7 semester avg)</t>
        </is>
      </c>
      <c r="K1326" s="77" t="inlineStr">
        <is>
          <t>timeseries r20/30 or r54/65</t>
        </is>
      </c>
      <c r="L1326" s="77" t="inlineStr">
        <is>
          <t>2026-07-15</t>
        </is>
      </c>
      <c r="M1326" s="77" t="inlineStr">
        <is>
          <t>Y</t>
        </is>
      </c>
      <c r="N1326" s="77">
        <f>IF(AND(ISNUMBER(timeseries!P65),ISNUMBER(timeseries!P61)),timeseries!P65-timeseries!P61,"")</f>
        <v/>
      </c>
      <c r="O1326" s="77" t="inlineStr">
        <is>
          <t>EUR/MWh nominal</t>
        </is>
      </c>
      <c r="P1326" s="77" t="inlineStr">
        <is>
          <t>Q30: wedge is margin-shaped, a chapter-5 exhibit, NOT part of the modelled stack; band avg is not the archetype (DE)</t>
        </is>
      </c>
    </row>
    <row r="1327" ht="15" customHeight="1" s="78">
      <c r="A1327" s="77" t="inlineStr">
        <is>
          <t>DE</t>
        </is>
      </c>
      <c r="B1327" s="77" t="n">
        <v>2023</v>
      </c>
      <c r="C1327" s="77" t="inlineStr">
        <is>
          <t>medium</t>
        </is>
      </c>
      <c r="D1327" s="77" t="inlineStr">
        <is>
          <t>memo (vs E1)</t>
        </is>
      </c>
      <c r="E1327" s="77" t="inlineStr">
        <is>
          <t>MEMO — 6 Supply cost &amp; margin residual: Eurostat ID annual minus modelled E1</t>
        </is>
      </c>
      <c r="F1327" s="77" t="inlineStr">
        <is>
          <t>MEMO — 6 Supply margin (observed minus modelled)</t>
        </is>
      </c>
      <c r="G1327" s="77" t="inlineStr">
        <is>
          <t>supply</t>
        </is>
      </c>
      <c r="H1327" s="77" t="inlineStr">
        <is>
          <t>i</t>
        </is>
      </c>
      <c r="I1327" s="77">
        <f>IF(ISNUMBER(N1327),N1327*fx_deflator!$J$18*fx_deflator!$M$18,"")</f>
        <v/>
      </c>
      <c r="J1327" s="77" t="inlineStr">
        <is>
          <t>Eurostat nrg_pc_205 (D7 semester avg)</t>
        </is>
      </c>
      <c r="K1327" s="77" t="inlineStr">
        <is>
          <t>timeseries r20/30 or r54/65</t>
        </is>
      </c>
      <c r="L1327" s="77" t="inlineStr">
        <is>
          <t>2026-07-15</t>
        </is>
      </c>
      <c r="M1327" s="77" t="inlineStr">
        <is>
          <t>Y</t>
        </is>
      </c>
      <c r="N1327" s="77">
        <f>IF(AND(ISNUMBER(timeseries!Q65),ISNUMBER(timeseries!Q61)),timeseries!Q65-timeseries!Q61,"")</f>
        <v/>
      </c>
      <c r="O1327" s="77" t="inlineStr">
        <is>
          <t>EUR/MWh nominal</t>
        </is>
      </c>
      <c r="P1327" s="77" t="inlineStr">
        <is>
          <t>Q30: wedge is margin-shaped, a chapter-5 exhibit, NOT part of the modelled stack; band avg is not the archetype (DE)</t>
        </is>
      </c>
    </row>
    <row r="1328" ht="15" customHeight="1" s="78">
      <c r="A1328" s="77" t="inlineStr">
        <is>
          <t>DE</t>
        </is>
      </c>
      <c r="B1328" s="77" t="n">
        <v>2024</v>
      </c>
      <c r="C1328" s="77" t="inlineStr">
        <is>
          <t>medium</t>
        </is>
      </c>
      <c r="D1328" s="77" t="inlineStr">
        <is>
          <t>memo (vs E1)</t>
        </is>
      </c>
      <c r="E1328" s="77" t="inlineStr">
        <is>
          <t>MEMO — 6 Supply cost &amp; margin residual: Eurostat ID annual minus modelled E1</t>
        </is>
      </c>
      <c r="F1328" s="77" t="inlineStr">
        <is>
          <t>MEMO — 6 Supply margin (observed minus modelled)</t>
        </is>
      </c>
      <c r="G1328" s="77" t="inlineStr">
        <is>
          <t>supply</t>
        </is>
      </c>
      <c r="H1328" s="77" t="inlineStr">
        <is>
          <t>i</t>
        </is>
      </c>
      <c r="I1328" s="77">
        <f>IF(ISNUMBER(N1328),N1328*fx_deflator!$J$19*fx_deflator!$M$19,"")</f>
        <v/>
      </c>
      <c r="J1328" s="77" t="inlineStr">
        <is>
          <t>Eurostat nrg_pc_205 (D7 semester avg)</t>
        </is>
      </c>
      <c r="K1328" s="77" t="inlineStr">
        <is>
          <t>timeseries r20/30 or r54/65</t>
        </is>
      </c>
      <c r="L1328" s="77" t="inlineStr">
        <is>
          <t>2026-07-15</t>
        </is>
      </c>
      <c r="M1328" s="77" t="inlineStr">
        <is>
          <t>Y</t>
        </is>
      </c>
      <c r="N1328" s="77">
        <f>IF(AND(ISNUMBER(timeseries!R65),ISNUMBER(timeseries!R61)),timeseries!R65-timeseries!R61,"")</f>
        <v/>
      </c>
      <c r="O1328" s="77" t="inlineStr">
        <is>
          <t>EUR/MWh nominal</t>
        </is>
      </c>
      <c r="P1328" s="77" t="inlineStr">
        <is>
          <t>Q30: wedge is margin-shaped, a chapter-5 exhibit, NOT part of the modelled stack; band avg is not the archetype (DE)</t>
        </is>
      </c>
    </row>
    <row r="1329" ht="15" customHeight="1" s="78">
      <c r="A1329" s="77" t="inlineStr">
        <is>
          <t>DE</t>
        </is>
      </c>
      <c r="B1329" s="77" t="n">
        <v>2025</v>
      </c>
      <c r="C1329" s="77" t="inlineStr">
        <is>
          <t>medium</t>
        </is>
      </c>
      <c r="D1329" s="77" t="inlineStr">
        <is>
          <t>memo (vs E1)</t>
        </is>
      </c>
      <c r="E1329" s="77" t="inlineStr">
        <is>
          <t>MEMO — 6 Supply cost &amp; margin residual: Eurostat ID annual minus modelled E1</t>
        </is>
      </c>
      <c r="F1329" s="77" t="inlineStr">
        <is>
          <t>MEMO — 6 Supply margin (observed minus modelled)</t>
        </is>
      </c>
      <c r="G1329" s="77" t="inlineStr">
        <is>
          <t>supply</t>
        </is>
      </c>
      <c r="H1329" s="77" t="inlineStr">
        <is>
          <t>i</t>
        </is>
      </c>
      <c r="I1329" s="77">
        <f>IF(ISNUMBER(N1329),N1329*fx_deflator!$J$20*fx_deflator!$M$20,"")</f>
        <v/>
      </c>
      <c r="J1329" s="77" t="inlineStr">
        <is>
          <t>Eurostat nrg_pc_205 (D7 semester avg)</t>
        </is>
      </c>
      <c r="K1329" s="77" t="inlineStr">
        <is>
          <t>timeseries r20/30 or r54/65</t>
        </is>
      </c>
      <c r="L1329" s="77" t="inlineStr">
        <is>
          <t>2026-07-15</t>
        </is>
      </c>
      <c r="M1329" s="77" t="inlineStr">
        <is>
          <t>Y</t>
        </is>
      </c>
      <c r="N1329" s="77">
        <f>IF(AND(ISNUMBER(timeseries!S65),ISNUMBER(timeseries!S61)),timeseries!S65-timeseries!S61,"")</f>
        <v/>
      </c>
      <c r="O1329" s="77" t="inlineStr">
        <is>
          <t>EUR/MWh nominal</t>
        </is>
      </c>
      <c r="P1329" s="77" t="inlineStr">
        <is>
          <t>Q30: wedge is margin-shaped, a chapter-5 exhibit, NOT part of the modelled stack; band avg is not the archetype (DE)</t>
        </is>
      </c>
    </row>
    <row r="1330" ht="15" customHeight="1" s="78">
      <c r="A1330" s="77" t="inlineStr">
        <is>
          <t>UK</t>
        </is>
      </c>
      <c r="B1330" s="77" t="n">
        <v>2016</v>
      </c>
      <c r="C1330" s="77" t="inlineStr">
        <is>
          <t>large</t>
        </is>
      </c>
      <c r="D1330" s="77" t="inlineStr">
        <is>
          <t>E2</t>
        </is>
      </c>
      <c r="E1330" s="77" t="inlineStr">
        <is>
          <t>HATCH — CfD relief (compensation 2016-23 -&gt; exemption 04/2024)</t>
        </is>
      </c>
      <c r="F1330" s="77" t="inlineStr">
        <is>
          <t>HATCH ii/iii — borne by others</t>
        </is>
      </c>
      <c r="G1330" s="77" t="inlineStr">
        <is>
          <t>renewables levy relief</t>
        </is>
      </c>
      <c r="H1330" s="77" t="inlineStr">
        <is>
          <t>iii — taxpayer (compensation era)</t>
        </is>
      </c>
      <c r="I1330" s="77">
        <f>IF(ISNUMBER(N1330),N1330*fx_deflator!$I$11*fx_deflator!$M$11,"")</f>
        <v/>
      </c>
      <c r="J1330" s="77" t="inlineStr">
        <is>
          <t>gov.uk EII compensation/exemption history; SI 2024/409</t>
        </is>
      </c>
      <c r="K1330" s="77" t="inlineStr">
        <is>
          <t>stage4_uk r44</t>
        </is>
      </c>
      <c r="L1330" s="77" t="inlineStr">
        <is>
          <t>2026-07-15</t>
        </is>
      </c>
      <c r="M1330" s="77" t="inlineStr">
        <is>
          <t>Y</t>
        </is>
      </c>
      <c r="N1330" s="77">
        <f>IF(ISNUMBER(timeseries!J11),timeseries!J11*IF(ISNUMBER(stage4_uk!J44),stage4_uk!J44,0),"")</f>
        <v/>
      </c>
      <c r="O1330" s="77" t="inlineStr">
        <is>
          <t>GBP/MWh nominal</t>
        </is>
      </c>
    </row>
    <row r="1331" ht="15" customHeight="1" s="78">
      <c r="A1331" s="77" t="inlineStr">
        <is>
          <t>UK</t>
        </is>
      </c>
      <c r="B1331" s="77" t="n">
        <v>2017</v>
      </c>
      <c r="C1331" s="77" t="inlineStr">
        <is>
          <t>large</t>
        </is>
      </c>
      <c r="D1331" s="77" t="inlineStr">
        <is>
          <t>E2</t>
        </is>
      </c>
      <c r="E1331" s="77" t="inlineStr">
        <is>
          <t>HATCH — CfD relief (compensation 2016-23 -&gt; exemption 04/2024)</t>
        </is>
      </c>
      <c r="F1331" s="77" t="inlineStr">
        <is>
          <t>HATCH ii/iii — borne by others</t>
        </is>
      </c>
      <c r="G1331" s="77" t="inlineStr">
        <is>
          <t>renewables levy relief</t>
        </is>
      </c>
      <c r="H1331" s="77" t="inlineStr">
        <is>
          <t>iii — taxpayer (compensation era)</t>
        </is>
      </c>
      <c r="I1331" s="77">
        <f>IF(ISNUMBER(N1331),N1331*fx_deflator!$I$12*fx_deflator!$M$12,"")</f>
        <v/>
      </c>
      <c r="J1331" s="77" t="inlineStr">
        <is>
          <t>gov.uk EII compensation/exemption history; SI 2024/409</t>
        </is>
      </c>
      <c r="K1331" s="77" t="inlineStr">
        <is>
          <t>stage4_uk r44</t>
        </is>
      </c>
      <c r="L1331" s="77" t="inlineStr">
        <is>
          <t>2026-07-15</t>
        </is>
      </c>
      <c r="M1331" s="77" t="inlineStr">
        <is>
          <t>Y</t>
        </is>
      </c>
      <c r="N1331" s="77">
        <f>IF(ISNUMBER(timeseries!K11),timeseries!K11*IF(ISNUMBER(stage4_uk!K44),stage4_uk!K44,0),"")</f>
        <v/>
      </c>
      <c r="O1331" s="77" t="inlineStr">
        <is>
          <t>GBP/MWh nominal</t>
        </is>
      </c>
    </row>
    <row r="1332" ht="15" customHeight="1" s="78">
      <c r="A1332" s="77" t="inlineStr">
        <is>
          <t>UK</t>
        </is>
      </c>
      <c r="B1332" s="77" t="n">
        <v>2018</v>
      </c>
      <c r="C1332" s="77" t="inlineStr">
        <is>
          <t>large</t>
        </is>
      </c>
      <c r="D1332" s="77" t="inlineStr">
        <is>
          <t>E2</t>
        </is>
      </c>
      <c r="E1332" s="77" t="inlineStr">
        <is>
          <t>HATCH — RO exemption (socialised to non-exempt consumers)</t>
        </is>
      </c>
      <c r="F1332" s="77" t="inlineStr">
        <is>
          <t>HATCH ii — borne by other electricity users</t>
        </is>
      </c>
      <c r="G1332" s="77" t="inlineStr">
        <is>
          <t>renewables levy relief</t>
        </is>
      </c>
      <c r="H1332" s="77" t="inlineStr">
        <is>
          <t>ii — other electricity users</t>
        </is>
      </c>
      <c r="I1332" s="77">
        <f>IF(ISNUMBER(N1332),N1332*fx_deflator!$I$13*fx_deflator!$M$13,"")</f>
        <v/>
      </c>
      <c r="J1332" s="77" t="inlineStr">
        <is>
          <t>EII RO exemption (85 pct 04/2018; 100 pct 04/2024)</t>
        </is>
      </c>
      <c r="K1332" s="77" t="inlineStr">
        <is>
          <t>stage4_uk r45</t>
        </is>
      </c>
      <c r="L1332" s="77" t="inlineStr">
        <is>
          <t>2026-07-15</t>
        </is>
      </c>
      <c r="M1332" s="77" t="inlineStr">
        <is>
          <t>Y</t>
        </is>
      </c>
      <c r="N1332" s="77">
        <f>IF(ISNUMBER(timeseries!L10),timeseries!L10*IF(ISNUMBER(stage4_uk!L45),stage4_uk!L45,0),"")</f>
        <v/>
      </c>
      <c r="O1332" s="77" t="inlineStr">
        <is>
          <t>GBP/MWh nominal</t>
        </is>
      </c>
    </row>
    <row r="1333" ht="15" customHeight="1" s="78">
      <c r="A1333" s="77" t="inlineStr">
        <is>
          <t>UK</t>
        </is>
      </c>
      <c r="B1333" s="77" t="n">
        <v>2018</v>
      </c>
      <c r="C1333" s="77" t="inlineStr">
        <is>
          <t>large</t>
        </is>
      </c>
      <c r="D1333" s="77" t="inlineStr">
        <is>
          <t>E2</t>
        </is>
      </c>
      <c r="E1333" s="77" t="inlineStr">
        <is>
          <t>HATCH — CfD relief (compensation 2016-23 -&gt; exemption 04/2024)</t>
        </is>
      </c>
      <c r="F1333" s="77" t="inlineStr">
        <is>
          <t>HATCH ii/iii — borne by others</t>
        </is>
      </c>
      <c r="G1333" s="77" t="inlineStr">
        <is>
          <t>renewables levy relief</t>
        </is>
      </c>
      <c r="H1333" s="77" t="inlineStr">
        <is>
          <t>iii — taxpayer (compensation era)</t>
        </is>
      </c>
      <c r="I1333" s="77">
        <f>IF(ISNUMBER(N1333),N1333*fx_deflator!$I$13*fx_deflator!$M$13,"")</f>
        <v/>
      </c>
      <c r="J1333" s="77" t="inlineStr">
        <is>
          <t>gov.uk EII compensation/exemption history; SI 2024/409</t>
        </is>
      </c>
      <c r="K1333" s="77" t="inlineStr">
        <is>
          <t>stage4_uk r44</t>
        </is>
      </c>
      <c r="L1333" s="77" t="inlineStr">
        <is>
          <t>2026-07-15</t>
        </is>
      </c>
      <c r="M1333" s="77" t="inlineStr">
        <is>
          <t>Y</t>
        </is>
      </c>
      <c r="N1333" s="77">
        <f>IF(ISNUMBER(timeseries!L11),timeseries!L11*IF(ISNUMBER(stage4_uk!L44),stage4_uk!L44,0),"")</f>
        <v/>
      </c>
      <c r="O1333" s="77" t="inlineStr">
        <is>
          <t>GBP/MWh nominal</t>
        </is>
      </c>
    </row>
    <row r="1334" ht="15" customHeight="1" s="78">
      <c r="A1334" s="77" t="inlineStr">
        <is>
          <t>UK</t>
        </is>
      </c>
      <c r="B1334" s="77" t="n">
        <v>2019</v>
      </c>
      <c r="C1334" s="77" t="inlineStr">
        <is>
          <t>large</t>
        </is>
      </c>
      <c r="D1334" s="77" t="inlineStr">
        <is>
          <t>E2</t>
        </is>
      </c>
      <c r="E1334" s="77" t="inlineStr">
        <is>
          <t>HATCH — RO exemption (socialised to non-exempt consumers)</t>
        </is>
      </c>
      <c r="F1334" s="77" t="inlineStr">
        <is>
          <t>HATCH ii — borne by other electricity users</t>
        </is>
      </c>
      <c r="G1334" s="77" t="inlineStr">
        <is>
          <t>renewables levy relief</t>
        </is>
      </c>
      <c r="H1334" s="77" t="inlineStr">
        <is>
          <t>ii — other electricity users</t>
        </is>
      </c>
      <c r="I1334" s="77">
        <f>IF(ISNUMBER(N1334),N1334*fx_deflator!$I$14*fx_deflator!$M$14,"")</f>
        <v/>
      </c>
      <c r="J1334" s="77" t="inlineStr">
        <is>
          <t>EII RO exemption (85 pct 04/2018; 100 pct 04/2024)</t>
        </is>
      </c>
      <c r="K1334" s="77" t="inlineStr">
        <is>
          <t>stage4_uk r45</t>
        </is>
      </c>
      <c r="L1334" s="77" t="inlineStr">
        <is>
          <t>2026-07-15</t>
        </is>
      </c>
      <c r="M1334" s="77" t="inlineStr">
        <is>
          <t>Y</t>
        </is>
      </c>
      <c r="N1334" s="77">
        <f>IF(ISNUMBER(timeseries!M10),timeseries!M10*IF(ISNUMBER(stage4_uk!M45),stage4_uk!M45,0),"")</f>
        <v/>
      </c>
      <c r="O1334" s="77" t="inlineStr">
        <is>
          <t>GBP/MWh nominal</t>
        </is>
      </c>
    </row>
    <row r="1335" ht="15" customHeight="1" s="78">
      <c r="A1335" s="77" t="inlineStr">
        <is>
          <t>UK</t>
        </is>
      </c>
      <c r="B1335" s="77" t="n">
        <v>2019</v>
      </c>
      <c r="C1335" s="77" t="inlineStr">
        <is>
          <t>large</t>
        </is>
      </c>
      <c r="D1335" s="77" t="inlineStr">
        <is>
          <t>E2</t>
        </is>
      </c>
      <c r="E1335" s="77" t="inlineStr">
        <is>
          <t>HATCH — CfD relief (compensation 2016-23 -&gt; exemption 04/2024)</t>
        </is>
      </c>
      <c r="F1335" s="77" t="inlineStr">
        <is>
          <t>HATCH ii/iii — borne by others</t>
        </is>
      </c>
      <c r="G1335" s="77" t="inlineStr">
        <is>
          <t>renewables levy relief</t>
        </is>
      </c>
      <c r="H1335" s="77" t="inlineStr">
        <is>
          <t>iii — taxpayer (compensation era)</t>
        </is>
      </c>
      <c r="I1335" s="77">
        <f>IF(ISNUMBER(N1335),N1335*fx_deflator!$I$14*fx_deflator!$M$14,"")</f>
        <v/>
      </c>
      <c r="J1335" s="77" t="inlineStr">
        <is>
          <t>gov.uk EII compensation/exemption history; SI 2024/409</t>
        </is>
      </c>
      <c r="K1335" s="77" t="inlineStr">
        <is>
          <t>stage4_uk r44</t>
        </is>
      </c>
      <c r="L1335" s="77" t="inlineStr">
        <is>
          <t>2026-07-15</t>
        </is>
      </c>
      <c r="M1335" s="77" t="inlineStr">
        <is>
          <t>Y</t>
        </is>
      </c>
      <c r="N1335" s="77">
        <f>IF(ISNUMBER(timeseries!M11),timeseries!M11*IF(ISNUMBER(stage4_uk!M44),stage4_uk!M44,0),"")</f>
        <v/>
      </c>
      <c r="O1335" s="77" t="inlineStr">
        <is>
          <t>GBP/MWh nominal</t>
        </is>
      </c>
    </row>
    <row r="1336" ht="15" customHeight="1" s="78">
      <c r="A1336" s="77" t="inlineStr">
        <is>
          <t>UK</t>
        </is>
      </c>
      <c r="B1336" s="77" t="n">
        <v>2019</v>
      </c>
      <c r="C1336" s="77" t="inlineStr">
        <is>
          <t>large</t>
        </is>
      </c>
      <c r="D1336" s="77" t="inlineStr">
        <is>
          <t>E2</t>
        </is>
      </c>
      <c r="E1336" s="77" t="inlineStr">
        <is>
          <t>HATCH — FiT exemption</t>
        </is>
      </c>
      <c r="F1336" s="77" t="inlineStr">
        <is>
          <t>HATCH ii — borne by other electricity users</t>
        </is>
      </c>
      <c r="G1336" s="77" t="inlineStr">
        <is>
          <t>renewables levy relief</t>
        </is>
      </c>
      <c r="H1336" s="77" t="inlineStr">
        <is>
          <t>ii — other electricity users</t>
        </is>
      </c>
      <c r="I1336" s="77">
        <f>IF(ISNUMBER(N1336),N1336*fx_deflator!$I$14*fx_deflator!$M$14,"")</f>
        <v/>
      </c>
      <c r="J1336" s="77" t="inlineStr">
        <is>
          <t>EII FiT exemption (04/2019)</t>
        </is>
      </c>
      <c r="K1336" s="77" t="inlineStr">
        <is>
          <t>stage4_uk r46</t>
        </is>
      </c>
      <c r="L1336" s="77" t="inlineStr">
        <is>
          <t>2026-07-15</t>
        </is>
      </c>
      <c r="M1336" s="77" t="inlineStr">
        <is>
          <t>Y</t>
        </is>
      </c>
      <c r="N1336" s="77">
        <f>IF(ISNUMBER(timeseries!M12),timeseries!M12*IF(ISNUMBER(stage4_uk!M46),stage4_uk!M46,0),"")</f>
        <v/>
      </c>
      <c r="O1336" s="77" t="inlineStr">
        <is>
          <t>GBP/MWh nominal</t>
        </is>
      </c>
    </row>
    <row r="1337" ht="15" customHeight="1" s="78">
      <c r="A1337" s="77" t="inlineStr">
        <is>
          <t>UK</t>
        </is>
      </c>
      <c r="B1337" s="77" t="n">
        <v>2020</v>
      </c>
      <c r="C1337" s="77" t="inlineStr">
        <is>
          <t>large</t>
        </is>
      </c>
      <c r="D1337" s="77" t="inlineStr">
        <is>
          <t>E2</t>
        </is>
      </c>
      <c r="E1337" s="77" t="inlineStr">
        <is>
          <t>HATCH — RO exemption (socialised to non-exempt consumers)</t>
        </is>
      </c>
      <c r="F1337" s="77" t="inlineStr">
        <is>
          <t>HATCH ii — borne by other electricity users</t>
        </is>
      </c>
      <c r="G1337" s="77" t="inlineStr">
        <is>
          <t>renewables levy relief</t>
        </is>
      </c>
      <c r="H1337" s="77" t="inlineStr">
        <is>
          <t>ii — other electricity users</t>
        </is>
      </c>
      <c r="I1337" s="77">
        <f>IF(ISNUMBER(N1337),N1337*fx_deflator!$I$15*fx_deflator!$M$15,"")</f>
        <v/>
      </c>
      <c r="J1337" s="77" t="inlineStr">
        <is>
          <t>EII RO exemption (85 pct 04/2018; 100 pct 04/2024)</t>
        </is>
      </c>
      <c r="K1337" s="77" t="inlineStr">
        <is>
          <t>stage4_uk r45</t>
        </is>
      </c>
      <c r="L1337" s="77" t="inlineStr">
        <is>
          <t>2026-07-15</t>
        </is>
      </c>
      <c r="M1337" s="77" t="inlineStr">
        <is>
          <t>Y</t>
        </is>
      </c>
      <c r="N1337" s="77">
        <f>IF(ISNUMBER(timeseries!N10),timeseries!N10*IF(ISNUMBER(stage4_uk!N45),stage4_uk!N45,0),"")</f>
        <v/>
      </c>
      <c r="O1337" s="77" t="inlineStr">
        <is>
          <t>GBP/MWh nominal</t>
        </is>
      </c>
    </row>
    <row r="1338" ht="15" customHeight="1" s="78">
      <c r="A1338" s="77" t="inlineStr">
        <is>
          <t>UK</t>
        </is>
      </c>
      <c r="B1338" s="77" t="n">
        <v>2020</v>
      </c>
      <c r="C1338" s="77" t="inlineStr">
        <is>
          <t>large</t>
        </is>
      </c>
      <c r="D1338" s="77" t="inlineStr">
        <is>
          <t>E2</t>
        </is>
      </c>
      <c r="E1338" s="77" t="inlineStr">
        <is>
          <t>HATCH — CfD relief (compensation 2016-23 -&gt; exemption 04/2024)</t>
        </is>
      </c>
      <c r="F1338" s="77" t="inlineStr">
        <is>
          <t>HATCH ii/iii — borne by others</t>
        </is>
      </c>
      <c r="G1338" s="77" t="inlineStr">
        <is>
          <t>renewables levy relief</t>
        </is>
      </c>
      <c r="H1338" s="77" t="inlineStr">
        <is>
          <t>iii — taxpayer (compensation era)</t>
        </is>
      </c>
      <c r="I1338" s="77">
        <f>IF(ISNUMBER(N1338),N1338*fx_deflator!$I$15*fx_deflator!$M$15,"")</f>
        <v/>
      </c>
      <c r="J1338" s="77" t="inlineStr">
        <is>
          <t>gov.uk EII compensation/exemption history; SI 2024/409</t>
        </is>
      </c>
      <c r="K1338" s="77" t="inlineStr">
        <is>
          <t>stage4_uk r44</t>
        </is>
      </c>
      <c r="L1338" s="77" t="inlineStr">
        <is>
          <t>2026-07-15</t>
        </is>
      </c>
      <c r="M1338" s="77" t="inlineStr">
        <is>
          <t>Y</t>
        </is>
      </c>
      <c r="N1338" s="77">
        <f>IF(ISNUMBER(timeseries!N11),timeseries!N11*IF(ISNUMBER(stage4_uk!N44),stage4_uk!N44,0),"")</f>
        <v/>
      </c>
      <c r="O1338" s="77" t="inlineStr">
        <is>
          <t>GBP/MWh nominal</t>
        </is>
      </c>
    </row>
    <row r="1339" ht="15" customHeight="1" s="78">
      <c r="A1339" s="77" t="inlineStr">
        <is>
          <t>UK</t>
        </is>
      </c>
      <c r="B1339" s="77" t="n">
        <v>2020</v>
      </c>
      <c r="C1339" s="77" t="inlineStr">
        <is>
          <t>large</t>
        </is>
      </c>
      <c r="D1339" s="77" t="inlineStr">
        <is>
          <t>E2</t>
        </is>
      </c>
      <c r="E1339" s="77" t="inlineStr">
        <is>
          <t>HATCH — FiT exemption</t>
        </is>
      </c>
      <c r="F1339" s="77" t="inlineStr">
        <is>
          <t>HATCH ii — borne by other electricity users</t>
        </is>
      </c>
      <c r="G1339" s="77" t="inlineStr">
        <is>
          <t>renewables levy relief</t>
        </is>
      </c>
      <c r="H1339" s="77" t="inlineStr">
        <is>
          <t>ii — other electricity users</t>
        </is>
      </c>
      <c r="I1339" s="77">
        <f>IF(ISNUMBER(N1339),N1339*fx_deflator!$I$15*fx_deflator!$M$15,"")</f>
        <v/>
      </c>
      <c r="J1339" s="77" t="inlineStr">
        <is>
          <t>EII FiT exemption (04/2019)</t>
        </is>
      </c>
      <c r="K1339" s="77" t="inlineStr">
        <is>
          <t>stage4_uk r46</t>
        </is>
      </c>
      <c r="L1339" s="77" t="inlineStr">
        <is>
          <t>2026-07-15</t>
        </is>
      </c>
      <c r="M1339" s="77" t="inlineStr">
        <is>
          <t>Y</t>
        </is>
      </c>
      <c r="N1339" s="77">
        <f>IF(ISNUMBER(timeseries!N12),timeseries!N12*IF(ISNUMBER(stage4_uk!N46),stage4_uk!N46,0),"")</f>
        <v/>
      </c>
      <c r="O1339" s="77" t="inlineStr">
        <is>
          <t>GBP/MWh nominal</t>
        </is>
      </c>
    </row>
    <row r="1340" ht="15" customHeight="1" s="78">
      <c r="A1340" s="77" t="inlineStr">
        <is>
          <t>UK</t>
        </is>
      </c>
      <c r="B1340" s="77" t="n">
        <v>2021</v>
      </c>
      <c r="C1340" s="77" t="inlineStr">
        <is>
          <t>large</t>
        </is>
      </c>
      <c r="D1340" s="77" t="inlineStr">
        <is>
          <t>E2</t>
        </is>
      </c>
      <c r="E1340" s="77" t="inlineStr">
        <is>
          <t>HATCH — RO exemption (socialised to non-exempt consumers)</t>
        </is>
      </c>
      <c r="F1340" s="77" t="inlineStr">
        <is>
          <t>HATCH ii — borne by other electricity users</t>
        </is>
      </c>
      <c r="G1340" s="77" t="inlineStr">
        <is>
          <t>renewables levy relief</t>
        </is>
      </c>
      <c r="H1340" s="77" t="inlineStr">
        <is>
          <t>ii — other electricity users</t>
        </is>
      </c>
      <c r="I1340" s="77">
        <f>IF(ISNUMBER(N1340),N1340*fx_deflator!$I$16*fx_deflator!$M$16,"")</f>
        <v/>
      </c>
      <c r="J1340" s="77" t="inlineStr">
        <is>
          <t>EII RO exemption (85 pct 04/2018; 100 pct 04/2024)</t>
        </is>
      </c>
      <c r="K1340" s="77" t="inlineStr">
        <is>
          <t>stage4_uk r45</t>
        </is>
      </c>
      <c r="L1340" s="77" t="inlineStr">
        <is>
          <t>2026-07-15</t>
        </is>
      </c>
      <c r="M1340" s="77" t="inlineStr">
        <is>
          <t>Y</t>
        </is>
      </c>
      <c r="N1340" s="77">
        <f>IF(ISNUMBER(timeseries!O10),timeseries!O10*IF(ISNUMBER(stage4_uk!O45),stage4_uk!O45,0),"")</f>
        <v/>
      </c>
      <c r="O1340" s="77" t="inlineStr">
        <is>
          <t>GBP/MWh nominal</t>
        </is>
      </c>
    </row>
    <row r="1341" ht="15" customHeight="1" s="78">
      <c r="A1341" s="77" t="inlineStr">
        <is>
          <t>UK</t>
        </is>
      </c>
      <c r="B1341" s="77" t="n">
        <v>2021</v>
      </c>
      <c r="C1341" s="77" t="inlineStr">
        <is>
          <t>large</t>
        </is>
      </c>
      <c r="D1341" s="77" t="inlineStr">
        <is>
          <t>E2</t>
        </is>
      </c>
      <c r="E1341" s="77" t="inlineStr">
        <is>
          <t>HATCH — CfD relief (compensation 2016-23 -&gt; exemption 04/2024)</t>
        </is>
      </c>
      <c r="F1341" s="77" t="inlineStr">
        <is>
          <t>HATCH ii/iii — borne by others</t>
        </is>
      </c>
      <c r="G1341" s="77" t="inlineStr">
        <is>
          <t>renewables levy relief</t>
        </is>
      </c>
      <c r="H1341" s="77" t="inlineStr">
        <is>
          <t>iii — taxpayer (compensation era)</t>
        </is>
      </c>
      <c r="I1341" s="77">
        <f>IF(ISNUMBER(N1341),N1341*fx_deflator!$I$16*fx_deflator!$M$16,"")</f>
        <v/>
      </c>
      <c r="J1341" s="77" t="inlineStr">
        <is>
          <t>gov.uk EII compensation/exemption history; SI 2024/409</t>
        </is>
      </c>
      <c r="K1341" s="77" t="inlineStr">
        <is>
          <t>stage4_uk r44</t>
        </is>
      </c>
      <c r="L1341" s="77" t="inlineStr">
        <is>
          <t>2026-07-15</t>
        </is>
      </c>
      <c r="M1341" s="77" t="inlineStr">
        <is>
          <t>Y</t>
        </is>
      </c>
      <c r="N1341" s="77">
        <f>IF(ISNUMBER(timeseries!O11),timeseries!O11*IF(ISNUMBER(stage4_uk!O44),stage4_uk!O44,0),"")</f>
        <v/>
      </c>
      <c r="O1341" s="77" t="inlineStr">
        <is>
          <t>GBP/MWh nominal</t>
        </is>
      </c>
    </row>
    <row r="1342" ht="15" customHeight="1" s="78">
      <c r="A1342" s="77" t="inlineStr">
        <is>
          <t>UK</t>
        </is>
      </c>
      <c r="B1342" s="77" t="n">
        <v>2021</v>
      </c>
      <c r="C1342" s="77" t="inlineStr">
        <is>
          <t>large</t>
        </is>
      </c>
      <c r="D1342" s="77" t="inlineStr">
        <is>
          <t>E2</t>
        </is>
      </c>
      <c r="E1342" s="77" t="inlineStr">
        <is>
          <t>HATCH — FiT exemption</t>
        </is>
      </c>
      <c r="F1342" s="77" t="inlineStr">
        <is>
          <t>HATCH ii — borne by other electricity users</t>
        </is>
      </c>
      <c r="G1342" s="77" t="inlineStr">
        <is>
          <t>renewables levy relief</t>
        </is>
      </c>
      <c r="H1342" s="77" t="inlineStr">
        <is>
          <t>ii — other electricity users</t>
        </is>
      </c>
      <c r="I1342" s="77">
        <f>IF(ISNUMBER(N1342),N1342*fx_deflator!$I$16*fx_deflator!$M$16,"")</f>
        <v/>
      </c>
      <c r="J1342" s="77" t="inlineStr">
        <is>
          <t>EII FiT exemption (04/2019)</t>
        </is>
      </c>
      <c r="K1342" s="77" t="inlineStr">
        <is>
          <t>stage4_uk r46</t>
        </is>
      </c>
      <c r="L1342" s="77" t="inlineStr">
        <is>
          <t>2026-07-15</t>
        </is>
      </c>
      <c r="M1342" s="77" t="inlineStr">
        <is>
          <t>Y</t>
        </is>
      </c>
      <c r="N1342" s="77">
        <f>IF(ISNUMBER(timeseries!O12),timeseries!O12*IF(ISNUMBER(stage4_uk!O46),stage4_uk!O46,0),"")</f>
        <v/>
      </c>
      <c r="O1342" s="77" t="inlineStr">
        <is>
          <t>GBP/MWh nominal</t>
        </is>
      </c>
    </row>
    <row r="1343" ht="15" customHeight="1" s="78">
      <c r="A1343" s="77" t="inlineStr">
        <is>
          <t>UK</t>
        </is>
      </c>
      <c r="B1343" s="77" t="n">
        <v>2022</v>
      </c>
      <c r="C1343" s="77" t="inlineStr">
        <is>
          <t>large</t>
        </is>
      </c>
      <c r="D1343" s="77" t="inlineStr">
        <is>
          <t>E2</t>
        </is>
      </c>
      <c r="E1343" s="77" t="inlineStr">
        <is>
          <t>HATCH — RO exemption (socialised to non-exempt consumers)</t>
        </is>
      </c>
      <c r="F1343" s="77" t="inlineStr">
        <is>
          <t>HATCH ii — borne by other electricity users</t>
        </is>
      </c>
      <c r="G1343" s="77" t="inlineStr">
        <is>
          <t>renewables levy relief</t>
        </is>
      </c>
      <c r="H1343" s="77" t="inlineStr">
        <is>
          <t>ii — other electricity users</t>
        </is>
      </c>
      <c r="I1343" s="77">
        <f>IF(ISNUMBER(N1343),N1343*fx_deflator!$I$17*fx_deflator!$M$17,"")</f>
        <v/>
      </c>
      <c r="J1343" s="77" t="inlineStr">
        <is>
          <t>EII RO exemption (85 pct 04/2018; 100 pct 04/2024)</t>
        </is>
      </c>
      <c r="K1343" s="77" t="inlineStr">
        <is>
          <t>stage4_uk r45</t>
        </is>
      </c>
      <c r="L1343" s="77" t="inlineStr">
        <is>
          <t>2026-07-15</t>
        </is>
      </c>
      <c r="M1343" s="77" t="inlineStr">
        <is>
          <t>Y</t>
        </is>
      </c>
      <c r="N1343" s="77">
        <f>IF(ISNUMBER(timeseries!P10),timeseries!P10*IF(ISNUMBER(stage4_uk!P45),stage4_uk!P45,0),"")</f>
        <v/>
      </c>
      <c r="O1343" s="77" t="inlineStr">
        <is>
          <t>GBP/MWh nominal</t>
        </is>
      </c>
    </row>
    <row r="1344" ht="15" customHeight="1" s="78">
      <c r="A1344" s="77" t="inlineStr">
        <is>
          <t>UK</t>
        </is>
      </c>
      <c r="B1344" s="77" t="n">
        <v>2022</v>
      </c>
      <c r="C1344" s="77" t="inlineStr">
        <is>
          <t>large</t>
        </is>
      </c>
      <c r="D1344" s="77" t="inlineStr">
        <is>
          <t>E2</t>
        </is>
      </c>
      <c r="E1344" s="77" t="inlineStr">
        <is>
          <t>HATCH — CfD relief (compensation 2016-23 -&gt; exemption 04/2024)</t>
        </is>
      </c>
      <c r="F1344" s="77" t="inlineStr">
        <is>
          <t>HATCH ii/iii — borne by others</t>
        </is>
      </c>
      <c r="G1344" s="77" t="inlineStr">
        <is>
          <t>renewables levy relief</t>
        </is>
      </c>
      <c r="H1344" s="77" t="inlineStr">
        <is>
          <t>iii — taxpayer (compensation era)</t>
        </is>
      </c>
      <c r="I1344" s="77">
        <f>IF(ISNUMBER(N1344),N1344*fx_deflator!$I$17*fx_deflator!$M$17,"")</f>
        <v/>
      </c>
      <c r="J1344" s="77" t="inlineStr">
        <is>
          <t>gov.uk EII compensation/exemption history; SI 2024/409</t>
        </is>
      </c>
      <c r="K1344" s="77" t="inlineStr">
        <is>
          <t>stage4_uk r44</t>
        </is>
      </c>
      <c r="L1344" s="77" t="inlineStr">
        <is>
          <t>2026-07-15</t>
        </is>
      </c>
      <c r="M1344" s="77" t="inlineStr">
        <is>
          <t>Y</t>
        </is>
      </c>
      <c r="N1344" s="77">
        <f>IF(ISNUMBER(timeseries!P11),timeseries!P11*IF(ISNUMBER(stage4_uk!P44),stage4_uk!P44,0),"")</f>
        <v/>
      </c>
      <c r="O1344" s="77" t="inlineStr">
        <is>
          <t>GBP/MWh nominal</t>
        </is>
      </c>
    </row>
    <row r="1345" ht="15" customHeight="1" s="78">
      <c r="A1345" s="77" t="inlineStr">
        <is>
          <t>UK</t>
        </is>
      </c>
      <c r="B1345" s="77" t="n">
        <v>2022</v>
      </c>
      <c r="C1345" s="77" t="inlineStr">
        <is>
          <t>large</t>
        </is>
      </c>
      <c r="D1345" s="77" t="inlineStr">
        <is>
          <t>E2</t>
        </is>
      </c>
      <c r="E1345" s="77" t="inlineStr">
        <is>
          <t>HATCH — FiT exemption</t>
        </is>
      </c>
      <c r="F1345" s="77" t="inlineStr">
        <is>
          <t>HATCH ii — borne by other electricity users</t>
        </is>
      </c>
      <c r="G1345" s="77" t="inlineStr">
        <is>
          <t>renewables levy relief</t>
        </is>
      </c>
      <c r="H1345" s="77" t="inlineStr">
        <is>
          <t>ii — other electricity users</t>
        </is>
      </c>
      <c r="I1345" s="77">
        <f>IF(ISNUMBER(N1345),N1345*fx_deflator!$I$17*fx_deflator!$M$17,"")</f>
        <v/>
      </c>
      <c r="J1345" s="77" t="inlineStr">
        <is>
          <t>EII FiT exemption (04/2019)</t>
        </is>
      </c>
      <c r="K1345" s="77" t="inlineStr">
        <is>
          <t>stage4_uk r46</t>
        </is>
      </c>
      <c r="L1345" s="77" t="inlineStr">
        <is>
          <t>2026-07-15</t>
        </is>
      </c>
      <c r="M1345" s="77" t="inlineStr">
        <is>
          <t>Y</t>
        </is>
      </c>
      <c r="N1345" s="77">
        <f>IF(ISNUMBER(timeseries!P12),timeseries!P12*IF(ISNUMBER(stage4_uk!P46),stage4_uk!P46,0),"")</f>
        <v/>
      </c>
      <c r="O1345" s="77" t="inlineStr">
        <is>
          <t>GBP/MWh nominal</t>
        </is>
      </c>
    </row>
    <row r="1346" ht="15" customHeight="1" s="78">
      <c r="A1346" s="77" t="inlineStr">
        <is>
          <t>UK</t>
        </is>
      </c>
      <c r="B1346" s="77" t="n">
        <v>2023</v>
      </c>
      <c r="C1346" s="77" t="inlineStr">
        <is>
          <t>large</t>
        </is>
      </c>
      <c r="D1346" s="77" t="inlineStr">
        <is>
          <t>E2</t>
        </is>
      </c>
      <c r="E1346" s="77" t="inlineStr">
        <is>
          <t>HATCH — RO exemption (socialised to non-exempt consumers)</t>
        </is>
      </c>
      <c r="F1346" s="77" t="inlineStr">
        <is>
          <t>HATCH ii — borne by other electricity users</t>
        </is>
      </c>
      <c r="G1346" s="77" t="inlineStr">
        <is>
          <t>renewables levy relief</t>
        </is>
      </c>
      <c r="H1346" s="77" t="inlineStr">
        <is>
          <t>ii — other electricity users</t>
        </is>
      </c>
      <c r="I1346" s="77">
        <f>IF(ISNUMBER(N1346),N1346*fx_deflator!$I$18*fx_deflator!$M$18,"")</f>
        <v/>
      </c>
      <c r="J1346" s="77" t="inlineStr">
        <is>
          <t>EII RO exemption (85 pct 04/2018; 100 pct 04/2024)</t>
        </is>
      </c>
      <c r="K1346" s="77" t="inlineStr">
        <is>
          <t>stage4_uk r45</t>
        </is>
      </c>
      <c r="L1346" s="77" t="inlineStr">
        <is>
          <t>2026-07-15</t>
        </is>
      </c>
      <c r="M1346" s="77" t="inlineStr">
        <is>
          <t>Y</t>
        </is>
      </c>
      <c r="N1346" s="77">
        <f>IF(ISNUMBER(timeseries!Q10),timeseries!Q10*IF(ISNUMBER(stage4_uk!Q45),stage4_uk!Q45,0),"")</f>
        <v/>
      </c>
      <c r="O1346" s="77" t="inlineStr">
        <is>
          <t>GBP/MWh nominal</t>
        </is>
      </c>
    </row>
    <row r="1347" ht="15" customHeight="1" s="78">
      <c r="A1347" s="77" t="inlineStr">
        <is>
          <t>UK</t>
        </is>
      </c>
      <c r="B1347" s="77" t="n">
        <v>2023</v>
      </c>
      <c r="C1347" s="77" t="inlineStr">
        <is>
          <t>large</t>
        </is>
      </c>
      <c r="D1347" s="77" t="inlineStr">
        <is>
          <t>E2</t>
        </is>
      </c>
      <c r="E1347" s="77" t="inlineStr">
        <is>
          <t>HATCH — CfD relief (compensation 2016-23 -&gt; exemption 04/2024)</t>
        </is>
      </c>
      <c r="F1347" s="77" t="inlineStr">
        <is>
          <t>HATCH ii/iii — borne by others</t>
        </is>
      </c>
      <c r="G1347" s="77" t="inlineStr">
        <is>
          <t>renewables levy relief</t>
        </is>
      </c>
      <c r="H1347" s="77" t="inlineStr">
        <is>
          <t>iii — taxpayer (compensation era)</t>
        </is>
      </c>
      <c r="I1347" s="77">
        <f>IF(ISNUMBER(N1347),N1347*fx_deflator!$I$18*fx_deflator!$M$18,"")</f>
        <v/>
      </c>
      <c r="J1347" s="77" t="inlineStr">
        <is>
          <t>gov.uk EII compensation/exemption history; SI 2024/409</t>
        </is>
      </c>
      <c r="K1347" s="77" t="inlineStr">
        <is>
          <t>stage4_uk r44</t>
        </is>
      </c>
      <c r="L1347" s="77" t="inlineStr">
        <is>
          <t>2026-07-15</t>
        </is>
      </c>
      <c r="M1347" s="77" t="inlineStr">
        <is>
          <t>Y</t>
        </is>
      </c>
      <c r="N1347" s="77">
        <f>IF(ISNUMBER(timeseries!Q11),timeseries!Q11*IF(ISNUMBER(stage4_uk!Q44),stage4_uk!Q44,0),"")</f>
        <v/>
      </c>
      <c r="O1347" s="77" t="inlineStr">
        <is>
          <t>GBP/MWh nominal</t>
        </is>
      </c>
    </row>
    <row r="1348" ht="15" customHeight="1" s="78">
      <c r="A1348" s="77" t="inlineStr">
        <is>
          <t>UK</t>
        </is>
      </c>
      <c r="B1348" s="77" t="n">
        <v>2023</v>
      </c>
      <c r="C1348" s="77" t="inlineStr">
        <is>
          <t>large</t>
        </is>
      </c>
      <c r="D1348" s="77" t="inlineStr">
        <is>
          <t>E2</t>
        </is>
      </c>
      <c r="E1348" s="77" t="inlineStr">
        <is>
          <t>HATCH — FiT exemption</t>
        </is>
      </c>
      <c r="F1348" s="77" t="inlineStr">
        <is>
          <t>HATCH ii — borne by other electricity users</t>
        </is>
      </c>
      <c r="G1348" s="77" t="inlineStr">
        <is>
          <t>renewables levy relief</t>
        </is>
      </c>
      <c r="H1348" s="77" t="inlineStr">
        <is>
          <t>ii — other electricity users</t>
        </is>
      </c>
      <c r="I1348" s="77">
        <f>IF(ISNUMBER(N1348),N1348*fx_deflator!$I$18*fx_deflator!$M$18,"")</f>
        <v/>
      </c>
      <c r="J1348" s="77" t="inlineStr">
        <is>
          <t>EII FiT exemption (04/2019)</t>
        </is>
      </c>
      <c r="K1348" s="77" t="inlineStr">
        <is>
          <t>stage4_uk r46</t>
        </is>
      </c>
      <c r="L1348" s="77" t="inlineStr">
        <is>
          <t>2026-07-15</t>
        </is>
      </c>
      <c r="M1348" s="77" t="inlineStr">
        <is>
          <t>Y</t>
        </is>
      </c>
      <c r="N1348" s="77">
        <f>IF(ISNUMBER(timeseries!Q12),timeseries!Q12*IF(ISNUMBER(stage4_uk!Q46),stage4_uk!Q46,0),"")</f>
        <v/>
      </c>
      <c r="O1348" s="77" t="inlineStr">
        <is>
          <t>GBP/MWh nominal</t>
        </is>
      </c>
    </row>
    <row r="1349" ht="15" customHeight="1" s="78">
      <c r="A1349" s="77" t="inlineStr">
        <is>
          <t>UK</t>
        </is>
      </c>
      <c r="B1349" s="77" t="n">
        <v>2024</v>
      </c>
      <c r="C1349" s="77" t="inlineStr">
        <is>
          <t>large</t>
        </is>
      </c>
      <c r="D1349" s="77" t="inlineStr">
        <is>
          <t>E2</t>
        </is>
      </c>
      <c r="E1349" s="77" t="inlineStr">
        <is>
          <t>HATCH — NCC network-charge relief, funded by EII Support Levy on suppliers</t>
        </is>
      </c>
      <c r="F1349" s="77" t="inlineStr">
        <is>
          <t>HATCH ii — borne by other electricity users</t>
        </is>
      </c>
      <c r="G1349" s="77" t="inlineStr">
        <is>
          <t>network relief (NCC/Supercharger)</t>
        </is>
      </c>
      <c r="H1349" s="77" t="inlineStr">
        <is>
          <t>ii — other electricity users (ESL)</t>
        </is>
      </c>
      <c r="I1349" s="77">
        <f>IF(ISNUMBER(N1349),N1349*fx_deflator!$I$19*fx_deflator!$M$19,"")</f>
        <v/>
      </c>
      <c r="J1349" s="77" t="inlineStr">
        <is>
          <t>SI 2026/243; DBT consultation response 31.10.2025; D31</t>
        </is>
      </c>
      <c r="K1349" s="77" t="inlineStr">
        <is>
          <t>stage4_uk r48/53</t>
        </is>
      </c>
      <c r="L1349" s="77" t="inlineStr">
        <is>
          <t>2026-07-15</t>
        </is>
      </c>
      <c r="M1349" s="77" t="inlineStr">
        <is>
          <t>Y</t>
        </is>
      </c>
      <c r="N1349" s="77">
        <f>(timeseries!R7+timeseries!R8)*IF(ISNUMBER(stage4_uk!R48),stage4_uk!R48,0)</f>
        <v/>
      </c>
      <c r="O1349" s="77" t="inlineStr">
        <is>
          <t>GBP/MWh nominal</t>
        </is>
      </c>
    </row>
    <row r="1350" ht="15" customHeight="1" s="78">
      <c r="A1350" s="77" t="inlineStr">
        <is>
          <t>UK</t>
        </is>
      </c>
      <c r="B1350" s="77" t="n">
        <v>2024</v>
      </c>
      <c r="C1350" s="77" t="inlineStr">
        <is>
          <t>large</t>
        </is>
      </c>
      <c r="D1350" s="77" t="inlineStr">
        <is>
          <t>E2</t>
        </is>
      </c>
      <c r="E1350" s="77" t="inlineStr">
        <is>
          <t>HATCH — RO exemption (socialised to non-exempt consumers)</t>
        </is>
      </c>
      <c r="F1350" s="77" t="inlineStr">
        <is>
          <t>HATCH ii — borne by other electricity users</t>
        </is>
      </c>
      <c r="G1350" s="77" t="inlineStr">
        <is>
          <t>renewables levy relief</t>
        </is>
      </c>
      <c r="H1350" s="77" t="inlineStr">
        <is>
          <t>ii — other electricity users</t>
        </is>
      </c>
      <c r="I1350" s="77">
        <f>IF(ISNUMBER(N1350),N1350*fx_deflator!$I$19*fx_deflator!$M$19,"")</f>
        <v/>
      </c>
      <c r="J1350" s="77" t="inlineStr">
        <is>
          <t>EII RO exemption (85 pct 04/2018; 100 pct 04/2024)</t>
        </is>
      </c>
      <c r="K1350" s="77" t="inlineStr">
        <is>
          <t>stage4_uk r45</t>
        </is>
      </c>
      <c r="L1350" s="77" t="inlineStr">
        <is>
          <t>2026-07-15</t>
        </is>
      </c>
      <c r="M1350" s="77" t="inlineStr">
        <is>
          <t>Y</t>
        </is>
      </c>
      <c r="N1350" s="77">
        <f>IF(ISNUMBER(timeseries!R10),timeseries!R10*IF(ISNUMBER(stage4_uk!R45),stage4_uk!R45,0),"")</f>
        <v/>
      </c>
      <c r="O1350" s="77" t="inlineStr">
        <is>
          <t>GBP/MWh nominal</t>
        </is>
      </c>
    </row>
    <row r="1351" ht="15" customHeight="1" s="78">
      <c r="A1351" s="77" t="inlineStr">
        <is>
          <t>UK</t>
        </is>
      </c>
      <c r="B1351" s="77" t="n">
        <v>2024</v>
      </c>
      <c r="C1351" s="77" t="inlineStr">
        <is>
          <t>large</t>
        </is>
      </c>
      <c r="D1351" s="77" t="inlineStr">
        <is>
          <t>E2</t>
        </is>
      </c>
      <c r="E1351" s="77" t="inlineStr">
        <is>
          <t>HATCH — CfD relief (compensation 2016-23 -&gt; exemption 04/2024)</t>
        </is>
      </c>
      <c r="F1351" s="77" t="inlineStr">
        <is>
          <t>HATCH ii/iii — borne by others</t>
        </is>
      </c>
      <c r="G1351" s="77" t="inlineStr">
        <is>
          <t>renewables levy relief</t>
        </is>
      </c>
      <c r="H1351" s="77" t="inlineStr">
        <is>
          <t>ii — other electricity users (exemption)</t>
        </is>
      </c>
      <c r="I1351" s="77">
        <f>IF(ISNUMBER(N1351),N1351*fx_deflator!$I$19*fx_deflator!$M$19,"")</f>
        <v/>
      </c>
      <c r="J1351" s="77" t="inlineStr">
        <is>
          <t>gov.uk EII compensation/exemption history; SI 2024/409</t>
        </is>
      </c>
      <c r="K1351" s="77" t="inlineStr">
        <is>
          <t>stage4_uk r44</t>
        </is>
      </c>
      <c r="L1351" s="77" t="inlineStr">
        <is>
          <t>2026-07-15</t>
        </is>
      </c>
      <c r="M1351" s="77" t="inlineStr">
        <is>
          <t>Y</t>
        </is>
      </c>
      <c r="N1351" s="77">
        <f>IF(ISNUMBER(timeseries!R11),timeseries!R11*IF(ISNUMBER(stage4_uk!R44),stage4_uk!R44,0),"")</f>
        <v/>
      </c>
      <c r="O1351" s="77" t="inlineStr">
        <is>
          <t>GBP/MWh nominal</t>
        </is>
      </c>
    </row>
    <row r="1352" ht="15" customHeight="1" s="78">
      <c r="A1352" s="77" t="inlineStr">
        <is>
          <t>UK</t>
        </is>
      </c>
      <c r="B1352" s="77" t="n">
        <v>2024</v>
      </c>
      <c r="C1352" s="77" t="inlineStr">
        <is>
          <t>large</t>
        </is>
      </c>
      <c r="D1352" s="77" t="inlineStr">
        <is>
          <t>E2</t>
        </is>
      </c>
      <c r="E1352" s="77" t="inlineStr">
        <is>
          <t>HATCH — FiT exemption</t>
        </is>
      </c>
      <c r="F1352" s="77" t="inlineStr">
        <is>
          <t>HATCH ii — borne by other electricity users</t>
        </is>
      </c>
      <c r="G1352" s="77" t="inlineStr">
        <is>
          <t>renewables levy relief</t>
        </is>
      </c>
      <c r="H1352" s="77" t="inlineStr">
        <is>
          <t>ii — other electricity users</t>
        </is>
      </c>
      <c r="I1352" s="77">
        <f>IF(ISNUMBER(N1352),N1352*fx_deflator!$I$19*fx_deflator!$M$19,"")</f>
        <v/>
      </c>
      <c r="J1352" s="77" t="inlineStr">
        <is>
          <t>EII FiT exemption (04/2019)</t>
        </is>
      </c>
      <c r="K1352" s="77" t="inlineStr">
        <is>
          <t>stage4_uk r46</t>
        </is>
      </c>
      <c r="L1352" s="77" t="inlineStr">
        <is>
          <t>2026-07-15</t>
        </is>
      </c>
      <c r="M1352" s="77" t="inlineStr">
        <is>
          <t>Y</t>
        </is>
      </c>
      <c r="N1352" s="77">
        <f>IF(ISNUMBER(timeseries!R12),timeseries!R12*IF(ISNUMBER(stage4_uk!R46),stage4_uk!R46,0),"")</f>
        <v/>
      </c>
      <c r="O1352" s="77" t="inlineStr">
        <is>
          <t>GBP/MWh nominal</t>
        </is>
      </c>
    </row>
    <row r="1353" ht="15" customHeight="1" s="78">
      <c r="A1353" s="77" t="inlineStr">
        <is>
          <t>UK</t>
        </is>
      </c>
      <c r="B1353" s="77" t="n">
        <v>2024</v>
      </c>
      <c r="C1353" s="77" t="inlineStr">
        <is>
          <t>large</t>
        </is>
      </c>
      <c r="D1353" s="77" t="inlineStr">
        <is>
          <t>E2</t>
        </is>
      </c>
      <c r="E1353" s="77" t="inlineStr">
        <is>
          <t>HATCH — Capacity Market exemption (10/2024)</t>
        </is>
      </c>
      <c r="F1353" s="77" t="inlineStr">
        <is>
          <t>HATCH ii — borne by other electricity users</t>
        </is>
      </c>
      <c r="G1353" s="77" t="inlineStr">
        <is>
          <t>capacity market relief</t>
        </is>
      </c>
      <c r="H1353" s="77" t="inlineStr">
        <is>
          <t>ii — other electricity users</t>
        </is>
      </c>
      <c r="I1353" s="77">
        <f>IF(ISNUMBER(N1353),N1353*fx_deflator!$I$19*fx_deflator!$M$19,"")</f>
        <v/>
      </c>
      <c r="J1353" s="77" t="inlineStr">
        <is>
          <t>SI 2024/434 (CM EII exclusion)</t>
        </is>
      </c>
      <c r="K1353" s="77" t="inlineStr">
        <is>
          <t>stage4_uk r47</t>
        </is>
      </c>
      <c r="L1353" s="77" t="inlineStr">
        <is>
          <t>2026-07-15</t>
        </is>
      </c>
      <c r="M1353" s="77" t="inlineStr">
        <is>
          <t>Y</t>
        </is>
      </c>
      <c r="N1353" s="77">
        <f>IF(ISNUMBER(timeseries!R13),timeseries!R13*IF(ISNUMBER(stage4_uk!R47),stage4_uk!R47,0),"")</f>
        <v/>
      </c>
      <c r="O1353" s="77" t="inlineStr">
        <is>
          <t>GBP/MWh nominal</t>
        </is>
      </c>
    </row>
    <row r="1354" ht="15" customHeight="1" s="78">
      <c r="A1354" s="77" t="inlineStr">
        <is>
          <t>UK</t>
        </is>
      </c>
      <c r="B1354" s="77" t="n">
        <v>2025</v>
      </c>
      <c r="C1354" s="77" t="inlineStr">
        <is>
          <t>large</t>
        </is>
      </c>
      <c r="D1354" s="77" t="inlineStr">
        <is>
          <t>E2</t>
        </is>
      </c>
      <c r="E1354" s="77" t="inlineStr">
        <is>
          <t>HATCH — NCC network-charge relief, funded by EII Support Levy on suppliers</t>
        </is>
      </c>
      <c r="F1354" s="77" t="inlineStr">
        <is>
          <t>HATCH ii — borne by other electricity users</t>
        </is>
      </c>
      <c r="G1354" s="77" t="inlineStr">
        <is>
          <t>network relief (NCC/Supercharger)</t>
        </is>
      </c>
      <c r="H1354" s="77" t="inlineStr">
        <is>
          <t>ii — other electricity users (ESL)</t>
        </is>
      </c>
      <c r="I1354" s="77">
        <f>IF(ISNUMBER(N1354),N1354*fx_deflator!$I$20*fx_deflator!$M$20,"")</f>
        <v/>
      </c>
      <c r="J1354" s="77" t="inlineStr">
        <is>
          <t>SI 2026/243; DBT consultation response 31.10.2025; D31</t>
        </is>
      </c>
      <c r="K1354" s="77" t="inlineStr">
        <is>
          <t>stage4_uk r48/53</t>
        </is>
      </c>
      <c r="L1354" s="77" t="inlineStr">
        <is>
          <t>2026-07-15</t>
        </is>
      </c>
      <c r="M1354" s="77" t="inlineStr">
        <is>
          <t>Y</t>
        </is>
      </c>
      <c r="N1354" s="77">
        <f>(timeseries!S7+timeseries!S8)*IF(ISNUMBER(stage4_uk!S48),stage4_uk!S48,0)</f>
        <v/>
      </c>
      <c r="O1354" s="77" t="inlineStr">
        <is>
          <t>GBP/MWh nominal</t>
        </is>
      </c>
    </row>
    <row r="1355" ht="15" customHeight="1" s="78">
      <c r="A1355" s="77" t="inlineStr">
        <is>
          <t>UK</t>
        </is>
      </c>
      <c r="B1355" s="77" t="n">
        <v>2025</v>
      </c>
      <c r="C1355" s="77" t="inlineStr">
        <is>
          <t>large</t>
        </is>
      </c>
      <c r="D1355" s="77" t="inlineStr">
        <is>
          <t>E2</t>
        </is>
      </c>
      <c r="E1355" s="77" t="inlineStr">
        <is>
          <t>HATCH — RO exemption (socialised to non-exempt consumers)</t>
        </is>
      </c>
      <c r="F1355" s="77" t="inlineStr">
        <is>
          <t>HATCH ii — borne by other electricity users</t>
        </is>
      </c>
      <c r="G1355" s="77" t="inlineStr">
        <is>
          <t>renewables levy relief</t>
        </is>
      </c>
      <c r="H1355" s="77" t="inlineStr">
        <is>
          <t>ii — other electricity users</t>
        </is>
      </c>
      <c r="I1355" s="77">
        <f>IF(ISNUMBER(N1355),N1355*fx_deflator!$I$20*fx_deflator!$M$20,"")</f>
        <v/>
      </c>
      <c r="J1355" s="77" t="inlineStr">
        <is>
          <t>EII RO exemption (85 pct 04/2018; 100 pct 04/2024)</t>
        </is>
      </c>
      <c r="K1355" s="77" t="inlineStr">
        <is>
          <t>stage4_uk r45</t>
        </is>
      </c>
      <c r="L1355" s="77" t="inlineStr">
        <is>
          <t>2026-07-15</t>
        </is>
      </c>
      <c r="M1355" s="77" t="inlineStr">
        <is>
          <t>Y</t>
        </is>
      </c>
      <c r="N1355" s="77">
        <f>IF(ISNUMBER(timeseries!S10),timeseries!S10*IF(ISNUMBER(stage4_uk!S45),stage4_uk!S45,0),"")</f>
        <v/>
      </c>
      <c r="O1355" s="77" t="inlineStr">
        <is>
          <t>GBP/MWh nominal</t>
        </is>
      </c>
    </row>
    <row r="1356" ht="15" customHeight="1" s="78">
      <c r="A1356" s="77" t="inlineStr">
        <is>
          <t>UK</t>
        </is>
      </c>
      <c r="B1356" s="77" t="n">
        <v>2025</v>
      </c>
      <c r="C1356" s="77" t="inlineStr">
        <is>
          <t>large</t>
        </is>
      </c>
      <c r="D1356" s="77" t="inlineStr">
        <is>
          <t>E2</t>
        </is>
      </c>
      <c r="E1356" s="77" t="inlineStr">
        <is>
          <t>HATCH — CfD relief (compensation 2016-23 -&gt; exemption 04/2024)</t>
        </is>
      </c>
      <c r="F1356" s="77" t="inlineStr">
        <is>
          <t>HATCH ii/iii — borne by others</t>
        </is>
      </c>
      <c r="G1356" s="77" t="inlineStr">
        <is>
          <t>renewables levy relief</t>
        </is>
      </c>
      <c r="H1356" s="77" t="inlineStr">
        <is>
          <t>ii — other electricity users (exemption)</t>
        </is>
      </c>
      <c r="I1356" s="77">
        <f>IF(ISNUMBER(N1356),N1356*fx_deflator!$I$20*fx_deflator!$M$20,"")</f>
        <v/>
      </c>
      <c r="J1356" s="77" t="inlineStr">
        <is>
          <t>gov.uk EII compensation/exemption history; SI 2024/409</t>
        </is>
      </c>
      <c r="K1356" s="77" t="inlineStr">
        <is>
          <t>stage4_uk r44</t>
        </is>
      </c>
      <c r="L1356" s="77" t="inlineStr">
        <is>
          <t>2026-07-15</t>
        </is>
      </c>
      <c r="M1356" s="77" t="inlineStr">
        <is>
          <t>Y</t>
        </is>
      </c>
      <c r="N1356" s="77">
        <f>IF(ISNUMBER(timeseries!S11),timeseries!S11*IF(ISNUMBER(stage4_uk!S44),stage4_uk!S44,0),"")</f>
        <v/>
      </c>
      <c r="O1356" s="77" t="inlineStr">
        <is>
          <t>GBP/MWh nominal</t>
        </is>
      </c>
    </row>
    <row r="1357" ht="15" customHeight="1" s="78">
      <c r="A1357" s="77" t="inlineStr">
        <is>
          <t>UK</t>
        </is>
      </c>
      <c r="B1357" s="77" t="n">
        <v>2025</v>
      </c>
      <c r="C1357" s="77" t="inlineStr">
        <is>
          <t>large</t>
        </is>
      </c>
      <c r="D1357" s="77" t="inlineStr">
        <is>
          <t>E2</t>
        </is>
      </c>
      <c r="E1357" s="77" t="inlineStr">
        <is>
          <t>HATCH — Capacity Market exemption (10/2024)</t>
        </is>
      </c>
      <c r="F1357" s="77" t="inlineStr">
        <is>
          <t>HATCH ii — borne by other electricity users</t>
        </is>
      </c>
      <c r="G1357" s="77" t="inlineStr">
        <is>
          <t>capacity market relief</t>
        </is>
      </c>
      <c r="H1357" s="77" t="inlineStr">
        <is>
          <t>ii — other electricity users</t>
        </is>
      </c>
      <c r="I1357" s="77">
        <f>IF(ISNUMBER(N1357),N1357*fx_deflator!$I$20*fx_deflator!$M$20,"")</f>
        <v/>
      </c>
      <c r="J1357" s="77" t="inlineStr">
        <is>
          <t>SI 2024/434 (CM EII exclusion)</t>
        </is>
      </c>
      <c r="K1357" s="77" t="inlineStr">
        <is>
          <t>stage4_uk r47</t>
        </is>
      </c>
      <c r="L1357" s="77" t="inlineStr">
        <is>
          <t>2026-07-15</t>
        </is>
      </c>
      <c r="M1357" s="77" t="inlineStr">
        <is>
          <t>Y</t>
        </is>
      </c>
      <c r="N1357" s="77">
        <f>IF(ISNUMBER(timeseries!S13),timeseries!S13*IF(ISNUMBER(stage4_uk!S47),stage4_uk!S47,0),"")</f>
        <v/>
      </c>
      <c r="O1357" s="77" t="inlineStr">
        <is>
          <t>GBP/MWh nominal</t>
        </is>
      </c>
    </row>
    <row r="1358" ht="15" customHeight="1" s="78">
      <c r="A1358" s="77" t="inlineStr">
        <is>
          <t>UK</t>
        </is>
      </c>
      <c r="B1358" s="77" t="n">
        <v>2016</v>
      </c>
      <c r="C1358" s="77" t="inlineStr">
        <is>
          <t>medium</t>
        </is>
      </c>
      <c r="D1358" s="77" t="inlineStr">
        <is>
          <t>E2</t>
        </is>
      </c>
      <c r="E1358" s="77" t="inlineStr">
        <is>
          <t>HATCH — CfD relief (compensation 2016-23 -&gt; exemption 04/2024)</t>
        </is>
      </c>
      <c r="F1358" s="77" t="inlineStr">
        <is>
          <t>HATCH ii/iii — borne by others</t>
        </is>
      </c>
      <c r="G1358" s="77" t="inlineStr">
        <is>
          <t>renewables levy relief</t>
        </is>
      </c>
      <c r="H1358" s="77" t="inlineStr">
        <is>
          <t>iii — taxpayer (compensation era)</t>
        </is>
      </c>
      <c r="I1358" s="77">
        <f>IF(ISNUMBER(N1358),N1358*fx_deflator!$I$11*fx_deflator!$M$11,"")</f>
        <v/>
      </c>
      <c r="J1358" s="77" t="inlineStr">
        <is>
          <t>gov.uk EII compensation/exemption history; SI 2024/409</t>
        </is>
      </c>
      <c r="K1358" s="77" t="inlineStr">
        <is>
          <t>stage4_uk r44</t>
        </is>
      </c>
      <c r="L1358" s="77" t="inlineStr">
        <is>
          <t>2026-07-15</t>
        </is>
      </c>
      <c r="M1358" s="77" t="inlineStr">
        <is>
          <t>Y</t>
        </is>
      </c>
      <c r="N1358" s="77">
        <f>IF(ISNUMBER(timeseries!J11),timeseries!J11*IF(ISNUMBER(stage4_uk!J44),stage4_uk!J44,0),"")</f>
        <v/>
      </c>
      <c r="O1358" s="77" t="inlineStr">
        <is>
          <t>GBP/MWh nominal</t>
        </is>
      </c>
    </row>
    <row r="1359" ht="15" customHeight="1" s="78">
      <c r="A1359" s="77" t="inlineStr">
        <is>
          <t>UK</t>
        </is>
      </c>
      <c r="B1359" s="77" t="n">
        <v>2017</v>
      </c>
      <c r="C1359" s="77" t="inlineStr">
        <is>
          <t>medium</t>
        </is>
      </c>
      <c r="D1359" s="77" t="inlineStr">
        <is>
          <t>E2</t>
        </is>
      </c>
      <c r="E1359" s="77" t="inlineStr">
        <is>
          <t>HATCH — CfD relief (compensation 2016-23 -&gt; exemption 04/2024)</t>
        </is>
      </c>
      <c r="F1359" s="77" t="inlineStr">
        <is>
          <t>HATCH ii/iii — borne by others</t>
        </is>
      </c>
      <c r="G1359" s="77" t="inlineStr">
        <is>
          <t>renewables levy relief</t>
        </is>
      </c>
      <c r="H1359" s="77" t="inlineStr">
        <is>
          <t>iii — taxpayer (compensation era)</t>
        </is>
      </c>
      <c r="I1359" s="77">
        <f>IF(ISNUMBER(N1359),N1359*fx_deflator!$I$12*fx_deflator!$M$12,"")</f>
        <v/>
      </c>
      <c r="J1359" s="77" t="inlineStr">
        <is>
          <t>gov.uk EII compensation/exemption history; SI 2024/409</t>
        </is>
      </c>
      <c r="K1359" s="77" t="inlineStr">
        <is>
          <t>stage4_uk r44</t>
        </is>
      </c>
      <c r="L1359" s="77" t="inlineStr">
        <is>
          <t>2026-07-15</t>
        </is>
      </c>
      <c r="M1359" s="77" t="inlineStr">
        <is>
          <t>Y</t>
        </is>
      </c>
      <c r="N1359" s="77">
        <f>IF(ISNUMBER(timeseries!K11),timeseries!K11*IF(ISNUMBER(stage4_uk!K44),stage4_uk!K44,0),"")</f>
        <v/>
      </c>
      <c r="O1359" s="77" t="inlineStr">
        <is>
          <t>GBP/MWh nominal</t>
        </is>
      </c>
    </row>
    <row r="1360" ht="15" customHeight="1" s="78">
      <c r="A1360" s="77" t="inlineStr">
        <is>
          <t>UK</t>
        </is>
      </c>
      <c r="B1360" s="77" t="n">
        <v>2018</v>
      </c>
      <c r="C1360" s="77" t="inlineStr">
        <is>
          <t>medium</t>
        </is>
      </c>
      <c r="D1360" s="77" t="inlineStr">
        <is>
          <t>E2</t>
        </is>
      </c>
      <c r="E1360" s="77" t="inlineStr">
        <is>
          <t>HATCH — RO exemption (socialised to non-exempt consumers)</t>
        </is>
      </c>
      <c r="F1360" s="77" t="inlineStr">
        <is>
          <t>HATCH ii — borne by other electricity users</t>
        </is>
      </c>
      <c r="G1360" s="77" t="inlineStr">
        <is>
          <t>renewables levy relief</t>
        </is>
      </c>
      <c r="H1360" s="77" t="inlineStr">
        <is>
          <t>ii — other electricity users</t>
        </is>
      </c>
      <c r="I1360" s="77">
        <f>IF(ISNUMBER(N1360),N1360*fx_deflator!$I$13*fx_deflator!$M$13,"")</f>
        <v/>
      </c>
      <c r="J1360" s="77" t="inlineStr">
        <is>
          <t>EII RO exemption (85 pct 04/2018; 100 pct 04/2024)</t>
        </is>
      </c>
      <c r="K1360" s="77" t="inlineStr">
        <is>
          <t>stage4_uk r45</t>
        </is>
      </c>
      <c r="L1360" s="77" t="inlineStr">
        <is>
          <t>2026-07-15</t>
        </is>
      </c>
      <c r="M1360" s="77" t="inlineStr">
        <is>
          <t>Y</t>
        </is>
      </c>
      <c r="N1360" s="77">
        <f>IF(ISNUMBER(timeseries!L10),timeseries!L10*IF(ISNUMBER(stage4_uk!L45),stage4_uk!L45,0),"")</f>
        <v/>
      </c>
      <c r="O1360" s="77" t="inlineStr">
        <is>
          <t>GBP/MWh nominal</t>
        </is>
      </c>
    </row>
    <row r="1361" ht="15" customHeight="1" s="78">
      <c r="A1361" s="77" t="inlineStr">
        <is>
          <t>UK</t>
        </is>
      </c>
      <c r="B1361" s="77" t="n">
        <v>2018</v>
      </c>
      <c r="C1361" s="77" t="inlineStr">
        <is>
          <t>medium</t>
        </is>
      </c>
      <c r="D1361" s="77" t="inlineStr">
        <is>
          <t>E2</t>
        </is>
      </c>
      <c r="E1361" s="77" t="inlineStr">
        <is>
          <t>HATCH — CfD relief (compensation 2016-23 -&gt; exemption 04/2024)</t>
        </is>
      </c>
      <c r="F1361" s="77" t="inlineStr">
        <is>
          <t>HATCH ii/iii — borne by others</t>
        </is>
      </c>
      <c r="G1361" s="77" t="inlineStr">
        <is>
          <t>renewables levy relief</t>
        </is>
      </c>
      <c r="H1361" s="77" t="inlineStr">
        <is>
          <t>iii — taxpayer (compensation era)</t>
        </is>
      </c>
      <c r="I1361" s="77">
        <f>IF(ISNUMBER(N1361),N1361*fx_deflator!$I$13*fx_deflator!$M$13,"")</f>
        <v/>
      </c>
      <c r="J1361" s="77" t="inlineStr">
        <is>
          <t>gov.uk EII compensation/exemption history; SI 2024/409</t>
        </is>
      </c>
      <c r="K1361" s="77" t="inlineStr">
        <is>
          <t>stage4_uk r44</t>
        </is>
      </c>
      <c r="L1361" s="77" t="inlineStr">
        <is>
          <t>2026-07-15</t>
        </is>
      </c>
      <c r="M1361" s="77" t="inlineStr">
        <is>
          <t>Y</t>
        </is>
      </c>
      <c r="N1361" s="77">
        <f>IF(ISNUMBER(timeseries!L11),timeseries!L11*IF(ISNUMBER(stage4_uk!L44),stage4_uk!L44,0),"")</f>
        <v/>
      </c>
      <c r="O1361" s="77" t="inlineStr">
        <is>
          <t>GBP/MWh nominal</t>
        </is>
      </c>
    </row>
    <row r="1362" ht="15" customHeight="1" s="78">
      <c r="A1362" s="77" t="inlineStr">
        <is>
          <t>UK</t>
        </is>
      </c>
      <c r="B1362" s="77" t="n">
        <v>2019</v>
      </c>
      <c r="C1362" s="77" t="inlineStr">
        <is>
          <t>medium</t>
        </is>
      </c>
      <c r="D1362" s="77" t="inlineStr">
        <is>
          <t>E2</t>
        </is>
      </c>
      <c r="E1362" s="77" t="inlineStr">
        <is>
          <t>HATCH — RO exemption (socialised to non-exempt consumers)</t>
        </is>
      </c>
      <c r="F1362" s="77" t="inlineStr">
        <is>
          <t>HATCH ii — borne by other electricity users</t>
        </is>
      </c>
      <c r="G1362" s="77" t="inlineStr">
        <is>
          <t>renewables levy relief</t>
        </is>
      </c>
      <c r="H1362" s="77" t="inlineStr">
        <is>
          <t>ii — other electricity users</t>
        </is>
      </c>
      <c r="I1362" s="77">
        <f>IF(ISNUMBER(N1362),N1362*fx_deflator!$I$14*fx_deflator!$M$14,"")</f>
        <v/>
      </c>
      <c r="J1362" s="77" t="inlineStr">
        <is>
          <t>EII RO exemption (85 pct 04/2018; 100 pct 04/2024)</t>
        </is>
      </c>
      <c r="K1362" s="77" t="inlineStr">
        <is>
          <t>stage4_uk r45</t>
        </is>
      </c>
      <c r="L1362" s="77" t="inlineStr">
        <is>
          <t>2026-07-15</t>
        </is>
      </c>
      <c r="M1362" s="77" t="inlineStr">
        <is>
          <t>Y</t>
        </is>
      </c>
      <c r="N1362" s="77">
        <f>IF(ISNUMBER(timeseries!M10),timeseries!M10*IF(ISNUMBER(stage4_uk!M45),stage4_uk!M45,0),"")</f>
        <v/>
      </c>
      <c r="O1362" s="77" t="inlineStr">
        <is>
          <t>GBP/MWh nominal</t>
        </is>
      </c>
    </row>
    <row r="1363" ht="15" customHeight="1" s="78">
      <c r="A1363" s="77" t="inlineStr">
        <is>
          <t>UK</t>
        </is>
      </c>
      <c r="B1363" s="77" t="n">
        <v>2019</v>
      </c>
      <c r="C1363" s="77" t="inlineStr">
        <is>
          <t>medium</t>
        </is>
      </c>
      <c r="D1363" s="77" t="inlineStr">
        <is>
          <t>E2</t>
        </is>
      </c>
      <c r="E1363" s="77" t="inlineStr">
        <is>
          <t>HATCH — CfD relief (compensation 2016-23 -&gt; exemption 04/2024)</t>
        </is>
      </c>
      <c r="F1363" s="77" t="inlineStr">
        <is>
          <t>HATCH ii/iii — borne by others</t>
        </is>
      </c>
      <c r="G1363" s="77" t="inlineStr">
        <is>
          <t>renewables levy relief</t>
        </is>
      </c>
      <c r="H1363" s="77" t="inlineStr">
        <is>
          <t>iii — taxpayer (compensation era)</t>
        </is>
      </c>
      <c r="I1363" s="77">
        <f>IF(ISNUMBER(N1363),N1363*fx_deflator!$I$14*fx_deflator!$M$14,"")</f>
        <v/>
      </c>
      <c r="J1363" s="77" t="inlineStr">
        <is>
          <t>gov.uk EII compensation/exemption history; SI 2024/409</t>
        </is>
      </c>
      <c r="K1363" s="77" t="inlineStr">
        <is>
          <t>stage4_uk r44</t>
        </is>
      </c>
      <c r="L1363" s="77" t="inlineStr">
        <is>
          <t>2026-07-15</t>
        </is>
      </c>
      <c r="M1363" s="77" t="inlineStr">
        <is>
          <t>Y</t>
        </is>
      </c>
      <c r="N1363" s="77">
        <f>IF(ISNUMBER(timeseries!M11),timeseries!M11*IF(ISNUMBER(stage4_uk!M44),stage4_uk!M44,0),"")</f>
        <v/>
      </c>
      <c r="O1363" s="77" t="inlineStr">
        <is>
          <t>GBP/MWh nominal</t>
        </is>
      </c>
    </row>
    <row r="1364" ht="15" customHeight="1" s="78">
      <c r="A1364" s="77" t="inlineStr">
        <is>
          <t>UK</t>
        </is>
      </c>
      <c r="B1364" s="77" t="n">
        <v>2019</v>
      </c>
      <c r="C1364" s="77" t="inlineStr">
        <is>
          <t>medium</t>
        </is>
      </c>
      <c r="D1364" s="77" t="inlineStr">
        <is>
          <t>E2</t>
        </is>
      </c>
      <c r="E1364" s="77" t="inlineStr">
        <is>
          <t>HATCH — FiT exemption</t>
        </is>
      </c>
      <c r="F1364" s="77" t="inlineStr">
        <is>
          <t>HATCH ii — borne by other electricity users</t>
        </is>
      </c>
      <c r="G1364" s="77" t="inlineStr">
        <is>
          <t>renewables levy relief</t>
        </is>
      </c>
      <c r="H1364" s="77" t="inlineStr">
        <is>
          <t>ii — other electricity users</t>
        </is>
      </c>
      <c r="I1364" s="77">
        <f>IF(ISNUMBER(N1364),N1364*fx_deflator!$I$14*fx_deflator!$M$14,"")</f>
        <v/>
      </c>
      <c r="J1364" s="77" t="inlineStr">
        <is>
          <t>EII FiT exemption (04/2019)</t>
        </is>
      </c>
      <c r="K1364" s="77" t="inlineStr">
        <is>
          <t>stage4_uk r46</t>
        </is>
      </c>
      <c r="L1364" s="77" t="inlineStr">
        <is>
          <t>2026-07-15</t>
        </is>
      </c>
      <c r="M1364" s="77" t="inlineStr">
        <is>
          <t>Y</t>
        </is>
      </c>
      <c r="N1364" s="77">
        <f>IF(ISNUMBER(timeseries!M12),timeseries!M12*IF(ISNUMBER(stage4_uk!M46),stage4_uk!M46,0),"")</f>
        <v/>
      </c>
      <c r="O1364" s="77" t="inlineStr">
        <is>
          <t>GBP/MWh nominal</t>
        </is>
      </c>
    </row>
    <row r="1365" ht="15" customHeight="1" s="78">
      <c r="A1365" s="77" t="inlineStr">
        <is>
          <t>UK</t>
        </is>
      </c>
      <c r="B1365" s="77" t="n">
        <v>2020</v>
      </c>
      <c r="C1365" s="77" t="inlineStr">
        <is>
          <t>medium</t>
        </is>
      </c>
      <c r="D1365" s="77" t="inlineStr">
        <is>
          <t>E2</t>
        </is>
      </c>
      <c r="E1365" s="77" t="inlineStr">
        <is>
          <t>HATCH — RO exemption (socialised to non-exempt consumers)</t>
        </is>
      </c>
      <c r="F1365" s="77" t="inlineStr">
        <is>
          <t>HATCH ii — borne by other electricity users</t>
        </is>
      </c>
      <c r="G1365" s="77" t="inlineStr">
        <is>
          <t>renewables levy relief</t>
        </is>
      </c>
      <c r="H1365" s="77" t="inlineStr">
        <is>
          <t>ii — other electricity users</t>
        </is>
      </c>
      <c r="I1365" s="77">
        <f>IF(ISNUMBER(N1365),N1365*fx_deflator!$I$15*fx_deflator!$M$15,"")</f>
        <v/>
      </c>
      <c r="J1365" s="77" t="inlineStr">
        <is>
          <t>EII RO exemption (85 pct 04/2018; 100 pct 04/2024)</t>
        </is>
      </c>
      <c r="K1365" s="77" t="inlineStr">
        <is>
          <t>stage4_uk r45</t>
        </is>
      </c>
      <c r="L1365" s="77" t="inlineStr">
        <is>
          <t>2026-07-15</t>
        </is>
      </c>
      <c r="M1365" s="77" t="inlineStr">
        <is>
          <t>Y</t>
        </is>
      </c>
      <c r="N1365" s="77">
        <f>IF(ISNUMBER(timeseries!N10),timeseries!N10*IF(ISNUMBER(stage4_uk!N45),stage4_uk!N45,0),"")</f>
        <v/>
      </c>
      <c r="O1365" s="77" t="inlineStr">
        <is>
          <t>GBP/MWh nominal</t>
        </is>
      </c>
    </row>
    <row r="1366" ht="15" customHeight="1" s="78">
      <c r="A1366" s="77" t="inlineStr">
        <is>
          <t>UK</t>
        </is>
      </c>
      <c r="B1366" s="77" t="n">
        <v>2020</v>
      </c>
      <c r="C1366" s="77" t="inlineStr">
        <is>
          <t>medium</t>
        </is>
      </c>
      <c r="D1366" s="77" t="inlineStr">
        <is>
          <t>E2</t>
        </is>
      </c>
      <c r="E1366" s="77" t="inlineStr">
        <is>
          <t>HATCH — CfD relief (compensation 2016-23 -&gt; exemption 04/2024)</t>
        </is>
      </c>
      <c r="F1366" s="77" t="inlineStr">
        <is>
          <t>HATCH ii/iii — borne by others</t>
        </is>
      </c>
      <c r="G1366" s="77" t="inlineStr">
        <is>
          <t>renewables levy relief</t>
        </is>
      </c>
      <c r="H1366" s="77" t="inlineStr">
        <is>
          <t>iii — taxpayer (compensation era)</t>
        </is>
      </c>
      <c r="I1366" s="77">
        <f>IF(ISNUMBER(N1366),N1366*fx_deflator!$I$15*fx_deflator!$M$15,"")</f>
        <v/>
      </c>
      <c r="J1366" s="77" t="inlineStr">
        <is>
          <t>gov.uk EII compensation/exemption history; SI 2024/409</t>
        </is>
      </c>
      <c r="K1366" s="77" t="inlineStr">
        <is>
          <t>stage4_uk r44</t>
        </is>
      </c>
      <c r="L1366" s="77" t="inlineStr">
        <is>
          <t>2026-07-15</t>
        </is>
      </c>
      <c r="M1366" s="77" t="inlineStr">
        <is>
          <t>Y</t>
        </is>
      </c>
      <c r="N1366" s="77">
        <f>IF(ISNUMBER(timeseries!N11),timeseries!N11*IF(ISNUMBER(stage4_uk!N44),stage4_uk!N44,0),"")</f>
        <v/>
      </c>
      <c r="O1366" s="77" t="inlineStr">
        <is>
          <t>GBP/MWh nominal</t>
        </is>
      </c>
    </row>
    <row r="1367" ht="15" customHeight="1" s="78">
      <c r="A1367" s="77" t="inlineStr">
        <is>
          <t>UK</t>
        </is>
      </c>
      <c r="B1367" s="77" t="n">
        <v>2020</v>
      </c>
      <c r="C1367" s="77" t="inlineStr">
        <is>
          <t>medium</t>
        </is>
      </c>
      <c r="D1367" s="77" t="inlineStr">
        <is>
          <t>E2</t>
        </is>
      </c>
      <c r="E1367" s="77" t="inlineStr">
        <is>
          <t>HATCH — FiT exemption</t>
        </is>
      </c>
      <c r="F1367" s="77" t="inlineStr">
        <is>
          <t>HATCH ii — borne by other electricity users</t>
        </is>
      </c>
      <c r="G1367" s="77" t="inlineStr">
        <is>
          <t>renewables levy relief</t>
        </is>
      </c>
      <c r="H1367" s="77" t="inlineStr">
        <is>
          <t>ii — other electricity users</t>
        </is>
      </c>
      <c r="I1367" s="77">
        <f>IF(ISNUMBER(N1367),N1367*fx_deflator!$I$15*fx_deflator!$M$15,"")</f>
        <v/>
      </c>
      <c r="J1367" s="77" t="inlineStr">
        <is>
          <t>EII FiT exemption (04/2019)</t>
        </is>
      </c>
      <c r="K1367" s="77" t="inlineStr">
        <is>
          <t>stage4_uk r46</t>
        </is>
      </c>
      <c r="L1367" s="77" t="inlineStr">
        <is>
          <t>2026-07-15</t>
        </is>
      </c>
      <c r="M1367" s="77" t="inlineStr">
        <is>
          <t>Y</t>
        </is>
      </c>
      <c r="N1367" s="77">
        <f>IF(ISNUMBER(timeseries!N12),timeseries!N12*IF(ISNUMBER(stage4_uk!N46),stage4_uk!N46,0),"")</f>
        <v/>
      </c>
      <c r="O1367" s="77" t="inlineStr">
        <is>
          <t>GBP/MWh nominal</t>
        </is>
      </c>
    </row>
    <row r="1368" ht="15" customHeight="1" s="78">
      <c r="A1368" s="77" t="inlineStr">
        <is>
          <t>UK</t>
        </is>
      </c>
      <c r="B1368" s="77" t="n">
        <v>2021</v>
      </c>
      <c r="C1368" s="77" t="inlineStr">
        <is>
          <t>medium</t>
        </is>
      </c>
      <c r="D1368" s="77" t="inlineStr">
        <is>
          <t>E2</t>
        </is>
      </c>
      <c r="E1368" s="77" t="inlineStr">
        <is>
          <t>HATCH — RO exemption (socialised to non-exempt consumers)</t>
        </is>
      </c>
      <c r="F1368" s="77" t="inlineStr">
        <is>
          <t>HATCH ii — borne by other electricity users</t>
        </is>
      </c>
      <c r="G1368" s="77" t="inlineStr">
        <is>
          <t>renewables levy relief</t>
        </is>
      </c>
      <c r="H1368" s="77" t="inlineStr">
        <is>
          <t>ii — other electricity users</t>
        </is>
      </c>
      <c r="I1368" s="77">
        <f>IF(ISNUMBER(N1368),N1368*fx_deflator!$I$16*fx_deflator!$M$16,"")</f>
        <v/>
      </c>
      <c r="J1368" s="77" t="inlineStr">
        <is>
          <t>EII RO exemption (85 pct 04/2018; 100 pct 04/2024)</t>
        </is>
      </c>
      <c r="K1368" s="77" t="inlineStr">
        <is>
          <t>stage4_uk r45</t>
        </is>
      </c>
      <c r="L1368" s="77" t="inlineStr">
        <is>
          <t>2026-07-15</t>
        </is>
      </c>
      <c r="M1368" s="77" t="inlineStr">
        <is>
          <t>Y</t>
        </is>
      </c>
      <c r="N1368" s="77">
        <f>IF(ISNUMBER(timeseries!O10),timeseries!O10*IF(ISNUMBER(stage4_uk!O45),stage4_uk!O45,0),"")</f>
        <v/>
      </c>
      <c r="O1368" s="77" t="inlineStr">
        <is>
          <t>GBP/MWh nominal</t>
        </is>
      </c>
    </row>
    <row r="1369" ht="15" customHeight="1" s="78">
      <c r="A1369" s="77" t="inlineStr">
        <is>
          <t>UK</t>
        </is>
      </c>
      <c r="B1369" s="77" t="n">
        <v>2021</v>
      </c>
      <c r="C1369" s="77" t="inlineStr">
        <is>
          <t>medium</t>
        </is>
      </c>
      <c r="D1369" s="77" t="inlineStr">
        <is>
          <t>E2</t>
        </is>
      </c>
      <c r="E1369" s="77" t="inlineStr">
        <is>
          <t>HATCH — CfD relief (compensation 2016-23 -&gt; exemption 04/2024)</t>
        </is>
      </c>
      <c r="F1369" s="77" t="inlineStr">
        <is>
          <t>HATCH ii/iii — borne by others</t>
        </is>
      </c>
      <c r="G1369" s="77" t="inlineStr">
        <is>
          <t>renewables levy relief</t>
        </is>
      </c>
      <c r="H1369" s="77" t="inlineStr">
        <is>
          <t>iii — taxpayer (compensation era)</t>
        </is>
      </c>
      <c r="I1369" s="77">
        <f>IF(ISNUMBER(N1369),N1369*fx_deflator!$I$16*fx_deflator!$M$16,"")</f>
        <v/>
      </c>
      <c r="J1369" s="77" t="inlineStr">
        <is>
          <t>gov.uk EII compensation/exemption history; SI 2024/409</t>
        </is>
      </c>
      <c r="K1369" s="77" t="inlineStr">
        <is>
          <t>stage4_uk r44</t>
        </is>
      </c>
      <c r="L1369" s="77" t="inlineStr">
        <is>
          <t>2026-07-15</t>
        </is>
      </c>
      <c r="M1369" s="77" t="inlineStr">
        <is>
          <t>Y</t>
        </is>
      </c>
      <c r="N1369" s="77">
        <f>IF(ISNUMBER(timeseries!O11),timeseries!O11*IF(ISNUMBER(stage4_uk!O44),stage4_uk!O44,0),"")</f>
        <v/>
      </c>
      <c r="O1369" s="77" t="inlineStr">
        <is>
          <t>GBP/MWh nominal</t>
        </is>
      </c>
    </row>
    <row r="1370" ht="15" customHeight="1" s="78">
      <c r="A1370" s="77" t="inlineStr">
        <is>
          <t>UK</t>
        </is>
      </c>
      <c r="B1370" s="77" t="n">
        <v>2021</v>
      </c>
      <c r="C1370" s="77" t="inlineStr">
        <is>
          <t>medium</t>
        </is>
      </c>
      <c r="D1370" s="77" t="inlineStr">
        <is>
          <t>E2</t>
        </is>
      </c>
      <c r="E1370" s="77" t="inlineStr">
        <is>
          <t>HATCH — FiT exemption</t>
        </is>
      </c>
      <c r="F1370" s="77" t="inlineStr">
        <is>
          <t>HATCH ii — borne by other electricity users</t>
        </is>
      </c>
      <c r="G1370" s="77" t="inlineStr">
        <is>
          <t>renewables levy relief</t>
        </is>
      </c>
      <c r="H1370" s="77" t="inlineStr">
        <is>
          <t>ii — other electricity users</t>
        </is>
      </c>
      <c r="I1370" s="77">
        <f>IF(ISNUMBER(N1370),N1370*fx_deflator!$I$16*fx_deflator!$M$16,"")</f>
        <v/>
      </c>
      <c r="J1370" s="77" t="inlineStr">
        <is>
          <t>EII FiT exemption (04/2019)</t>
        </is>
      </c>
      <c r="K1370" s="77" t="inlineStr">
        <is>
          <t>stage4_uk r46</t>
        </is>
      </c>
      <c r="L1370" s="77" t="inlineStr">
        <is>
          <t>2026-07-15</t>
        </is>
      </c>
      <c r="M1370" s="77" t="inlineStr">
        <is>
          <t>Y</t>
        </is>
      </c>
      <c r="N1370" s="77">
        <f>IF(ISNUMBER(timeseries!O12),timeseries!O12*IF(ISNUMBER(stage4_uk!O46),stage4_uk!O46,0),"")</f>
        <v/>
      </c>
      <c r="O1370" s="77" t="inlineStr">
        <is>
          <t>GBP/MWh nominal</t>
        </is>
      </c>
    </row>
    <row r="1371" ht="15" customHeight="1" s="78">
      <c r="A1371" s="77" t="inlineStr">
        <is>
          <t>UK</t>
        </is>
      </c>
      <c r="B1371" s="77" t="n">
        <v>2022</v>
      </c>
      <c r="C1371" s="77" t="inlineStr">
        <is>
          <t>medium</t>
        </is>
      </c>
      <c r="D1371" s="77" t="inlineStr">
        <is>
          <t>E2</t>
        </is>
      </c>
      <c r="E1371" s="77" t="inlineStr">
        <is>
          <t>HATCH — RO exemption (socialised to non-exempt consumers)</t>
        </is>
      </c>
      <c r="F1371" s="77" t="inlineStr">
        <is>
          <t>HATCH ii — borne by other electricity users</t>
        </is>
      </c>
      <c r="G1371" s="77" t="inlineStr">
        <is>
          <t>renewables levy relief</t>
        </is>
      </c>
      <c r="H1371" s="77" t="inlineStr">
        <is>
          <t>ii — other electricity users</t>
        </is>
      </c>
      <c r="I1371" s="77">
        <f>IF(ISNUMBER(N1371),N1371*fx_deflator!$I$17*fx_deflator!$M$17,"")</f>
        <v/>
      </c>
      <c r="J1371" s="77" t="inlineStr">
        <is>
          <t>EII RO exemption (85 pct 04/2018; 100 pct 04/2024)</t>
        </is>
      </c>
      <c r="K1371" s="77" t="inlineStr">
        <is>
          <t>stage4_uk r45</t>
        </is>
      </c>
      <c r="L1371" s="77" t="inlineStr">
        <is>
          <t>2026-07-15</t>
        </is>
      </c>
      <c r="M1371" s="77" t="inlineStr">
        <is>
          <t>Y</t>
        </is>
      </c>
      <c r="N1371" s="77">
        <f>IF(ISNUMBER(timeseries!P10),timeseries!P10*IF(ISNUMBER(stage4_uk!P45),stage4_uk!P45,0),"")</f>
        <v/>
      </c>
      <c r="O1371" s="77" t="inlineStr">
        <is>
          <t>GBP/MWh nominal</t>
        </is>
      </c>
    </row>
    <row r="1372" ht="15" customHeight="1" s="78">
      <c r="A1372" s="77" t="inlineStr">
        <is>
          <t>UK</t>
        </is>
      </c>
      <c r="B1372" s="77" t="n">
        <v>2022</v>
      </c>
      <c r="C1372" s="77" t="inlineStr">
        <is>
          <t>medium</t>
        </is>
      </c>
      <c r="D1372" s="77" t="inlineStr">
        <is>
          <t>E2</t>
        </is>
      </c>
      <c r="E1372" s="77" t="inlineStr">
        <is>
          <t>HATCH — CfD relief (compensation 2016-23 -&gt; exemption 04/2024)</t>
        </is>
      </c>
      <c r="F1372" s="77" t="inlineStr">
        <is>
          <t>HATCH ii/iii — borne by others</t>
        </is>
      </c>
      <c r="G1372" s="77" t="inlineStr">
        <is>
          <t>renewables levy relief</t>
        </is>
      </c>
      <c r="H1372" s="77" t="inlineStr">
        <is>
          <t>iii — taxpayer (compensation era)</t>
        </is>
      </c>
      <c r="I1372" s="77">
        <f>IF(ISNUMBER(N1372),N1372*fx_deflator!$I$17*fx_deflator!$M$17,"")</f>
        <v/>
      </c>
      <c r="J1372" s="77" t="inlineStr">
        <is>
          <t>gov.uk EII compensation/exemption history; SI 2024/409</t>
        </is>
      </c>
      <c r="K1372" s="77" t="inlineStr">
        <is>
          <t>stage4_uk r44</t>
        </is>
      </c>
      <c r="L1372" s="77" t="inlineStr">
        <is>
          <t>2026-07-15</t>
        </is>
      </c>
      <c r="M1372" s="77" t="inlineStr">
        <is>
          <t>Y</t>
        </is>
      </c>
      <c r="N1372" s="77">
        <f>IF(ISNUMBER(timeseries!P11),timeseries!P11*IF(ISNUMBER(stage4_uk!P44),stage4_uk!P44,0),"")</f>
        <v/>
      </c>
      <c r="O1372" s="77" t="inlineStr">
        <is>
          <t>GBP/MWh nominal</t>
        </is>
      </c>
    </row>
    <row r="1373" ht="15" customHeight="1" s="78">
      <c r="A1373" s="77" t="inlineStr">
        <is>
          <t>UK</t>
        </is>
      </c>
      <c r="B1373" s="77" t="n">
        <v>2022</v>
      </c>
      <c r="C1373" s="77" t="inlineStr">
        <is>
          <t>medium</t>
        </is>
      </c>
      <c r="D1373" s="77" t="inlineStr">
        <is>
          <t>E2</t>
        </is>
      </c>
      <c r="E1373" s="77" t="inlineStr">
        <is>
          <t>HATCH — FiT exemption</t>
        </is>
      </c>
      <c r="F1373" s="77" t="inlineStr">
        <is>
          <t>HATCH ii — borne by other electricity users</t>
        </is>
      </c>
      <c r="G1373" s="77" t="inlineStr">
        <is>
          <t>renewables levy relief</t>
        </is>
      </c>
      <c r="H1373" s="77" t="inlineStr">
        <is>
          <t>ii — other electricity users</t>
        </is>
      </c>
      <c r="I1373" s="77">
        <f>IF(ISNUMBER(N1373),N1373*fx_deflator!$I$17*fx_deflator!$M$17,"")</f>
        <v/>
      </c>
      <c r="J1373" s="77" t="inlineStr">
        <is>
          <t>EII FiT exemption (04/2019)</t>
        </is>
      </c>
      <c r="K1373" s="77" t="inlineStr">
        <is>
          <t>stage4_uk r46</t>
        </is>
      </c>
      <c r="L1373" s="77" t="inlineStr">
        <is>
          <t>2026-07-15</t>
        </is>
      </c>
      <c r="M1373" s="77" t="inlineStr">
        <is>
          <t>Y</t>
        </is>
      </c>
      <c r="N1373" s="77">
        <f>IF(ISNUMBER(timeseries!P12),timeseries!P12*IF(ISNUMBER(stage4_uk!P46),stage4_uk!P46,0),"")</f>
        <v/>
      </c>
      <c r="O1373" s="77" t="inlineStr">
        <is>
          <t>GBP/MWh nominal</t>
        </is>
      </c>
    </row>
    <row r="1374" ht="15" customHeight="1" s="78">
      <c r="A1374" s="77" t="inlineStr">
        <is>
          <t>UK</t>
        </is>
      </c>
      <c r="B1374" s="77" t="n">
        <v>2023</v>
      </c>
      <c r="C1374" s="77" t="inlineStr">
        <is>
          <t>medium</t>
        </is>
      </c>
      <c r="D1374" s="77" t="inlineStr">
        <is>
          <t>E2</t>
        </is>
      </c>
      <c r="E1374" s="77" t="inlineStr">
        <is>
          <t>HATCH — RO exemption (socialised to non-exempt consumers)</t>
        </is>
      </c>
      <c r="F1374" s="77" t="inlineStr">
        <is>
          <t>HATCH ii — borne by other electricity users</t>
        </is>
      </c>
      <c r="G1374" s="77" t="inlineStr">
        <is>
          <t>renewables levy relief</t>
        </is>
      </c>
      <c r="H1374" s="77" t="inlineStr">
        <is>
          <t>ii — other electricity users</t>
        </is>
      </c>
      <c r="I1374" s="77">
        <f>IF(ISNUMBER(N1374),N1374*fx_deflator!$I$18*fx_deflator!$M$18,"")</f>
        <v/>
      </c>
      <c r="J1374" s="77" t="inlineStr">
        <is>
          <t>EII RO exemption (85 pct 04/2018; 100 pct 04/2024)</t>
        </is>
      </c>
      <c r="K1374" s="77" t="inlineStr">
        <is>
          <t>stage4_uk r45</t>
        </is>
      </c>
      <c r="L1374" s="77" t="inlineStr">
        <is>
          <t>2026-07-15</t>
        </is>
      </c>
      <c r="M1374" s="77" t="inlineStr">
        <is>
          <t>Y</t>
        </is>
      </c>
      <c r="N1374" s="77">
        <f>IF(ISNUMBER(timeseries!Q10),timeseries!Q10*IF(ISNUMBER(stage4_uk!Q45),stage4_uk!Q45,0),"")</f>
        <v/>
      </c>
      <c r="O1374" s="77" t="inlineStr">
        <is>
          <t>GBP/MWh nominal</t>
        </is>
      </c>
    </row>
    <row r="1375" ht="15" customHeight="1" s="78">
      <c r="A1375" s="77" t="inlineStr">
        <is>
          <t>UK</t>
        </is>
      </c>
      <c r="B1375" s="77" t="n">
        <v>2023</v>
      </c>
      <c r="C1375" s="77" t="inlineStr">
        <is>
          <t>medium</t>
        </is>
      </c>
      <c r="D1375" s="77" t="inlineStr">
        <is>
          <t>E2</t>
        </is>
      </c>
      <c r="E1375" s="77" t="inlineStr">
        <is>
          <t>HATCH — CfD relief (compensation 2016-23 -&gt; exemption 04/2024)</t>
        </is>
      </c>
      <c r="F1375" s="77" t="inlineStr">
        <is>
          <t>HATCH ii/iii — borne by others</t>
        </is>
      </c>
      <c r="G1375" s="77" t="inlineStr">
        <is>
          <t>renewables levy relief</t>
        </is>
      </c>
      <c r="H1375" s="77" t="inlineStr">
        <is>
          <t>iii — taxpayer (compensation era)</t>
        </is>
      </c>
      <c r="I1375" s="77">
        <f>IF(ISNUMBER(N1375),N1375*fx_deflator!$I$18*fx_deflator!$M$18,"")</f>
        <v/>
      </c>
      <c r="J1375" s="77" t="inlineStr">
        <is>
          <t>gov.uk EII compensation/exemption history; SI 2024/409</t>
        </is>
      </c>
      <c r="K1375" s="77" t="inlineStr">
        <is>
          <t>stage4_uk r44</t>
        </is>
      </c>
      <c r="L1375" s="77" t="inlineStr">
        <is>
          <t>2026-07-15</t>
        </is>
      </c>
      <c r="M1375" s="77" t="inlineStr">
        <is>
          <t>Y</t>
        </is>
      </c>
      <c r="N1375" s="77">
        <f>IF(ISNUMBER(timeseries!Q11),timeseries!Q11*IF(ISNUMBER(stage4_uk!Q44),stage4_uk!Q44,0),"")</f>
        <v/>
      </c>
      <c r="O1375" s="77" t="inlineStr">
        <is>
          <t>GBP/MWh nominal</t>
        </is>
      </c>
    </row>
    <row r="1376" ht="15" customHeight="1" s="78">
      <c r="A1376" s="77" t="inlineStr">
        <is>
          <t>UK</t>
        </is>
      </c>
      <c r="B1376" s="77" t="n">
        <v>2023</v>
      </c>
      <c r="C1376" s="77" t="inlineStr">
        <is>
          <t>medium</t>
        </is>
      </c>
      <c r="D1376" s="77" t="inlineStr">
        <is>
          <t>E2</t>
        </is>
      </c>
      <c r="E1376" s="77" t="inlineStr">
        <is>
          <t>HATCH — FiT exemption</t>
        </is>
      </c>
      <c r="F1376" s="77" t="inlineStr">
        <is>
          <t>HATCH ii — borne by other electricity users</t>
        </is>
      </c>
      <c r="G1376" s="77" t="inlineStr">
        <is>
          <t>renewables levy relief</t>
        </is>
      </c>
      <c r="H1376" s="77" t="inlineStr">
        <is>
          <t>ii — other electricity users</t>
        </is>
      </c>
      <c r="I1376" s="77">
        <f>IF(ISNUMBER(N1376),N1376*fx_deflator!$I$18*fx_deflator!$M$18,"")</f>
        <v/>
      </c>
      <c r="J1376" s="77" t="inlineStr">
        <is>
          <t>EII FiT exemption (04/2019)</t>
        </is>
      </c>
      <c r="K1376" s="77" t="inlineStr">
        <is>
          <t>stage4_uk r46</t>
        </is>
      </c>
      <c r="L1376" s="77" t="inlineStr">
        <is>
          <t>2026-07-15</t>
        </is>
      </c>
      <c r="M1376" s="77" t="inlineStr">
        <is>
          <t>Y</t>
        </is>
      </c>
      <c r="N1376" s="77">
        <f>IF(ISNUMBER(timeseries!Q12),timeseries!Q12*IF(ISNUMBER(stage4_uk!Q46),stage4_uk!Q46,0),"")</f>
        <v/>
      </c>
      <c r="O1376" s="77" t="inlineStr">
        <is>
          <t>GBP/MWh nominal</t>
        </is>
      </c>
    </row>
    <row r="1377" ht="15" customHeight="1" s="78">
      <c r="A1377" s="77" t="inlineStr">
        <is>
          <t>UK</t>
        </is>
      </c>
      <c r="B1377" s="77" t="n">
        <v>2024</v>
      </c>
      <c r="C1377" s="77" t="inlineStr">
        <is>
          <t>medium</t>
        </is>
      </c>
      <c r="D1377" s="77" t="inlineStr">
        <is>
          <t>E2</t>
        </is>
      </c>
      <c r="E1377" s="77" t="inlineStr">
        <is>
          <t>HATCH — NCC network-charge relief, funded by EII Support Levy on suppliers</t>
        </is>
      </c>
      <c r="F1377" s="77" t="inlineStr">
        <is>
          <t>HATCH ii — borne by other electricity users</t>
        </is>
      </c>
      <c r="G1377" s="77" t="inlineStr">
        <is>
          <t>network relief (NCC/Supercharger)</t>
        </is>
      </c>
      <c r="H1377" s="77" t="inlineStr">
        <is>
          <t>ii — other electricity users (ESL)</t>
        </is>
      </c>
      <c r="I1377" s="77">
        <f>IF(ISNUMBER(N1377),N1377*fx_deflator!$I$19*fx_deflator!$M$19,"")</f>
        <v/>
      </c>
      <c r="J1377" s="77" t="inlineStr">
        <is>
          <t>SI 2026/243; DBT consultation response 31.10.2025; D31</t>
        </is>
      </c>
      <c r="K1377" s="77" t="inlineStr">
        <is>
          <t>stage4_uk r48/53</t>
        </is>
      </c>
      <c r="L1377" s="77" t="inlineStr">
        <is>
          <t>2026-07-15</t>
        </is>
      </c>
      <c r="M1377" s="77" t="inlineStr">
        <is>
          <t>Y</t>
        </is>
      </c>
      <c r="N1377" s="77">
        <f>(timeseries!R23+timeseries!R24+timeseries!R25+timeseries!R26+timeseries!R8)*IF(ISNUMBER(stage4_uk!R48),stage4_uk!R48,0)</f>
        <v/>
      </c>
      <c r="O1377" s="77" t="inlineStr">
        <is>
          <t>GBP/MWh nominal</t>
        </is>
      </c>
    </row>
    <row r="1378" ht="15" customHeight="1" s="78">
      <c r="A1378" s="77" t="inlineStr">
        <is>
          <t>UK</t>
        </is>
      </c>
      <c r="B1378" s="77" t="n">
        <v>2024</v>
      </c>
      <c r="C1378" s="77" t="inlineStr">
        <is>
          <t>medium</t>
        </is>
      </c>
      <c r="D1378" s="77" t="inlineStr">
        <is>
          <t>E2</t>
        </is>
      </c>
      <c r="E1378" s="77" t="inlineStr">
        <is>
          <t>HATCH — RO exemption (socialised to non-exempt consumers)</t>
        </is>
      </c>
      <c r="F1378" s="77" t="inlineStr">
        <is>
          <t>HATCH ii — borne by other electricity users</t>
        </is>
      </c>
      <c r="G1378" s="77" t="inlineStr">
        <is>
          <t>renewables levy relief</t>
        </is>
      </c>
      <c r="H1378" s="77" t="inlineStr">
        <is>
          <t>ii — other electricity users</t>
        </is>
      </c>
      <c r="I1378" s="77">
        <f>IF(ISNUMBER(N1378),N1378*fx_deflator!$I$19*fx_deflator!$M$19,"")</f>
        <v/>
      </c>
      <c r="J1378" s="77" t="inlineStr">
        <is>
          <t>EII RO exemption (85 pct 04/2018; 100 pct 04/2024)</t>
        </is>
      </c>
      <c r="K1378" s="77" t="inlineStr">
        <is>
          <t>stage4_uk r45</t>
        </is>
      </c>
      <c r="L1378" s="77" t="inlineStr">
        <is>
          <t>2026-07-15</t>
        </is>
      </c>
      <c r="M1378" s="77" t="inlineStr">
        <is>
          <t>Y</t>
        </is>
      </c>
      <c r="N1378" s="77">
        <f>IF(ISNUMBER(timeseries!R10),timeseries!R10*IF(ISNUMBER(stage4_uk!R45),stage4_uk!R45,0),"")</f>
        <v/>
      </c>
      <c r="O1378" s="77" t="inlineStr">
        <is>
          <t>GBP/MWh nominal</t>
        </is>
      </c>
    </row>
    <row r="1379" ht="15" customHeight="1" s="78">
      <c r="A1379" s="77" t="inlineStr">
        <is>
          <t>UK</t>
        </is>
      </c>
      <c r="B1379" s="77" t="n">
        <v>2024</v>
      </c>
      <c r="C1379" s="77" t="inlineStr">
        <is>
          <t>medium</t>
        </is>
      </c>
      <c r="D1379" s="77" t="inlineStr">
        <is>
          <t>E2</t>
        </is>
      </c>
      <c r="E1379" s="77" t="inlineStr">
        <is>
          <t>HATCH — CfD relief (compensation 2016-23 -&gt; exemption 04/2024)</t>
        </is>
      </c>
      <c r="F1379" s="77" t="inlineStr">
        <is>
          <t>HATCH ii/iii — borne by others</t>
        </is>
      </c>
      <c r="G1379" s="77" t="inlineStr">
        <is>
          <t>renewables levy relief</t>
        </is>
      </c>
      <c r="H1379" s="77" t="inlineStr">
        <is>
          <t>ii — other electricity users (exemption)</t>
        </is>
      </c>
      <c r="I1379" s="77">
        <f>IF(ISNUMBER(N1379),N1379*fx_deflator!$I$19*fx_deflator!$M$19,"")</f>
        <v/>
      </c>
      <c r="J1379" s="77" t="inlineStr">
        <is>
          <t>gov.uk EII compensation/exemption history; SI 2024/409</t>
        </is>
      </c>
      <c r="K1379" s="77" t="inlineStr">
        <is>
          <t>stage4_uk r44</t>
        </is>
      </c>
      <c r="L1379" s="77" t="inlineStr">
        <is>
          <t>2026-07-15</t>
        </is>
      </c>
      <c r="M1379" s="77" t="inlineStr">
        <is>
          <t>Y</t>
        </is>
      </c>
      <c r="N1379" s="77">
        <f>IF(ISNUMBER(timeseries!R11),timeseries!R11*IF(ISNUMBER(stage4_uk!R44),stage4_uk!R44,0),"")</f>
        <v/>
      </c>
      <c r="O1379" s="77" t="inlineStr">
        <is>
          <t>GBP/MWh nominal</t>
        </is>
      </c>
    </row>
    <row r="1380" ht="15" customHeight="1" s="78">
      <c r="A1380" s="77" t="inlineStr">
        <is>
          <t>UK</t>
        </is>
      </c>
      <c r="B1380" s="77" t="n">
        <v>2024</v>
      </c>
      <c r="C1380" s="77" t="inlineStr">
        <is>
          <t>medium</t>
        </is>
      </c>
      <c r="D1380" s="77" t="inlineStr">
        <is>
          <t>E2</t>
        </is>
      </c>
      <c r="E1380" s="77" t="inlineStr">
        <is>
          <t>HATCH — FiT exemption</t>
        </is>
      </c>
      <c r="F1380" s="77" t="inlineStr">
        <is>
          <t>HATCH ii — borne by other electricity users</t>
        </is>
      </c>
      <c r="G1380" s="77" t="inlineStr">
        <is>
          <t>renewables levy relief</t>
        </is>
      </c>
      <c r="H1380" s="77" t="inlineStr">
        <is>
          <t>ii — other electricity users</t>
        </is>
      </c>
      <c r="I1380" s="77">
        <f>IF(ISNUMBER(N1380),N1380*fx_deflator!$I$19*fx_deflator!$M$19,"")</f>
        <v/>
      </c>
      <c r="J1380" s="77" t="inlineStr">
        <is>
          <t>EII FiT exemption (04/2019)</t>
        </is>
      </c>
      <c r="K1380" s="77" t="inlineStr">
        <is>
          <t>stage4_uk r46</t>
        </is>
      </c>
      <c r="L1380" s="77" t="inlineStr">
        <is>
          <t>2026-07-15</t>
        </is>
      </c>
      <c r="M1380" s="77" t="inlineStr">
        <is>
          <t>Y</t>
        </is>
      </c>
      <c r="N1380" s="77">
        <f>IF(ISNUMBER(timeseries!R12),timeseries!R12*IF(ISNUMBER(stage4_uk!R46),stage4_uk!R46,0),"")</f>
        <v/>
      </c>
      <c r="O1380" s="77" t="inlineStr">
        <is>
          <t>GBP/MWh nominal</t>
        </is>
      </c>
    </row>
    <row r="1381" ht="15" customHeight="1" s="78">
      <c r="A1381" s="77" t="inlineStr">
        <is>
          <t>UK</t>
        </is>
      </c>
      <c r="B1381" s="77" t="n">
        <v>2024</v>
      </c>
      <c r="C1381" s="77" t="inlineStr">
        <is>
          <t>medium</t>
        </is>
      </c>
      <c r="D1381" s="77" t="inlineStr">
        <is>
          <t>E2</t>
        </is>
      </c>
      <c r="E1381" s="77" t="inlineStr">
        <is>
          <t>HATCH — Capacity Market exemption (10/2024)</t>
        </is>
      </c>
      <c r="F1381" s="77" t="inlineStr">
        <is>
          <t>HATCH ii — borne by other electricity users</t>
        </is>
      </c>
      <c r="G1381" s="77" t="inlineStr">
        <is>
          <t>capacity market relief</t>
        </is>
      </c>
      <c r="H1381" s="77" t="inlineStr">
        <is>
          <t>ii — other electricity users</t>
        </is>
      </c>
      <c r="I1381" s="77">
        <f>IF(ISNUMBER(N1381),N1381*fx_deflator!$I$19*fx_deflator!$M$19,"")</f>
        <v/>
      </c>
      <c r="J1381" s="77" t="inlineStr">
        <is>
          <t>SI 2024/434 (CM EII exclusion)</t>
        </is>
      </c>
      <c r="K1381" s="77" t="inlineStr">
        <is>
          <t>stage4_uk r47</t>
        </is>
      </c>
      <c r="L1381" s="77" t="inlineStr">
        <is>
          <t>2026-07-15</t>
        </is>
      </c>
      <c r="M1381" s="77" t="inlineStr">
        <is>
          <t>Y</t>
        </is>
      </c>
      <c r="N1381" s="77">
        <f>IF(ISNUMBER(timeseries!R13),timeseries!R13*IF(ISNUMBER(stage4_uk!R47),stage4_uk!R47,0),"")</f>
        <v/>
      </c>
      <c r="O1381" s="77" t="inlineStr">
        <is>
          <t>GBP/MWh nominal</t>
        </is>
      </c>
    </row>
    <row r="1382" ht="15" customHeight="1" s="78">
      <c r="A1382" s="77" t="inlineStr">
        <is>
          <t>UK</t>
        </is>
      </c>
      <c r="B1382" s="77" t="n">
        <v>2025</v>
      </c>
      <c r="C1382" s="77" t="inlineStr">
        <is>
          <t>medium</t>
        </is>
      </c>
      <c r="D1382" s="77" t="inlineStr">
        <is>
          <t>E2</t>
        </is>
      </c>
      <c r="E1382" s="77" t="inlineStr">
        <is>
          <t>HATCH — NCC network-charge relief, funded by EII Support Levy on suppliers</t>
        </is>
      </c>
      <c r="F1382" s="77" t="inlineStr">
        <is>
          <t>HATCH ii — borne by other electricity users</t>
        </is>
      </c>
      <c r="G1382" s="77" t="inlineStr">
        <is>
          <t>network relief (NCC/Supercharger)</t>
        </is>
      </c>
      <c r="H1382" s="77" t="inlineStr">
        <is>
          <t>ii — other electricity users (ESL)</t>
        </is>
      </c>
      <c r="I1382" s="77">
        <f>IF(ISNUMBER(N1382),N1382*fx_deflator!$I$20*fx_deflator!$M$20,"")</f>
        <v/>
      </c>
      <c r="J1382" s="77" t="inlineStr">
        <is>
          <t>SI 2026/243; DBT consultation response 31.10.2025; D31</t>
        </is>
      </c>
      <c r="K1382" s="77" t="inlineStr">
        <is>
          <t>stage4_uk r48/53</t>
        </is>
      </c>
      <c r="L1382" s="77" t="inlineStr">
        <is>
          <t>2026-07-15</t>
        </is>
      </c>
      <c r="M1382" s="77" t="inlineStr">
        <is>
          <t>Y</t>
        </is>
      </c>
      <c r="N1382" s="77">
        <f>(timeseries!S23+timeseries!S24+timeseries!S25+timeseries!S26+timeseries!S8)*IF(ISNUMBER(stage4_uk!S48),stage4_uk!S48,0)</f>
        <v/>
      </c>
      <c r="O1382" s="77" t="inlineStr">
        <is>
          <t>GBP/MWh nominal</t>
        </is>
      </c>
    </row>
    <row r="1383" ht="15" customHeight="1" s="78">
      <c r="A1383" s="77" t="inlineStr">
        <is>
          <t>UK</t>
        </is>
      </c>
      <c r="B1383" s="77" t="n">
        <v>2025</v>
      </c>
      <c r="C1383" s="77" t="inlineStr">
        <is>
          <t>medium</t>
        </is>
      </c>
      <c r="D1383" s="77" t="inlineStr">
        <is>
          <t>E2</t>
        </is>
      </c>
      <c r="E1383" s="77" t="inlineStr">
        <is>
          <t>HATCH — RO exemption (socialised to non-exempt consumers)</t>
        </is>
      </c>
      <c r="F1383" s="77" t="inlineStr">
        <is>
          <t>HATCH ii — borne by other electricity users</t>
        </is>
      </c>
      <c r="G1383" s="77" t="inlineStr">
        <is>
          <t>renewables levy relief</t>
        </is>
      </c>
      <c r="H1383" s="77" t="inlineStr">
        <is>
          <t>ii — other electricity users</t>
        </is>
      </c>
      <c r="I1383" s="77">
        <f>IF(ISNUMBER(N1383),N1383*fx_deflator!$I$20*fx_deflator!$M$20,"")</f>
        <v/>
      </c>
      <c r="J1383" s="77" t="inlineStr">
        <is>
          <t>EII RO exemption (85 pct 04/2018; 100 pct 04/2024)</t>
        </is>
      </c>
      <c r="K1383" s="77" t="inlineStr">
        <is>
          <t>stage4_uk r45</t>
        </is>
      </c>
      <c r="L1383" s="77" t="inlineStr">
        <is>
          <t>2026-07-15</t>
        </is>
      </c>
      <c r="M1383" s="77" t="inlineStr">
        <is>
          <t>Y</t>
        </is>
      </c>
      <c r="N1383" s="77">
        <f>IF(ISNUMBER(timeseries!S10),timeseries!S10*IF(ISNUMBER(stage4_uk!S45),stage4_uk!S45,0),"")</f>
        <v/>
      </c>
      <c r="O1383" s="77" t="inlineStr">
        <is>
          <t>GBP/MWh nominal</t>
        </is>
      </c>
    </row>
    <row r="1384" ht="15" customHeight="1" s="78">
      <c r="A1384" s="77" t="inlineStr">
        <is>
          <t>UK</t>
        </is>
      </c>
      <c r="B1384" s="77" t="n">
        <v>2025</v>
      </c>
      <c r="C1384" s="77" t="inlineStr">
        <is>
          <t>medium</t>
        </is>
      </c>
      <c r="D1384" s="77" t="inlineStr">
        <is>
          <t>E2</t>
        </is>
      </c>
      <c r="E1384" s="77" t="inlineStr">
        <is>
          <t>HATCH — CfD relief (compensation 2016-23 -&gt; exemption 04/2024)</t>
        </is>
      </c>
      <c r="F1384" s="77" t="inlineStr">
        <is>
          <t>HATCH ii/iii — borne by others</t>
        </is>
      </c>
      <c r="G1384" s="77" t="inlineStr">
        <is>
          <t>renewables levy relief</t>
        </is>
      </c>
      <c r="H1384" s="77" t="inlineStr">
        <is>
          <t>ii — other electricity users (exemption)</t>
        </is>
      </c>
      <c r="I1384" s="77">
        <f>IF(ISNUMBER(N1384),N1384*fx_deflator!$I$20*fx_deflator!$M$20,"")</f>
        <v/>
      </c>
      <c r="J1384" s="77" t="inlineStr">
        <is>
          <t>gov.uk EII compensation/exemption history; SI 2024/409</t>
        </is>
      </c>
      <c r="K1384" s="77" t="inlineStr">
        <is>
          <t>stage4_uk r44</t>
        </is>
      </c>
      <c r="L1384" s="77" t="inlineStr">
        <is>
          <t>2026-07-15</t>
        </is>
      </c>
      <c r="M1384" s="77" t="inlineStr">
        <is>
          <t>Y</t>
        </is>
      </c>
      <c r="N1384" s="77">
        <f>IF(ISNUMBER(timeseries!S11),timeseries!S11*IF(ISNUMBER(stage4_uk!S44),stage4_uk!S44,0),"")</f>
        <v/>
      </c>
      <c r="O1384" s="77" t="inlineStr">
        <is>
          <t>GBP/MWh nominal</t>
        </is>
      </c>
    </row>
    <row r="1385" ht="15" customHeight="1" s="78">
      <c r="A1385" s="77" t="inlineStr">
        <is>
          <t>UK</t>
        </is>
      </c>
      <c r="B1385" s="77" t="n">
        <v>2025</v>
      </c>
      <c r="C1385" s="77" t="inlineStr">
        <is>
          <t>medium</t>
        </is>
      </c>
      <c r="D1385" s="77" t="inlineStr">
        <is>
          <t>E2</t>
        </is>
      </c>
      <c r="E1385" s="77" t="inlineStr">
        <is>
          <t>HATCH — Capacity Market exemption (10/2024)</t>
        </is>
      </c>
      <c r="F1385" s="77" t="inlineStr">
        <is>
          <t>HATCH ii — borne by other electricity users</t>
        </is>
      </c>
      <c r="G1385" s="77" t="inlineStr">
        <is>
          <t>capacity market relief</t>
        </is>
      </c>
      <c r="H1385" s="77" t="inlineStr">
        <is>
          <t>ii — other electricity users</t>
        </is>
      </c>
      <c r="I1385" s="77">
        <f>IF(ISNUMBER(N1385),N1385*fx_deflator!$I$20*fx_deflator!$M$20,"")</f>
        <v/>
      </c>
      <c r="J1385" s="77" t="inlineStr">
        <is>
          <t>SI 2024/434 (CM EII exclusion)</t>
        </is>
      </c>
      <c r="K1385" s="77" t="inlineStr">
        <is>
          <t>stage4_uk r47</t>
        </is>
      </c>
      <c r="L1385" s="77" t="inlineStr">
        <is>
          <t>2026-07-15</t>
        </is>
      </c>
      <c r="M1385" s="77" t="inlineStr">
        <is>
          <t>Y</t>
        </is>
      </c>
      <c r="N1385" s="77">
        <f>IF(ISNUMBER(timeseries!S13),timeseries!S13*IF(ISNUMBER(stage4_uk!S47),stage4_uk!S47,0),"")</f>
        <v/>
      </c>
      <c r="O1385" s="77" t="inlineStr">
        <is>
          <t>GBP/MWh nominal</t>
        </is>
      </c>
    </row>
    <row r="1386" ht="15" customHeight="1" s="78">
      <c r="A1386" s="77" t="inlineStr">
        <is>
          <t>DE</t>
        </is>
      </c>
      <c r="B1386" s="77" t="n">
        <v>2010</v>
      </c>
      <c r="C1386" s="77" t="inlineStr">
        <is>
          <t>large</t>
        </is>
      </c>
      <c r="D1386" s="77" t="inlineStr">
        <is>
          <t>E2</t>
        </is>
      </c>
      <c r="E1386" s="77" t="inlineStr">
        <is>
          <t>HATCH — Stromsteuer relief (foregone general taxation)</t>
        </is>
      </c>
      <c r="F1386" s="77" t="inlineStr">
        <is>
          <t>HATCH iii — borne by the taxpayer</t>
        </is>
      </c>
      <c r="G1386" s="77" t="inlineStr">
        <is>
          <t>electricity tax relief</t>
        </is>
      </c>
      <c r="H1386" s="77" t="inlineStr">
        <is>
          <t>iii — taxpayer (foregone revenue)</t>
        </is>
      </c>
      <c r="I1386" s="77">
        <f>IF(ISNUMBER(N1386),N1386*fx_deflator!$J$5*fx_deflator!$M$5,"")</f>
        <v/>
      </c>
      <c r="J1386" s="77" t="inlineStr">
        <is>
          <t>StromStG sec.9b/sec.10</t>
        </is>
      </c>
      <c r="K1386" s="77" t="inlineStr">
        <is>
          <t>stage4_de r34-35</t>
        </is>
      </c>
      <c r="L1386" s="77" t="inlineStr">
        <is>
          <t>2026-07-15</t>
        </is>
      </c>
      <c r="M1386" s="77" t="inlineStr">
        <is>
          <t>N</t>
        </is>
      </c>
      <c r="N1386" s="77">
        <f>IF(AND(ISNUMBER(stage4_de!D34),ISNUMBER(stage4_de!D35)),stage4_de!D34-stage4_de!D35,"")</f>
        <v/>
      </c>
      <c r="O1386" s="77" t="inlineStr">
        <is>
          <t>EUR/MWh nominal</t>
        </is>
      </c>
    </row>
    <row r="1387" ht="15" customHeight="1" s="78">
      <c r="A1387" s="77" t="inlineStr">
        <is>
          <t>DE</t>
        </is>
      </c>
      <c r="B1387" s="77" t="n">
        <v>2010</v>
      </c>
      <c r="C1387" s="77" t="inlineStr">
        <is>
          <t>medium</t>
        </is>
      </c>
      <c r="D1387" s="77" t="inlineStr">
        <is>
          <t>E2</t>
        </is>
      </c>
      <c r="E1387" s="77" t="inlineStr">
        <is>
          <t>HATCH — Stromsteuer relief (foregone general taxation)</t>
        </is>
      </c>
      <c r="F1387" s="77" t="inlineStr">
        <is>
          <t>HATCH iii — borne by the taxpayer</t>
        </is>
      </c>
      <c r="G1387" s="77" t="inlineStr">
        <is>
          <t>electricity tax relief</t>
        </is>
      </c>
      <c r="H1387" s="77" t="inlineStr">
        <is>
          <t>iii — taxpayer (foregone revenue)</t>
        </is>
      </c>
      <c r="I1387" s="77">
        <f>IF(ISNUMBER(N1387),N1387*fx_deflator!$J$5*fx_deflator!$M$5,"")</f>
        <v/>
      </c>
      <c r="J1387" s="77" t="inlineStr">
        <is>
          <t>StromStG sec.9b/sec.10</t>
        </is>
      </c>
      <c r="K1387" s="77" t="inlineStr">
        <is>
          <t>stage4_de r34-35</t>
        </is>
      </c>
      <c r="L1387" s="77" t="inlineStr">
        <is>
          <t>2026-07-15</t>
        </is>
      </c>
      <c r="M1387" s="77" t="inlineStr">
        <is>
          <t>N</t>
        </is>
      </c>
      <c r="N1387" s="77">
        <f>IF(AND(ISNUMBER(stage4_de!D34),ISNUMBER(stage4_de!D35)),stage4_de!D34-stage4_de!D35,"")</f>
        <v/>
      </c>
      <c r="O1387" s="77" t="inlineStr">
        <is>
          <t>EUR/MWh nominal</t>
        </is>
      </c>
    </row>
    <row r="1388" ht="15" customHeight="1" s="78">
      <c r="A1388" s="77" t="inlineStr">
        <is>
          <t>DE</t>
        </is>
      </c>
      <c r="B1388" s="77" t="n">
        <v>2011</v>
      </c>
      <c r="C1388" s="77" t="inlineStr">
        <is>
          <t>large</t>
        </is>
      </c>
      <c r="D1388" s="77" t="inlineStr">
        <is>
          <t>E2</t>
        </is>
      </c>
      <c r="E1388" s="77" t="inlineStr">
        <is>
          <t>HATCH — sec.19(2) network relief, recovered via sec.19-Umlage on all users</t>
        </is>
      </c>
      <c r="F1388" s="77" t="inlineStr">
        <is>
          <t>HATCH ii — borne by other electricity users</t>
        </is>
      </c>
      <c r="G1388" s="77" t="inlineStr">
        <is>
          <t>network relief (sec.19 StromNEV)</t>
        </is>
      </c>
      <c r="H1388" s="77" t="inlineStr">
        <is>
          <t>ii — other electricity users (sec.19-Umlage)</t>
        </is>
      </c>
      <c r="I1388" s="77">
        <f>IF(ISNUMBER(N1388),N1388*fx_deflator!$J$6*fx_deflator!$M$6,"")</f>
        <v/>
      </c>
      <c r="J1388" s="77" t="inlineStr">
        <is>
          <t>StromNEV sec.19(2); D8/D32</t>
        </is>
      </c>
      <c r="K1388" s="77" t="inlineStr">
        <is>
          <t>timeseries r33/42</t>
        </is>
      </c>
      <c r="L1388" s="77" t="inlineStr">
        <is>
          <t>2026-07-15</t>
        </is>
      </c>
      <c r="M1388" s="77" t="inlineStr">
        <is>
          <t>Y</t>
        </is>
      </c>
      <c r="N1388" s="77">
        <f>IF(AND(ISNUMBER(timeseries!E33),ISNUMBER(timeseries!E42)),timeseries!E33-timeseries!E42,"")</f>
        <v/>
      </c>
      <c r="O1388" s="77" t="inlineStr">
        <is>
          <t>EUR/MWh nominal</t>
        </is>
      </c>
    </row>
    <row r="1389" ht="15" customHeight="1" s="78">
      <c r="A1389" s="77" t="inlineStr">
        <is>
          <t>DE</t>
        </is>
      </c>
      <c r="B1389" s="77" t="n">
        <v>2011</v>
      </c>
      <c r="C1389" s="77" t="inlineStr">
        <is>
          <t>large</t>
        </is>
      </c>
      <c r="D1389" s="77" t="inlineStr">
        <is>
          <t>E2</t>
        </is>
      </c>
      <c r="E1389" s="77" t="inlineStr">
        <is>
          <t>HATCH — Stromsteuer relief (foregone general taxation)</t>
        </is>
      </c>
      <c r="F1389" s="77" t="inlineStr">
        <is>
          <t>HATCH iii — borne by the taxpayer</t>
        </is>
      </c>
      <c r="G1389" s="77" t="inlineStr">
        <is>
          <t>electricity tax relief</t>
        </is>
      </c>
      <c r="H1389" s="77" t="inlineStr">
        <is>
          <t>iii — taxpayer (foregone revenue)</t>
        </is>
      </c>
      <c r="I1389" s="77">
        <f>IF(ISNUMBER(N1389),N1389*fx_deflator!$J$6*fx_deflator!$M$6,"")</f>
        <v/>
      </c>
      <c r="J1389" s="77" t="inlineStr">
        <is>
          <t>StromStG sec.9b/sec.10</t>
        </is>
      </c>
      <c r="K1389" s="77" t="inlineStr">
        <is>
          <t>stage4_de r34-35</t>
        </is>
      </c>
      <c r="L1389" s="77" t="inlineStr">
        <is>
          <t>2026-07-15</t>
        </is>
      </c>
      <c r="M1389" s="77" t="inlineStr">
        <is>
          <t>N</t>
        </is>
      </c>
      <c r="N1389" s="77">
        <f>IF(AND(ISNUMBER(stage4_de!E34),ISNUMBER(stage4_de!E35)),stage4_de!E34-stage4_de!E35,"")</f>
        <v/>
      </c>
      <c r="O1389" s="77" t="inlineStr">
        <is>
          <t>EUR/MWh nominal</t>
        </is>
      </c>
    </row>
    <row r="1390" ht="15" customHeight="1" s="78">
      <c r="A1390" s="77" t="inlineStr">
        <is>
          <t>DE</t>
        </is>
      </c>
      <c r="B1390" s="77" t="n">
        <v>2011</v>
      </c>
      <c r="C1390" s="77" t="inlineStr">
        <is>
          <t>medium</t>
        </is>
      </c>
      <c r="D1390" s="77" t="inlineStr">
        <is>
          <t>E2</t>
        </is>
      </c>
      <c r="E1390" s="77" t="inlineStr">
        <is>
          <t>HATCH — Stromsteuer relief (foregone general taxation)</t>
        </is>
      </c>
      <c r="F1390" s="77" t="inlineStr">
        <is>
          <t>HATCH iii — borne by the taxpayer</t>
        </is>
      </c>
      <c r="G1390" s="77" t="inlineStr">
        <is>
          <t>electricity tax relief</t>
        </is>
      </c>
      <c r="H1390" s="77" t="inlineStr">
        <is>
          <t>iii — taxpayer (foregone revenue)</t>
        </is>
      </c>
      <c r="I1390" s="77">
        <f>IF(ISNUMBER(N1390),N1390*fx_deflator!$J$6*fx_deflator!$M$6,"")</f>
        <v/>
      </c>
      <c r="J1390" s="77" t="inlineStr">
        <is>
          <t>StromStG sec.9b/sec.10</t>
        </is>
      </c>
      <c r="K1390" s="77" t="inlineStr">
        <is>
          <t>stage4_de r34-35</t>
        </is>
      </c>
      <c r="L1390" s="77" t="inlineStr">
        <is>
          <t>2026-07-15</t>
        </is>
      </c>
      <c r="M1390" s="77" t="inlineStr">
        <is>
          <t>N</t>
        </is>
      </c>
      <c r="N1390" s="77">
        <f>IF(AND(ISNUMBER(stage4_de!E34),ISNUMBER(stage4_de!E35)),stage4_de!E34-stage4_de!E35,"")</f>
        <v/>
      </c>
      <c r="O1390" s="77" t="inlineStr">
        <is>
          <t>EUR/MWh nominal</t>
        </is>
      </c>
    </row>
    <row r="1391" ht="15" customHeight="1" s="78">
      <c r="A1391" s="77" t="inlineStr">
        <is>
          <t>DE</t>
        </is>
      </c>
      <c r="B1391" s="77" t="n">
        <v>2012</v>
      </c>
      <c r="C1391" s="77" t="inlineStr">
        <is>
          <t>large</t>
        </is>
      </c>
      <c r="D1391" s="77" t="inlineStr">
        <is>
          <t>E2</t>
        </is>
      </c>
      <c r="E1391" s="77" t="inlineStr">
        <is>
          <t>HATCH — sec.19(2) network relief, recovered via sec.19-Umlage on all users</t>
        </is>
      </c>
      <c r="F1391" s="77" t="inlineStr">
        <is>
          <t>HATCH ii — borne by other electricity users</t>
        </is>
      </c>
      <c r="G1391" s="77" t="inlineStr">
        <is>
          <t>network relief (sec.19 StromNEV)</t>
        </is>
      </c>
      <c r="H1391" s="77" t="inlineStr">
        <is>
          <t>ii — other electricity users (sec.19-Umlage)</t>
        </is>
      </c>
      <c r="I1391" s="77">
        <f>IF(ISNUMBER(N1391),N1391*fx_deflator!$J$7*fx_deflator!$M$7,"")</f>
        <v/>
      </c>
      <c r="J1391" s="77" t="inlineStr">
        <is>
          <t>StromNEV sec.19(2); D8/D32</t>
        </is>
      </c>
      <c r="K1391" s="77" t="inlineStr">
        <is>
          <t>timeseries r33/42</t>
        </is>
      </c>
      <c r="L1391" s="77" t="inlineStr">
        <is>
          <t>2026-07-15</t>
        </is>
      </c>
      <c r="M1391" s="77" t="inlineStr">
        <is>
          <t>Y</t>
        </is>
      </c>
      <c r="N1391" s="77">
        <f>IF(AND(ISNUMBER(timeseries!F33),ISNUMBER(timeseries!F42)),timeseries!F33-timeseries!F42,"")</f>
        <v/>
      </c>
      <c r="O1391" s="77" t="inlineStr">
        <is>
          <t>EUR/MWh nominal</t>
        </is>
      </c>
    </row>
    <row r="1392" ht="15" customHeight="1" s="78">
      <c r="A1392" s="77" t="inlineStr">
        <is>
          <t>DE</t>
        </is>
      </c>
      <c r="B1392" s="77" t="n">
        <v>2012</v>
      </c>
      <c r="C1392" s="77" t="inlineStr">
        <is>
          <t>large</t>
        </is>
      </c>
      <c r="D1392" s="77" t="inlineStr">
        <is>
          <t>E2</t>
        </is>
      </c>
      <c r="E1392" s="77" t="inlineStr">
        <is>
          <t>HATCH — EEG BesAR relief (socialised via higher Umlage on others)</t>
        </is>
      </c>
      <c r="F1392" s="77" t="inlineStr">
        <is>
          <t>HATCH ii — borne by other electricity users</t>
        </is>
      </c>
      <c r="G1392" s="77" t="inlineStr">
        <is>
          <t>renewables levy relief</t>
        </is>
      </c>
      <c r="H1392" s="77" t="inlineStr">
        <is>
          <t>ii — other electricity users</t>
        </is>
      </c>
      <c r="I1392" s="77">
        <f>IF(ISNUMBER(N1392),N1392*fx_deflator!$J$7*fx_deflator!$M$7,"")</f>
        <v/>
      </c>
      <c r="J1392" s="77" t="inlineStr">
        <is>
          <t>EEG sec.41/sec.64 BesAR</t>
        </is>
      </c>
      <c r="K1392" s="77" t="inlineStr">
        <is>
          <t>timeseries r35/45</t>
        </is>
      </c>
      <c r="L1392" s="77" t="inlineStr">
        <is>
          <t>2026-07-15</t>
        </is>
      </c>
      <c r="M1392" s="77" t="inlineStr">
        <is>
          <t>Y</t>
        </is>
      </c>
      <c r="N1392" s="77">
        <f>IF(AND(ISNUMBER(timeseries!F35),ISNUMBER(timeseries!F45)),timeseries!F35-timeseries!F45,"")</f>
        <v/>
      </c>
      <c r="O1392" s="77" t="inlineStr">
        <is>
          <t>EUR/MWh nominal</t>
        </is>
      </c>
    </row>
    <row r="1393" ht="15" customHeight="1" s="78">
      <c r="A1393" s="77" t="inlineStr">
        <is>
          <t>DE</t>
        </is>
      </c>
      <c r="B1393" s="77" t="n">
        <v>2012</v>
      </c>
      <c r="C1393" s="77" t="inlineStr">
        <is>
          <t>medium</t>
        </is>
      </c>
      <c r="D1393" s="77" t="inlineStr">
        <is>
          <t>E2</t>
        </is>
      </c>
      <c r="E1393" s="77" t="inlineStr">
        <is>
          <t>HATCH — EEG BesAR relief (medium, D24)</t>
        </is>
      </c>
      <c r="F1393" s="77" t="inlineStr">
        <is>
          <t>HATCH ii — borne by other electricity users</t>
        </is>
      </c>
      <c r="G1393" s="77" t="inlineStr">
        <is>
          <t>renewables levy relief</t>
        </is>
      </c>
      <c r="H1393" s="77" t="inlineStr">
        <is>
          <t>ii — other electricity users</t>
        </is>
      </c>
      <c r="I1393" s="77">
        <f>IF(ISNUMBER(N1393),N1393*fx_deflator!$J$7*fx_deflator!$M$7,"")</f>
        <v/>
      </c>
      <c r="J1393" s="77" t="inlineStr">
        <is>
          <t>EEG BesAR; D24</t>
        </is>
      </c>
      <c r="K1393" s="77" t="inlineStr">
        <is>
          <t>timeseries r62</t>
        </is>
      </c>
      <c r="L1393" s="77" t="inlineStr">
        <is>
          <t>2026-07-15</t>
        </is>
      </c>
      <c r="M1393" s="77" t="inlineStr">
        <is>
          <t>Y</t>
        </is>
      </c>
      <c r="N1393" s="77">
        <f>IF(AND(ISNUMBER(stage4_de!F21),ISNUMBER(timeseries!F62)),stage4_de!F21*10-timeseries!F62,"")</f>
        <v/>
      </c>
      <c r="O1393" s="77" t="inlineStr">
        <is>
          <t>EUR/MWh nominal</t>
        </is>
      </c>
    </row>
    <row r="1394" ht="15" customHeight="1" s="78">
      <c r="A1394" s="77" t="inlineStr">
        <is>
          <t>DE</t>
        </is>
      </c>
      <c r="B1394" s="77" t="n">
        <v>2012</v>
      </c>
      <c r="C1394" s="77" t="inlineStr">
        <is>
          <t>large</t>
        </is>
      </c>
      <c r="D1394" s="77" t="inlineStr">
        <is>
          <t>E2</t>
        </is>
      </c>
      <c r="E1394" s="77" t="inlineStr">
        <is>
          <t>HATCH — C-prime reliefs on KWKG/sec.19/Offshore Umlagen</t>
        </is>
      </c>
      <c r="F1394" s="77" t="inlineStr">
        <is>
          <t>HATCH ii — borne by other electricity users</t>
        </is>
      </c>
      <c r="G1394" s="77" t="inlineStr">
        <is>
          <t>levy reliefs (stromintensiv tranches)</t>
        </is>
      </c>
      <c r="H1394" s="77" t="inlineStr">
        <is>
          <t>ii — other electricity users</t>
        </is>
      </c>
      <c r="I1394" s="77">
        <f>IF(ISNUMBER(N1394),N1394*fx_deflator!$J$7*fx_deflator!$M$7,"")</f>
        <v/>
      </c>
      <c r="J1394" s="77" t="inlineStr">
        <is>
          <t>netztransparenz C-prime rates; D25</t>
        </is>
      </c>
      <c r="K1394" s="77" t="inlineStr">
        <is>
          <t>timeseries r36-38 vs r47-49</t>
        </is>
      </c>
      <c r="L1394" s="77" t="inlineStr">
        <is>
          <t>2026-07-15</t>
        </is>
      </c>
      <c r="M1394" s="77" t="inlineStr">
        <is>
          <t>Y</t>
        </is>
      </c>
      <c r="N1394" s="77">
        <f>(N(timeseries!F36)-N(timeseries!F47))+(N(timeseries!F37)-N(timeseries!F48))+(N(timeseries!F38)-N(timeseries!F49))</f>
        <v/>
      </c>
      <c r="O1394" s="77" t="inlineStr">
        <is>
          <t>EUR/MWh nominal</t>
        </is>
      </c>
    </row>
    <row r="1395" ht="15" customHeight="1" s="78">
      <c r="A1395" s="77" t="inlineStr">
        <is>
          <t>DE</t>
        </is>
      </c>
      <c r="B1395" s="77" t="n">
        <v>2012</v>
      </c>
      <c r="C1395" s="77" t="inlineStr">
        <is>
          <t>medium</t>
        </is>
      </c>
      <c r="D1395" s="77" t="inlineStr">
        <is>
          <t>E2</t>
        </is>
      </c>
      <c r="E1395" s="77" t="inlineStr">
        <is>
          <t>HATCH — C-prime reliefs (medium blends)</t>
        </is>
      </c>
      <c r="F1395" s="77" t="inlineStr">
        <is>
          <t>HATCH ii — borne by other electricity users</t>
        </is>
      </c>
      <c r="G1395" s="77" t="inlineStr">
        <is>
          <t>levy reliefs</t>
        </is>
      </c>
      <c r="H1395" s="77" t="inlineStr">
        <is>
          <t>ii — other electricity users</t>
        </is>
      </c>
      <c r="I1395" s="77">
        <f>IF(ISNUMBER(N1395),N1395*fx_deflator!$J$7*fx_deflator!$M$7,"")</f>
        <v/>
      </c>
      <c r="J1395" s="77" t="inlineStr">
        <is>
          <t>netztransparenz; D25</t>
        </is>
      </c>
      <c r="K1395" s="77" t="inlineStr">
        <is>
          <t>timeseries r59/63</t>
        </is>
      </c>
      <c r="L1395" s="77" t="inlineStr">
        <is>
          <t>2026-07-15</t>
        </is>
      </c>
      <c r="M1395" s="77" t="inlineStr">
        <is>
          <t>Y</t>
        </is>
      </c>
      <c r="N1395" s="77">
        <f>(N(timeseries!F59)-N(stage4_de!F21)*10)-N(timeseries!F63)</f>
        <v/>
      </c>
      <c r="O1395" s="77" t="inlineStr">
        <is>
          <t>EUR/MWh nominal</t>
        </is>
      </c>
    </row>
    <row r="1396" ht="15" customHeight="1" s="78">
      <c r="A1396" s="77" t="inlineStr">
        <is>
          <t>DE</t>
        </is>
      </c>
      <c r="B1396" s="77" t="n">
        <v>2012</v>
      </c>
      <c r="C1396" s="77" t="inlineStr">
        <is>
          <t>large</t>
        </is>
      </c>
      <c r="D1396" s="77" t="inlineStr">
        <is>
          <t>E2</t>
        </is>
      </c>
      <c r="E1396" s="77" t="inlineStr">
        <is>
          <t>HATCH — Stromsteuer relief (foregone general taxation)</t>
        </is>
      </c>
      <c r="F1396" s="77" t="inlineStr">
        <is>
          <t>HATCH iii — borne by the taxpayer</t>
        </is>
      </c>
      <c r="G1396" s="77" t="inlineStr">
        <is>
          <t>electricity tax relief</t>
        </is>
      </c>
      <c r="H1396" s="77" t="inlineStr">
        <is>
          <t>iii — taxpayer (foregone revenue)</t>
        </is>
      </c>
      <c r="I1396" s="77">
        <f>IF(ISNUMBER(N1396),N1396*fx_deflator!$J$7*fx_deflator!$M$7,"")</f>
        <v/>
      </c>
      <c r="J1396" s="77" t="inlineStr">
        <is>
          <t>StromStG sec.9b/sec.10</t>
        </is>
      </c>
      <c r="K1396" s="77" t="inlineStr">
        <is>
          <t>stage4_de r34-35</t>
        </is>
      </c>
      <c r="L1396" s="77" t="inlineStr">
        <is>
          <t>2026-07-15</t>
        </is>
      </c>
      <c r="M1396" s="77" t="inlineStr">
        <is>
          <t>N</t>
        </is>
      </c>
      <c r="N1396" s="77">
        <f>IF(AND(ISNUMBER(stage4_de!F34),ISNUMBER(stage4_de!F35)),stage4_de!F34-stage4_de!F35,"")</f>
        <v/>
      </c>
      <c r="O1396" s="77" t="inlineStr">
        <is>
          <t>EUR/MWh nominal</t>
        </is>
      </c>
    </row>
    <row r="1397" ht="15" customHeight="1" s="78">
      <c r="A1397" s="77" t="inlineStr">
        <is>
          <t>DE</t>
        </is>
      </c>
      <c r="B1397" s="77" t="n">
        <v>2012</v>
      </c>
      <c r="C1397" s="77" t="inlineStr">
        <is>
          <t>medium</t>
        </is>
      </c>
      <c r="D1397" s="77" t="inlineStr">
        <is>
          <t>E2</t>
        </is>
      </c>
      <c r="E1397" s="77" t="inlineStr">
        <is>
          <t>HATCH — Stromsteuer relief (foregone general taxation)</t>
        </is>
      </c>
      <c r="F1397" s="77" t="inlineStr">
        <is>
          <t>HATCH iii — borne by the taxpayer</t>
        </is>
      </c>
      <c r="G1397" s="77" t="inlineStr">
        <is>
          <t>electricity tax relief</t>
        </is>
      </c>
      <c r="H1397" s="77" t="inlineStr">
        <is>
          <t>iii — taxpayer (foregone revenue)</t>
        </is>
      </c>
      <c r="I1397" s="77">
        <f>IF(ISNUMBER(N1397),N1397*fx_deflator!$J$7*fx_deflator!$M$7,"")</f>
        <v/>
      </c>
      <c r="J1397" s="77" t="inlineStr">
        <is>
          <t>StromStG sec.9b/sec.10</t>
        </is>
      </c>
      <c r="K1397" s="77" t="inlineStr">
        <is>
          <t>stage4_de r34-35</t>
        </is>
      </c>
      <c r="L1397" s="77" t="inlineStr">
        <is>
          <t>2026-07-15</t>
        </is>
      </c>
      <c r="M1397" s="77" t="inlineStr">
        <is>
          <t>N</t>
        </is>
      </c>
      <c r="N1397" s="77">
        <f>IF(AND(ISNUMBER(stage4_de!F34),ISNUMBER(stage4_de!F35)),stage4_de!F34-stage4_de!F35,"")</f>
        <v/>
      </c>
      <c r="O1397" s="77" t="inlineStr">
        <is>
          <t>EUR/MWh nominal</t>
        </is>
      </c>
    </row>
    <row r="1398" ht="15" customHeight="1" s="78">
      <c r="A1398" s="77" t="inlineStr">
        <is>
          <t>DE</t>
        </is>
      </c>
      <c r="B1398" s="77" t="n">
        <v>2013</v>
      </c>
      <c r="C1398" s="77" t="inlineStr">
        <is>
          <t>large</t>
        </is>
      </c>
      <c r="D1398" s="77" t="inlineStr">
        <is>
          <t>E2</t>
        </is>
      </c>
      <c r="E1398" s="77" t="inlineStr">
        <is>
          <t>HATCH — sec.19(2) network relief, recovered via sec.19-Umlage on all users</t>
        </is>
      </c>
      <c r="F1398" s="77" t="inlineStr">
        <is>
          <t>HATCH ii — borne by other electricity users</t>
        </is>
      </c>
      <c r="G1398" s="77" t="inlineStr">
        <is>
          <t>network relief (sec.19 StromNEV)</t>
        </is>
      </c>
      <c r="H1398" s="77" t="inlineStr">
        <is>
          <t>ii — other electricity users (sec.19-Umlage)</t>
        </is>
      </c>
      <c r="I1398" s="77">
        <f>IF(ISNUMBER(N1398),N1398*fx_deflator!$J$8*fx_deflator!$M$8,"")</f>
        <v/>
      </c>
      <c r="J1398" s="77" t="inlineStr">
        <is>
          <t>StromNEV sec.19(2); D8/D32</t>
        </is>
      </c>
      <c r="K1398" s="77" t="inlineStr">
        <is>
          <t>timeseries r33/42</t>
        </is>
      </c>
      <c r="L1398" s="77" t="inlineStr">
        <is>
          <t>2026-07-15</t>
        </is>
      </c>
      <c r="M1398" s="77" t="inlineStr">
        <is>
          <t>Y</t>
        </is>
      </c>
      <c r="N1398" s="77">
        <f>IF(AND(ISNUMBER(timeseries!G33),ISNUMBER(timeseries!G42)),timeseries!G33-timeseries!G42,"")</f>
        <v/>
      </c>
      <c r="O1398" s="77" t="inlineStr">
        <is>
          <t>EUR/MWh nominal</t>
        </is>
      </c>
    </row>
    <row r="1399" ht="15" customHeight="1" s="78">
      <c r="A1399" s="77" t="inlineStr">
        <is>
          <t>DE</t>
        </is>
      </c>
      <c r="B1399" s="77" t="n">
        <v>2013</v>
      </c>
      <c r="C1399" s="77" t="inlineStr">
        <is>
          <t>large</t>
        </is>
      </c>
      <c r="D1399" s="77" t="inlineStr">
        <is>
          <t>E2</t>
        </is>
      </c>
      <c r="E1399" s="77" t="inlineStr">
        <is>
          <t>HATCH — EEG BesAR relief (socialised via higher Umlage on others)</t>
        </is>
      </c>
      <c r="F1399" s="77" t="inlineStr">
        <is>
          <t>HATCH ii — borne by other electricity users</t>
        </is>
      </c>
      <c r="G1399" s="77" t="inlineStr">
        <is>
          <t>renewables levy relief</t>
        </is>
      </c>
      <c r="H1399" s="77" t="inlineStr">
        <is>
          <t>ii — other electricity users</t>
        </is>
      </c>
      <c r="I1399" s="77">
        <f>IF(ISNUMBER(N1399),N1399*fx_deflator!$J$8*fx_deflator!$M$8,"")</f>
        <v/>
      </c>
      <c r="J1399" s="77" t="inlineStr">
        <is>
          <t>EEG sec.41/sec.64 BesAR</t>
        </is>
      </c>
      <c r="K1399" s="77" t="inlineStr">
        <is>
          <t>timeseries r35/45</t>
        </is>
      </c>
      <c r="L1399" s="77" t="inlineStr">
        <is>
          <t>2026-07-15</t>
        </is>
      </c>
      <c r="M1399" s="77" t="inlineStr">
        <is>
          <t>Y</t>
        </is>
      </c>
      <c r="N1399" s="77">
        <f>IF(AND(ISNUMBER(timeseries!G35),ISNUMBER(timeseries!G45)),timeseries!G35-timeseries!G45,"")</f>
        <v/>
      </c>
      <c r="O1399" s="77" t="inlineStr">
        <is>
          <t>EUR/MWh nominal</t>
        </is>
      </c>
    </row>
    <row r="1400" ht="15" customHeight="1" s="78">
      <c r="A1400" s="77" t="inlineStr">
        <is>
          <t>DE</t>
        </is>
      </c>
      <c r="B1400" s="77" t="n">
        <v>2013</v>
      </c>
      <c r="C1400" s="77" t="inlineStr">
        <is>
          <t>medium</t>
        </is>
      </c>
      <c r="D1400" s="77" t="inlineStr">
        <is>
          <t>E2</t>
        </is>
      </c>
      <c r="E1400" s="77" t="inlineStr">
        <is>
          <t>HATCH — EEG BesAR relief (medium, D24)</t>
        </is>
      </c>
      <c r="F1400" s="77" t="inlineStr">
        <is>
          <t>HATCH ii — borne by other electricity users</t>
        </is>
      </c>
      <c r="G1400" s="77" t="inlineStr">
        <is>
          <t>renewables levy relief</t>
        </is>
      </c>
      <c r="H1400" s="77" t="inlineStr">
        <is>
          <t>ii — other electricity users</t>
        </is>
      </c>
      <c r="I1400" s="77">
        <f>IF(ISNUMBER(N1400),N1400*fx_deflator!$J$8*fx_deflator!$M$8,"")</f>
        <v/>
      </c>
      <c r="J1400" s="77" t="inlineStr">
        <is>
          <t>EEG BesAR; D24</t>
        </is>
      </c>
      <c r="K1400" s="77" t="inlineStr">
        <is>
          <t>timeseries r62</t>
        </is>
      </c>
      <c r="L1400" s="77" t="inlineStr">
        <is>
          <t>2026-07-15</t>
        </is>
      </c>
      <c r="M1400" s="77" t="inlineStr">
        <is>
          <t>Y</t>
        </is>
      </c>
      <c r="N1400" s="77">
        <f>IF(AND(ISNUMBER(stage4_de!G21),ISNUMBER(timeseries!G62)),stage4_de!G21*10-timeseries!G62,"")</f>
        <v/>
      </c>
      <c r="O1400" s="77" t="inlineStr">
        <is>
          <t>EUR/MWh nominal</t>
        </is>
      </c>
    </row>
    <row r="1401" ht="15" customHeight="1" s="78">
      <c r="A1401" s="77" t="inlineStr">
        <is>
          <t>DE</t>
        </is>
      </c>
      <c r="B1401" s="77" t="n">
        <v>2013</v>
      </c>
      <c r="C1401" s="77" t="inlineStr">
        <is>
          <t>large</t>
        </is>
      </c>
      <c r="D1401" s="77" t="inlineStr">
        <is>
          <t>E2</t>
        </is>
      </c>
      <c r="E1401" s="77" t="inlineStr">
        <is>
          <t>HATCH — C-prime reliefs on KWKG/sec.19/Offshore Umlagen</t>
        </is>
      </c>
      <c r="F1401" s="77" t="inlineStr">
        <is>
          <t>HATCH ii — borne by other electricity users</t>
        </is>
      </c>
      <c r="G1401" s="77" t="inlineStr">
        <is>
          <t>levy reliefs (stromintensiv tranches)</t>
        </is>
      </c>
      <c r="H1401" s="77" t="inlineStr">
        <is>
          <t>ii — other electricity users</t>
        </is>
      </c>
      <c r="I1401" s="77">
        <f>IF(ISNUMBER(N1401),N1401*fx_deflator!$J$8*fx_deflator!$M$8,"")</f>
        <v/>
      </c>
      <c r="J1401" s="77" t="inlineStr">
        <is>
          <t>netztransparenz C-prime rates; D25</t>
        </is>
      </c>
      <c r="K1401" s="77" t="inlineStr">
        <is>
          <t>timeseries r36-38 vs r47-49</t>
        </is>
      </c>
      <c r="L1401" s="77" t="inlineStr">
        <is>
          <t>2026-07-15</t>
        </is>
      </c>
      <c r="M1401" s="77" t="inlineStr">
        <is>
          <t>Y</t>
        </is>
      </c>
      <c r="N1401" s="77">
        <f>(N(timeseries!G36)-N(timeseries!G47))+(N(timeseries!G37)-N(timeseries!G48))+(N(timeseries!G38)-N(timeseries!G49))</f>
        <v/>
      </c>
      <c r="O1401" s="77" t="inlineStr">
        <is>
          <t>EUR/MWh nominal</t>
        </is>
      </c>
    </row>
    <row r="1402" ht="15" customHeight="1" s="78">
      <c r="A1402" s="77" t="inlineStr">
        <is>
          <t>DE</t>
        </is>
      </c>
      <c r="B1402" s="77" t="n">
        <v>2013</v>
      </c>
      <c r="C1402" s="77" t="inlineStr">
        <is>
          <t>medium</t>
        </is>
      </c>
      <c r="D1402" s="77" t="inlineStr">
        <is>
          <t>E2</t>
        </is>
      </c>
      <c r="E1402" s="77" t="inlineStr">
        <is>
          <t>HATCH — C-prime reliefs (medium blends)</t>
        </is>
      </c>
      <c r="F1402" s="77" t="inlineStr">
        <is>
          <t>HATCH ii — borne by other electricity users</t>
        </is>
      </c>
      <c r="G1402" s="77" t="inlineStr">
        <is>
          <t>levy reliefs</t>
        </is>
      </c>
      <c r="H1402" s="77" t="inlineStr">
        <is>
          <t>ii — other electricity users</t>
        </is>
      </c>
      <c r="I1402" s="77">
        <f>IF(ISNUMBER(N1402),N1402*fx_deflator!$J$8*fx_deflator!$M$8,"")</f>
        <v/>
      </c>
      <c r="J1402" s="77" t="inlineStr">
        <is>
          <t>netztransparenz; D25</t>
        </is>
      </c>
      <c r="K1402" s="77" t="inlineStr">
        <is>
          <t>timeseries r59/63</t>
        </is>
      </c>
      <c r="L1402" s="77" t="inlineStr">
        <is>
          <t>2026-07-15</t>
        </is>
      </c>
      <c r="M1402" s="77" t="inlineStr">
        <is>
          <t>Y</t>
        </is>
      </c>
      <c r="N1402" s="77">
        <f>(N(timeseries!G59)-N(stage4_de!G21)*10)-N(timeseries!G63)</f>
        <v/>
      </c>
      <c r="O1402" s="77" t="inlineStr">
        <is>
          <t>EUR/MWh nominal</t>
        </is>
      </c>
    </row>
    <row r="1403" ht="15" customHeight="1" s="78">
      <c r="A1403" s="77" t="inlineStr">
        <is>
          <t>DE</t>
        </is>
      </c>
      <c r="B1403" s="77" t="n">
        <v>2013</v>
      </c>
      <c r="C1403" s="77" t="inlineStr">
        <is>
          <t>large</t>
        </is>
      </c>
      <c r="D1403" s="77" t="inlineStr">
        <is>
          <t>E2</t>
        </is>
      </c>
      <c r="E1403" s="77" t="inlineStr">
        <is>
          <t>HATCH — Stromsteuer relief (foregone general taxation)</t>
        </is>
      </c>
      <c r="F1403" s="77" t="inlineStr">
        <is>
          <t>HATCH iii — borne by the taxpayer</t>
        </is>
      </c>
      <c r="G1403" s="77" t="inlineStr">
        <is>
          <t>electricity tax relief</t>
        </is>
      </c>
      <c r="H1403" s="77" t="inlineStr">
        <is>
          <t>iii — taxpayer (foregone revenue)</t>
        </is>
      </c>
      <c r="I1403" s="77">
        <f>IF(ISNUMBER(N1403),N1403*fx_deflator!$J$8*fx_deflator!$M$8,"")</f>
        <v/>
      </c>
      <c r="J1403" s="77" t="inlineStr">
        <is>
          <t>StromStG sec.9b/sec.10</t>
        </is>
      </c>
      <c r="K1403" s="77" t="inlineStr">
        <is>
          <t>stage4_de r34-35</t>
        </is>
      </c>
      <c r="L1403" s="77" t="inlineStr">
        <is>
          <t>2026-07-15</t>
        </is>
      </c>
      <c r="M1403" s="77" t="inlineStr">
        <is>
          <t>N</t>
        </is>
      </c>
      <c r="N1403" s="77">
        <f>IF(AND(ISNUMBER(stage4_de!G34),ISNUMBER(stage4_de!G35)),stage4_de!G34-stage4_de!G35,"")</f>
        <v/>
      </c>
      <c r="O1403" s="77" t="inlineStr">
        <is>
          <t>EUR/MWh nominal</t>
        </is>
      </c>
    </row>
    <row r="1404" ht="15" customHeight="1" s="78">
      <c r="A1404" s="77" t="inlineStr">
        <is>
          <t>DE</t>
        </is>
      </c>
      <c r="B1404" s="77" t="n">
        <v>2013</v>
      </c>
      <c r="C1404" s="77" t="inlineStr">
        <is>
          <t>medium</t>
        </is>
      </c>
      <c r="D1404" s="77" t="inlineStr">
        <is>
          <t>E2</t>
        </is>
      </c>
      <c r="E1404" s="77" t="inlineStr">
        <is>
          <t>HATCH — Stromsteuer relief (foregone general taxation)</t>
        </is>
      </c>
      <c r="F1404" s="77" t="inlineStr">
        <is>
          <t>HATCH iii — borne by the taxpayer</t>
        </is>
      </c>
      <c r="G1404" s="77" t="inlineStr">
        <is>
          <t>electricity tax relief</t>
        </is>
      </c>
      <c r="H1404" s="77" t="inlineStr">
        <is>
          <t>iii — taxpayer (foregone revenue)</t>
        </is>
      </c>
      <c r="I1404" s="77">
        <f>IF(ISNUMBER(N1404),N1404*fx_deflator!$J$8*fx_deflator!$M$8,"")</f>
        <v/>
      </c>
      <c r="J1404" s="77" t="inlineStr">
        <is>
          <t>StromStG sec.9b/sec.10</t>
        </is>
      </c>
      <c r="K1404" s="77" t="inlineStr">
        <is>
          <t>stage4_de r34-35</t>
        </is>
      </c>
      <c r="L1404" s="77" t="inlineStr">
        <is>
          <t>2026-07-15</t>
        </is>
      </c>
      <c r="M1404" s="77" t="inlineStr">
        <is>
          <t>N</t>
        </is>
      </c>
      <c r="N1404" s="77">
        <f>IF(AND(ISNUMBER(stage4_de!G34),ISNUMBER(stage4_de!G35)),stage4_de!G34-stage4_de!G35,"")</f>
        <v/>
      </c>
      <c r="O1404" s="77" t="inlineStr">
        <is>
          <t>EUR/MWh nominal</t>
        </is>
      </c>
    </row>
    <row r="1405" ht="15" customHeight="1" s="78">
      <c r="A1405" s="77" t="inlineStr">
        <is>
          <t>DE</t>
        </is>
      </c>
      <c r="B1405" s="77" t="n">
        <v>2014</v>
      </c>
      <c r="C1405" s="77" t="inlineStr">
        <is>
          <t>large</t>
        </is>
      </c>
      <c r="D1405" s="77" t="inlineStr">
        <is>
          <t>E2</t>
        </is>
      </c>
      <c r="E1405" s="77" t="inlineStr">
        <is>
          <t>HATCH — sec.19(2) network relief, recovered via sec.19-Umlage on all users</t>
        </is>
      </c>
      <c r="F1405" s="77" t="inlineStr">
        <is>
          <t>HATCH ii — borne by other electricity users</t>
        </is>
      </c>
      <c r="G1405" s="77" t="inlineStr">
        <is>
          <t>network relief (sec.19 StromNEV)</t>
        </is>
      </c>
      <c r="H1405" s="77" t="inlineStr">
        <is>
          <t>ii — other electricity users (sec.19-Umlage)</t>
        </is>
      </c>
      <c r="I1405" s="77">
        <f>IF(ISNUMBER(N1405),N1405*fx_deflator!$J$9*fx_deflator!$M$9,"")</f>
        <v/>
      </c>
      <c r="J1405" s="77" t="inlineStr">
        <is>
          <t>StromNEV sec.19(2); D8/D32</t>
        </is>
      </c>
      <c r="K1405" s="77" t="inlineStr">
        <is>
          <t>timeseries r33/42</t>
        </is>
      </c>
      <c r="L1405" s="77" t="inlineStr">
        <is>
          <t>2026-07-15</t>
        </is>
      </c>
      <c r="M1405" s="77" t="inlineStr">
        <is>
          <t>Y</t>
        </is>
      </c>
      <c r="N1405" s="77">
        <f>IF(AND(ISNUMBER(timeseries!H33),ISNUMBER(timeseries!H42)),timeseries!H33-timeseries!H42,"")</f>
        <v/>
      </c>
      <c r="O1405" s="77" t="inlineStr">
        <is>
          <t>EUR/MWh nominal</t>
        </is>
      </c>
    </row>
    <row r="1406" ht="15" customHeight="1" s="78">
      <c r="A1406" s="77" t="inlineStr">
        <is>
          <t>DE</t>
        </is>
      </c>
      <c r="B1406" s="77" t="n">
        <v>2014</v>
      </c>
      <c r="C1406" s="77" t="inlineStr">
        <is>
          <t>large</t>
        </is>
      </c>
      <c r="D1406" s="77" t="inlineStr">
        <is>
          <t>E2</t>
        </is>
      </c>
      <c r="E1406" s="77" t="inlineStr">
        <is>
          <t>HATCH — EEG BesAR relief (socialised via higher Umlage on others)</t>
        </is>
      </c>
      <c r="F1406" s="77" t="inlineStr">
        <is>
          <t>HATCH ii — borne by other electricity users</t>
        </is>
      </c>
      <c r="G1406" s="77" t="inlineStr">
        <is>
          <t>renewables levy relief</t>
        </is>
      </c>
      <c r="H1406" s="77" t="inlineStr">
        <is>
          <t>ii — other electricity users</t>
        </is>
      </c>
      <c r="I1406" s="77">
        <f>IF(ISNUMBER(N1406),N1406*fx_deflator!$J$9*fx_deflator!$M$9,"")</f>
        <v/>
      </c>
      <c r="J1406" s="77" t="inlineStr">
        <is>
          <t>EEG sec.41/sec.64 BesAR</t>
        </is>
      </c>
      <c r="K1406" s="77" t="inlineStr">
        <is>
          <t>timeseries r35/45</t>
        </is>
      </c>
      <c r="L1406" s="77" t="inlineStr">
        <is>
          <t>2026-07-15</t>
        </is>
      </c>
      <c r="M1406" s="77" t="inlineStr">
        <is>
          <t>Y</t>
        </is>
      </c>
      <c r="N1406" s="77">
        <f>IF(AND(ISNUMBER(timeseries!H35),ISNUMBER(timeseries!H45)),timeseries!H35-timeseries!H45,"")</f>
        <v/>
      </c>
      <c r="O1406" s="77" t="inlineStr">
        <is>
          <t>EUR/MWh nominal</t>
        </is>
      </c>
    </row>
    <row r="1407" ht="15" customHeight="1" s="78">
      <c r="A1407" s="77" t="inlineStr">
        <is>
          <t>DE</t>
        </is>
      </c>
      <c r="B1407" s="77" t="n">
        <v>2014</v>
      </c>
      <c r="C1407" s="77" t="inlineStr">
        <is>
          <t>medium</t>
        </is>
      </c>
      <c r="D1407" s="77" t="inlineStr">
        <is>
          <t>E2</t>
        </is>
      </c>
      <c r="E1407" s="77" t="inlineStr">
        <is>
          <t>HATCH — EEG BesAR relief (medium, D24)</t>
        </is>
      </c>
      <c r="F1407" s="77" t="inlineStr">
        <is>
          <t>HATCH ii — borne by other electricity users</t>
        </is>
      </c>
      <c r="G1407" s="77" t="inlineStr">
        <is>
          <t>renewables levy relief</t>
        </is>
      </c>
      <c r="H1407" s="77" t="inlineStr">
        <is>
          <t>ii — other electricity users</t>
        </is>
      </c>
      <c r="I1407" s="77">
        <f>IF(ISNUMBER(N1407),N1407*fx_deflator!$J$9*fx_deflator!$M$9,"")</f>
        <v/>
      </c>
      <c r="J1407" s="77" t="inlineStr">
        <is>
          <t>EEG BesAR; D24</t>
        </is>
      </c>
      <c r="K1407" s="77" t="inlineStr">
        <is>
          <t>timeseries r62</t>
        </is>
      </c>
      <c r="L1407" s="77" t="inlineStr">
        <is>
          <t>2026-07-15</t>
        </is>
      </c>
      <c r="M1407" s="77" t="inlineStr">
        <is>
          <t>Y</t>
        </is>
      </c>
      <c r="N1407" s="77">
        <f>IF(AND(ISNUMBER(stage4_de!H21),ISNUMBER(timeseries!H62)),stage4_de!H21*10-timeseries!H62,"")</f>
        <v/>
      </c>
      <c r="O1407" s="77" t="inlineStr">
        <is>
          <t>EUR/MWh nominal</t>
        </is>
      </c>
    </row>
    <row r="1408" ht="15" customHeight="1" s="78">
      <c r="A1408" s="77" t="inlineStr">
        <is>
          <t>DE</t>
        </is>
      </c>
      <c r="B1408" s="77" t="n">
        <v>2014</v>
      </c>
      <c r="C1408" s="77" t="inlineStr">
        <is>
          <t>large</t>
        </is>
      </c>
      <c r="D1408" s="77" t="inlineStr">
        <is>
          <t>E2</t>
        </is>
      </c>
      <c r="E1408" s="77" t="inlineStr">
        <is>
          <t>HATCH — C-prime reliefs on KWKG/sec.19/Offshore Umlagen</t>
        </is>
      </c>
      <c r="F1408" s="77" t="inlineStr">
        <is>
          <t>HATCH ii — borne by other electricity users</t>
        </is>
      </c>
      <c r="G1408" s="77" t="inlineStr">
        <is>
          <t>levy reliefs (stromintensiv tranches)</t>
        </is>
      </c>
      <c r="H1408" s="77" t="inlineStr">
        <is>
          <t>ii — other electricity users</t>
        </is>
      </c>
      <c r="I1408" s="77">
        <f>IF(ISNUMBER(N1408),N1408*fx_deflator!$J$9*fx_deflator!$M$9,"")</f>
        <v/>
      </c>
      <c r="J1408" s="77" t="inlineStr">
        <is>
          <t>netztransparenz C-prime rates; D25</t>
        </is>
      </c>
      <c r="K1408" s="77" t="inlineStr">
        <is>
          <t>timeseries r36-38 vs r47-49</t>
        </is>
      </c>
      <c r="L1408" s="77" t="inlineStr">
        <is>
          <t>2026-07-15</t>
        </is>
      </c>
      <c r="M1408" s="77" t="inlineStr">
        <is>
          <t>Y</t>
        </is>
      </c>
      <c r="N1408" s="77">
        <f>(N(timeseries!H36)-N(timeseries!H47))+(N(timeseries!H37)-N(timeseries!H48))+(N(timeseries!H38)-N(timeseries!H49))</f>
        <v/>
      </c>
      <c r="O1408" s="77" t="inlineStr">
        <is>
          <t>EUR/MWh nominal</t>
        </is>
      </c>
    </row>
    <row r="1409" ht="15" customHeight="1" s="78">
      <c r="A1409" s="77" t="inlineStr">
        <is>
          <t>DE</t>
        </is>
      </c>
      <c r="B1409" s="77" t="n">
        <v>2014</v>
      </c>
      <c r="C1409" s="77" t="inlineStr">
        <is>
          <t>medium</t>
        </is>
      </c>
      <c r="D1409" s="77" t="inlineStr">
        <is>
          <t>E2</t>
        </is>
      </c>
      <c r="E1409" s="77" t="inlineStr">
        <is>
          <t>HATCH — C-prime reliefs (medium blends)</t>
        </is>
      </c>
      <c r="F1409" s="77" t="inlineStr">
        <is>
          <t>HATCH ii — borne by other electricity users</t>
        </is>
      </c>
      <c r="G1409" s="77" t="inlineStr">
        <is>
          <t>levy reliefs</t>
        </is>
      </c>
      <c r="H1409" s="77" t="inlineStr">
        <is>
          <t>ii — other electricity users</t>
        </is>
      </c>
      <c r="I1409" s="77">
        <f>IF(ISNUMBER(N1409),N1409*fx_deflator!$J$9*fx_deflator!$M$9,"")</f>
        <v/>
      </c>
      <c r="J1409" s="77" t="inlineStr">
        <is>
          <t>netztransparenz; D25</t>
        </is>
      </c>
      <c r="K1409" s="77" t="inlineStr">
        <is>
          <t>timeseries r59/63</t>
        </is>
      </c>
      <c r="L1409" s="77" t="inlineStr">
        <is>
          <t>2026-07-15</t>
        </is>
      </c>
      <c r="M1409" s="77" t="inlineStr">
        <is>
          <t>Y</t>
        </is>
      </c>
      <c r="N1409" s="77">
        <f>(N(timeseries!H59)-N(stage4_de!H21)*10)-N(timeseries!H63)</f>
        <v/>
      </c>
      <c r="O1409" s="77" t="inlineStr">
        <is>
          <t>EUR/MWh nominal</t>
        </is>
      </c>
    </row>
    <row r="1410" ht="15" customHeight="1" s="78">
      <c r="A1410" s="77" t="inlineStr">
        <is>
          <t>DE</t>
        </is>
      </c>
      <c r="B1410" s="77" t="n">
        <v>2014</v>
      </c>
      <c r="C1410" s="77" t="inlineStr">
        <is>
          <t>large</t>
        </is>
      </c>
      <c r="D1410" s="77" t="inlineStr">
        <is>
          <t>E2</t>
        </is>
      </c>
      <c r="E1410" s="77" t="inlineStr">
        <is>
          <t>HATCH — Stromsteuer relief (foregone general taxation)</t>
        </is>
      </c>
      <c r="F1410" s="77" t="inlineStr">
        <is>
          <t>HATCH iii — borne by the taxpayer</t>
        </is>
      </c>
      <c r="G1410" s="77" t="inlineStr">
        <is>
          <t>electricity tax relief</t>
        </is>
      </c>
      <c r="H1410" s="77" t="inlineStr">
        <is>
          <t>iii — taxpayer (foregone revenue)</t>
        </is>
      </c>
      <c r="I1410" s="77">
        <f>IF(ISNUMBER(N1410),N1410*fx_deflator!$J$9*fx_deflator!$M$9,"")</f>
        <v/>
      </c>
      <c r="J1410" s="77" t="inlineStr">
        <is>
          <t>StromStG sec.9b/sec.10</t>
        </is>
      </c>
      <c r="K1410" s="77" t="inlineStr">
        <is>
          <t>stage4_de r34-35</t>
        </is>
      </c>
      <c r="L1410" s="77" t="inlineStr">
        <is>
          <t>2026-07-15</t>
        </is>
      </c>
      <c r="M1410" s="77" t="inlineStr">
        <is>
          <t>N</t>
        </is>
      </c>
      <c r="N1410" s="77">
        <f>IF(AND(ISNUMBER(stage4_de!H34),ISNUMBER(stage4_de!H35)),stage4_de!H34-stage4_de!H35,"")</f>
        <v/>
      </c>
      <c r="O1410" s="77" t="inlineStr">
        <is>
          <t>EUR/MWh nominal</t>
        </is>
      </c>
    </row>
    <row r="1411" ht="15" customHeight="1" s="78">
      <c r="A1411" s="77" t="inlineStr">
        <is>
          <t>DE</t>
        </is>
      </c>
      <c r="B1411" s="77" t="n">
        <v>2014</v>
      </c>
      <c r="C1411" s="77" t="inlineStr">
        <is>
          <t>medium</t>
        </is>
      </c>
      <c r="D1411" s="77" t="inlineStr">
        <is>
          <t>E2</t>
        </is>
      </c>
      <c r="E1411" s="77" t="inlineStr">
        <is>
          <t>HATCH — Stromsteuer relief (foregone general taxation)</t>
        </is>
      </c>
      <c r="F1411" s="77" t="inlineStr">
        <is>
          <t>HATCH iii — borne by the taxpayer</t>
        </is>
      </c>
      <c r="G1411" s="77" t="inlineStr">
        <is>
          <t>electricity tax relief</t>
        </is>
      </c>
      <c r="H1411" s="77" t="inlineStr">
        <is>
          <t>iii — taxpayer (foregone revenue)</t>
        </is>
      </c>
      <c r="I1411" s="77">
        <f>IF(ISNUMBER(N1411),N1411*fx_deflator!$J$9*fx_deflator!$M$9,"")</f>
        <v/>
      </c>
      <c r="J1411" s="77" t="inlineStr">
        <is>
          <t>StromStG sec.9b/sec.10</t>
        </is>
      </c>
      <c r="K1411" s="77" t="inlineStr">
        <is>
          <t>stage4_de r34-35</t>
        </is>
      </c>
      <c r="L1411" s="77" t="inlineStr">
        <is>
          <t>2026-07-15</t>
        </is>
      </c>
      <c r="M1411" s="77" t="inlineStr">
        <is>
          <t>N</t>
        </is>
      </c>
      <c r="N1411" s="77">
        <f>IF(AND(ISNUMBER(stage4_de!H34),ISNUMBER(stage4_de!H35)),stage4_de!H34-stage4_de!H35,"")</f>
        <v/>
      </c>
      <c r="O1411" s="77" t="inlineStr">
        <is>
          <t>EUR/MWh nominal</t>
        </is>
      </c>
    </row>
    <row r="1412" ht="15" customHeight="1" s="78">
      <c r="A1412" s="77" t="inlineStr">
        <is>
          <t>DE</t>
        </is>
      </c>
      <c r="B1412" s="77" t="n">
        <v>2015</v>
      </c>
      <c r="C1412" s="77" t="inlineStr">
        <is>
          <t>large</t>
        </is>
      </c>
      <c r="D1412" s="77" t="inlineStr">
        <is>
          <t>E2</t>
        </is>
      </c>
      <c r="E1412" s="77" t="inlineStr">
        <is>
          <t>HATCH — sec.19(2) network relief, recovered via sec.19-Umlage on all users</t>
        </is>
      </c>
      <c r="F1412" s="77" t="inlineStr">
        <is>
          <t>HATCH ii — borne by other electricity users</t>
        </is>
      </c>
      <c r="G1412" s="77" t="inlineStr">
        <is>
          <t>network relief (sec.19 StromNEV)</t>
        </is>
      </c>
      <c r="H1412" s="77" t="inlineStr">
        <is>
          <t>ii — other electricity users (sec.19-Umlage)</t>
        </is>
      </c>
      <c r="I1412" s="77">
        <f>IF(ISNUMBER(N1412),N1412*fx_deflator!$J$10*fx_deflator!$M$10,"")</f>
        <v/>
      </c>
      <c r="J1412" s="77" t="inlineStr">
        <is>
          <t>StromNEV sec.19(2); D8/D32</t>
        </is>
      </c>
      <c r="K1412" s="77" t="inlineStr">
        <is>
          <t>timeseries r33/42</t>
        </is>
      </c>
      <c r="L1412" s="77" t="inlineStr">
        <is>
          <t>2026-07-15</t>
        </is>
      </c>
      <c r="M1412" s="77" t="inlineStr">
        <is>
          <t>Y</t>
        </is>
      </c>
      <c r="N1412" s="77">
        <f>IF(AND(ISNUMBER(timeseries!I33),ISNUMBER(timeseries!I42)),timeseries!I33-timeseries!I42,"")</f>
        <v/>
      </c>
      <c r="O1412" s="77" t="inlineStr">
        <is>
          <t>EUR/MWh nominal</t>
        </is>
      </c>
    </row>
    <row r="1413" ht="15" customHeight="1" s="78">
      <c r="A1413" s="77" t="inlineStr">
        <is>
          <t>DE</t>
        </is>
      </c>
      <c r="B1413" s="77" t="n">
        <v>2015</v>
      </c>
      <c r="C1413" s="77" t="inlineStr">
        <is>
          <t>large</t>
        </is>
      </c>
      <c r="D1413" s="77" t="inlineStr">
        <is>
          <t>E2</t>
        </is>
      </c>
      <c r="E1413" s="77" t="inlineStr">
        <is>
          <t>HATCH — EEG BesAR relief (socialised via higher Umlage on others)</t>
        </is>
      </c>
      <c r="F1413" s="77" t="inlineStr">
        <is>
          <t>HATCH ii — borne by other electricity users</t>
        </is>
      </c>
      <c r="G1413" s="77" t="inlineStr">
        <is>
          <t>renewables levy relief</t>
        </is>
      </c>
      <c r="H1413" s="77" t="inlineStr">
        <is>
          <t>ii — other electricity users</t>
        </is>
      </c>
      <c r="I1413" s="77">
        <f>IF(ISNUMBER(N1413),N1413*fx_deflator!$J$10*fx_deflator!$M$10,"")</f>
        <v/>
      </c>
      <c r="J1413" s="77" t="inlineStr">
        <is>
          <t>EEG sec.41/sec.64 BesAR</t>
        </is>
      </c>
      <c r="K1413" s="77" t="inlineStr">
        <is>
          <t>timeseries r35/45</t>
        </is>
      </c>
      <c r="L1413" s="77" t="inlineStr">
        <is>
          <t>2026-07-15</t>
        </is>
      </c>
      <c r="M1413" s="77" t="inlineStr">
        <is>
          <t>Y</t>
        </is>
      </c>
      <c r="N1413" s="77">
        <f>IF(AND(ISNUMBER(timeseries!I35),ISNUMBER(timeseries!I45)),timeseries!I35-timeseries!I45,"")</f>
        <v/>
      </c>
      <c r="O1413" s="77" t="inlineStr">
        <is>
          <t>EUR/MWh nominal</t>
        </is>
      </c>
    </row>
    <row r="1414" ht="15" customHeight="1" s="78">
      <c r="A1414" s="77" t="inlineStr">
        <is>
          <t>DE</t>
        </is>
      </c>
      <c r="B1414" s="77" t="n">
        <v>2015</v>
      </c>
      <c r="C1414" s="77" t="inlineStr">
        <is>
          <t>medium</t>
        </is>
      </c>
      <c r="D1414" s="77" t="inlineStr">
        <is>
          <t>E2</t>
        </is>
      </c>
      <c r="E1414" s="77" t="inlineStr">
        <is>
          <t>HATCH — EEG BesAR relief (medium, D24)</t>
        </is>
      </c>
      <c r="F1414" s="77" t="inlineStr">
        <is>
          <t>HATCH ii — borne by other electricity users</t>
        </is>
      </c>
      <c r="G1414" s="77" t="inlineStr">
        <is>
          <t>renewables levy relief</t>
        </is>
      </c>
      <c r="H1414" s="77" t="inlineStr">
        <is>
          <t>ii — other electricity users</t>
        </is>
      </c>
      <c r="I1414" s="77">
        <f>IF(ISNUMBER(N1414),N1414*fx_deflator!$J$10*fx_deflator!$M$10,"")</f>
        <v/>
      </c>
      <c r="J1414" s="77" t="inlineStr">
        <is>
          <t>EEG BesAR; D24</t>
        </is>
      </c>
      <c r="K1414" s="77" t="inlineStr">
        <is>
          <t>timeseries r62</t>
        </is>
      </c>
      <c r="L1414" s="77" t="inlineStr">
        <is>
          <t>2026-07-15</t>
        </is>
      </c>
      <c r="M1414" s="77" t="inlineStr">
        <is>
          <t>Y</t>
        </is>
      </c>
      <c r="N1414" s="77">
        <f>IF(AND(ISNUMBER(stage4_de!I21),ISNUMBER(timeseries!I62)),stage4_de!I21*10-timeseries!I62,"")</f>
        <v/>
      </c>
      <c r="O1414" s="77" t="inlineStr">
        <is>
          <t>EUR/MWh nominal</t>
        </is>
      </c>
    </row>
    <row r="1415" ht="15" customHeight="1" s="78">
      <c r="A1415" s="77" t="inlineStr">
        <is>
          <t>DE</t>
        </is>
      </c>
      <c r="B1415" s="77" t="n">
        <v>2015</v>
      </c>
      <c r="C1415" s="77" t="inlineStr">
        <is>
          <t>large</t>
        </is>
      </c>
      <c r="D1415" s="77" t="inlineStr">
        <is>
          <t>E2</t>
        </is>
      </c>
      <c r="E1415" s="77" t="inlineStr">
        <is>
          <t>HATCH — C-prime reliefs on KWKG/sec.19/Offshore Umlagen</t>
        </is>
      </c>
      <c r="F1415" s="77" t="inlineStr">
        <is>
          <t>HATCH ii — borne by other electricity users</t>
        </is>
      </c>
      <c r="G1415" s="77" t="inlineStr">
        <is>
          <t>levy reliefs (stromintensiv tranches)</t>
        </is>
      </c>
      <c r="H1415" s="77" t="inlineStr">
        <is>
          <t>ii — other electricity users</t>
        </is>
      </c>
      <c r="I1415" s="77">
        <f>IF(ISNUMBER(N1415),N1415*fx_deflator!$J$10*fx_deflator!$M$10,"")</f>
        <v/>
      </c>
      <c r="J1415" s="77" t="inlineStr">
        <is>
          <t>netztransparenz C-prime rates; D25</t>
        </is>
      </c>
      <c r="K1415" s="77" t="inlineStr">
        <is>
          <t>timeseries r36-38 vs r47-49</t>
        </is>
      </c>
      <c r="L1415" s="77" t="inlineStr">
        <is>
          <t>2026-07-15</t>
        </is>
      </c>
      <c r="M1415" s="77" t="inlineStr">
        <is>
          <t>Y</t>
        </is>
      </c>
      <c r="N1415" s="77">
        <f>(N(timeseries!I36)-N(timeseries!I47))+(N(timeseries!I37)-N(timeseries!I48))+(N(timeseries!I38)-N(timeseries!I49))</f>
        <v/>
      </c>
      <c r="O1415" s="77" t="inlineStr">
        <is>
          <t>EUR/MWh nominal</t>
        </is>
      </c>
    </row>
    <row r="1416" ht="15" customHeight="1" s="78">
      <c r="A1416" s="77" t="inlineStr">
        <is>
          <t>DE</t>
        </is>
      </c>
      <c r="B1416" s="77" t="n">
        <v>2015</v>
      </c>
      <c r="C1416" s="77" t="inlineStr">
        <is>
          <t>medium</t>
        </is>
      </c>
      <c r="D1416" s="77" t="inlineStr">
        <is>
          <t>E2</t>
        </is>
      </c>
      <c r="E1416" s="77" t="inlineStr">
        <is>
          <t>HATCH — C-prime reliefs (medium blends)</t>
        </is>
      </c>
      <c r="F1416" s="77" t="inlineStr">
        <is>
          <t>HATCH ii — borne by other electricity users</t>
        </is>
      </c>
      <c r="G1416" s="77" t="inlineStr">
        <is>
          <t>levy reliefs</t>
        </is>
      </c>
      <c r="H1416" s="77" t="inlineStr">
        <is>
          <t>ii — other electricity users</t>
        </is>
      </c>
      <c r="I1416" s="77">
        <f>IF(ISNUMBER(N1416),N1416*fx_deflator!$J$10*fx_deflator!$M$10,"")</f>
        <v/>
      </c>
      <c r="J1416" s="77" t="inlineStr">
        <is>
          <t>netztransparenz; D25</t>
        </is>
      </c>
      <c r="K1416" s="77" t="inlineStr">
        <is>
          <t>timeseries r59/63</t>
        </is>
      </c>
      <c r="L1416" s="77" t="inlineStr">
        <is>
          <t>2026-07-15</t>
        </is>
      </c>
      <c r="M1416" s="77" t="inlineStr">
        <is>
          <t>Y</t>
        </is>
      </c>
      <c r="N1416" s="77">
        <f>(N(timeseries!I59)-N(stage4_de!I21)*10)-N(timeseries!I63)</f>
        <v/>
      </c>
      <c r="O1416" s="77" t="inlineStr">
        <is>
          <t>EUR/MWh nominal</t>
        </is>
      </c>
    </row>
    <row r="1417" ht="15" customHeight="1" s="78">
      <c r="A1417" s="77" t="inlineStr">
        <is>
          <t>DE</t>
        </is>
      </c>
      <c r="B1417" s="77" t="n">
        <v>2015</v>
      </c>
      <c r="C1417" s="77" t="inlineStr">
        <is>
          <t>large</t>
        </is>
      </c>
      <c r="D1417" s="77" t="inlineStr">
        <is>
          <t>E2</t>
        </is>
      </c>
      <c r="E1417" s="77" t="inlineStr">
        <is>
          <t>HATCH — Stromsteuer relief (foregone general taxation)</t>
        </is>
      </c>
      <c r="F1417" s="77" t="inlineStr">
        <is>
          <t>HATCH iii — borne by the taxpayer</t>
        </is>
      </c>
      <c r="G1417" s="77" t="inlineStr">
        <is>
          <t>electricity tax relief</t>
        </is>
      </c>
      <c r="H1417" s="77" t="inlineStr">
        <is>
          <t>iii — taxpayer (foregone revenue)</t>
        </is>
      </c>
      <c r="I1417" s="77">
        <f>IF(ISNUMBER(N1417),N1417*fx_deflator!$J$10*fx_deflator!$M$10,"")</f>
        <v/>
      </c>
      <c r="J1417" s="77" t="inlineStr">
        <is>
          <t>StromStG sec.9b/sec.10</t>
        </is>
      </c>
      <c r="K1417" s="77" t="inlineStr">
        <is>
          <t>stage4_de r34-35</t>
        </is>
      </c>
      <c r="L1417" s="77" t="inlineStr">
        <is>
          <t>2026-07-15</t>
        </is>
      </c>
      <c r="M1417" s="77" t="inlineStr">
        <is>
          <t>N</t>
        </is>
      </c>
      <c r="N1417" s="77">
        <f>IF(AND(ISNUMBER(stage4_de!I34),ISNUMBER(stage4_de!I35)),stage4_de!I34-stage4_de!I35,"")</f>
        <v/>
      </c>
      <c r="O1417" s="77" t="inlineStr">
        <is>
          <t>EUR/MWh nominal</t>
        </is>
      </c>
    </row>
    <row r="1418" ht="15" customHeight="1" s="78">
      <c r="A1418" s="77" t="inlineStr">
        <is>
          <t>DE</t>
        </is>
      </c>
      <c r="B1418" s="77" t="n">
        <v>2015</v>
      </c>
      <c r="C1418" s="77" t="inlineStr">
        <is>
          <t>medium</t>
        </is>
      </c>
      <c r="D1418" s="77" t="inlineStr">
        <is>
          <t>E2</t>
        </is>
      </c>
      <c r="E1418" s="77" t="inlineStr">
        <is>
          <t>HATCH — Stromsteuer relief (foregone general taxation)</t>
        </is>
      </c>
      <c r="F1418" s="77" t="inlineStr">
        <is>
          <t>HATCH iii — borne by the taxpayer</t>
        </is>
      </c>
      <c r="G1418" s="77" t="inlineStr">
        <is>
          <t>electricity tax relief</t>
        </is>
      </c>
      <c r="H1418" s="77" t="inlineStr">
        <is>
          <t>iii — taxpayer (foregone revenue)</t>
        </is>
      </c>
      <c r="I1418" s="77">
        <f>IF(ISNUMBER(N1418),N1418*fx_deflator!$J$10*fx_deflator!$M$10,"")</f>
        <v/>
      </c>
      <c r="J1418" s="77" t="inlineStr">
        <is>
          <t>StromStG sec.9b/sec.10</t>
        </is>
      </c>
      <c r="K1418" s="77" t="inlineStr">
        <is>
          <t>stage4_de r34-35</t>
        </is>
      </c>
      <c r="L1418" s="77" t="inlineStr">
        <is>
          <t>2026-07-15</t>
        </is>
      </c>
      <c r="M1418" s="77" t="inlineStr">
        <is>
          <t>N</t>
        </is>
      </c>
      <c r="N1418" s="77">
        <f>IF(AND(ISNUMBER(stage4_de!I34),ISNUMBER(stage4_de!I35)),stage4_de!I34-stage4_de!I35,"")</f>
        <v/>
      </c>
      <c r="O1418" s="77" t="inlineStr">
        <is>
          <t>EUR/MWh nominal</t>
        </is>
      </c>
    </row>
    <row r="1419" ht="15" customHeight="1" s="78">
      <c r="A1419" s="77" t="inlineStr">
        <is>
          <t>DE</t>
        </is>
      </c>
      <c r="B1419" s="77" t="n">
        <v>2016</v>
      </c>
      <c r="C1419" s="77" t="inlineStr">
        <is>
          <t>large</t>
        </is>
      </c>
      <c r="D1419" s="77" t="inlineStr">
        <is>
          <t>E2</t>
        </is>
      </c>
      <c r="E1419" s="77" t="inlineStr">
        <is>
          <t>HATCH — sec.19(2) network relief, recovered via sec.19-Umlage on all users</t>
        </is>
      </c>
      <c r="F1419" s="77" t="inlineStr">
        <is>
          <t>HATCH ii — borne by other electricity users</t>
        </is>
      </c>
      <c r="G1419" s="77" t="inlineStr">
        <is>
          <t>network relief (sec.19 StromNEV)</t>
        </is>
      </c>
      <c r="H1419" s="77" t="inlineStr">
        <is>
          <t>ii — other electricity users (sec.19-Umlage)</t>
        </is>
      </c>
      <c r="I1419" s="77">
        <f>IF(ISNUMBER(N1419),N1419*fx_deflator!$J$11*fx_deflator!$M$11,"")</f>
        <v/>
      </c>
      <c r="J1419" s="77" t="inlineStr">
        <is>
          <t>StromNEV sec.19(2); D8/D32</t>
        </is>
      </c>
      <c r="K1419" s="77" t="inlineStr">
        <is>
          <t>timeseries r33/42</t>
        </is>
      </c>
      <c r="L1419" s="77" t="inlineStr">
        <is>
          <t>2026-07-15</t>
        </is>
      </c>
      <c r="M1419" s="77" t="inlineStr">
        <is>
          <t>Y</t>
        </is>
      </c>
      <c r="N1419" s="77">
        <f>IF(AND(ISNUMBER(timeseries!J33),ISNUMBER(timeseries!J42)),timeseries!J33-timeseries!J42,"")</f>
        <v/>
      </c>
      <c r="O1419" s="77" t="inlineStr">
        <is>
          <t>EUR/MWh nominal</t>
        </is>
      </c>
    </row>
    <row r="1420" ht="15" customHeight="1" s="78">
      <c r="A1420" s="77" t="inlineStr">
        <is>
          <t>DE</t>
        </is>
      </c>
      <c r="B1420" s="77" t="n">
        <v>2016</v>
      </c>
      <c r="C1420" s="77" t="inlineStr">
        <is>
          <t>large</t>
        </is>
      </c>
      <c r="D1420" s="77" t="inlineStr">
        <is>
          <t>E2</t>
        </is>
      </c>
      <c r="E1420" s="77" t="inlineStr">
        <is>
          <t>HATCH — EEG BesAR relief (socialised via higher Umlage on others)</t>
        </is>
      </c>
      <c r="F1420" s="77" t="inlineStr">
        <is>
          <t>HATCH ii — borne by other electricity users</t>
        </is>
      </c>
      <c r="G1420" s="77" t="inlineStr">
        <is>
          <t>renewables levy relief</t>
        </is>
      </c>
      <c r="H1420" s="77" t="inlineStr">
        <is>
          <t>ii — other electricity users</t>
        </is>
      </c>
      <c r="I1420" s="77">
        <f>IF(ISNUMBER(N1420),N1420*fx_deflator!$J$11*fx_deflator!$M$11,"")</f>
        <v/>
      </c>
      <c r="J1420" s="77" t="inlineStr">
        <is>
          <t>EEG sec.41/sec.64 BesAR</t>
        </is>
      </c>
      <c r="K1420" s="77" t="inlineStr">
        <is>
          <t>timeseries r35/45</t>
        </is>
      </c>
      <c r="L1420" s="77" t="inlineStr">
        <is>
          <t>2026-07-15</t>
        </is>
      </c>
      <c r="M1420" s="77" t="inlineStr">
        <is>
          <t>Y</t>
        </is>
      </c>
      <c r="N1420" s="77">
        <f>IF(AND(ISNUMBER(timeseries!J35),ISNUMBER(timeseries!J45)),timeseries!J35-timeseries!J45,"")</f>
        <v/>
      </c>
      <c r="O1420" s="77" t="inlineStr">
        <is>
          <t>EUR/MWh nominal</t>
        </is>
      </c>
    </row>
    <row r="1421" ht="15" customHeight="1" s="78">
      <c r="A1421" s="77" t="inlineStr">
        <is>
          <t>DE</t>
        </is>
      </c>
      <c r="B1421" s="77" t="n">
        <v>2016</v>
      </c>
      <c r="C1421" s="77" t="inlineStr">
        <is>
          <t>medium</t>
        </is>
      </c>
      <c r="D1421" s="77" t="inlineStr">
        <is>
          <t>E2</t>
        </is>
      </c>
      <c r="E1421" s="77" t="inlineStr">
        <is>
          <t>HATCH — EEG BesAR relief (medium, D24)</t>
        </is>
      </c>
      <c r="F1421" s="77" t="inlineStr">
        <is>
          <t>HATCH ii — borne by other electricity users</t>
        </is>
      </c>
      <c r="G1421" s="77" t="inlineStr">
        <is>
          <t>renewables levy relief</t>
        </is>
      </c>
      <c r="H1421" s="77" t="inlineStr">
        <is>
          <t>ii — other electricity users</t>
        </is>
      </c>
      <c r="I1421" s="77">
        <f>IF(ISNUMBER(N1421),N1421*fx_deflator!$J$11*fx_deflator!$M$11,"")</f>
        <v/>
      </c>
      <c r="J1421" s="77" t="inlineStr">
        <is>
          <t>EEG BesAR; D24</t>
        </is>
      </c>
      <c r="K1421" s="77" t="inlineStr">
        <is>
          <t>timeseries r62</t>
        </is>
      </c>
      <c r="L1421" s="77" t="inlineStr">
        <is>
          <t>2026-07-15</t>
        </is>
      </c>
      <c r="M1421" s="77" t="inlineStr">
        <is>
          <t>Y</t>
        </is>
      </c>
      <c r="N1421" s="77">
        <f>IF(AND(ISNUMBER(stage4_de!J21),ISNUMBER(timeseries!J62)),stage4_de!J21*10-timeseries!J62,"")</f>
        <v/>
      </c>
      <c r="O1421" s="77" t="inlineStr">
        <is>
          <t>EUR/MWh nominal</t>
        </is>
      </c>
    </row>
    <row r="1422" ht="15" customHeight="1" s="78">
      <c r="A1422" s="77" t="inlineStr">
        <is>
          <t>DE</t>
        </is>
      </c>
      <c r="B1422" s="77" t="n">
        <v>2016</v>
      </c>
      <c r="C1422" s="77" t="inlineStr">
        <is>
          <t>large</t>
        </is>
      </c>
      <c r="D1422" s="77" t="inlineStr">
        <is>
          <t>E2</t>
        </is>
      </c>
      <c r="E1422" s="77" t="inlineStr">
        <is>
          <t>HATCH — C-prime reliefs on KWKG/sec.19/Offshore Umlagen</t>
        </is>
      </c>
      <c r="F1422" s="77" t="inlineStr">
        <is>
          <t>HATCH ii — borne by other electricity users</t>
        </is>
      </c>
      <c r="G1422" s="77" t="inlineStr">
        <is>
          <t>levy reliefs (stromintensiv tranches)</t>
        </is>
      </c>
      <c r="H1422" s="77" t="inlineStr">
        <is>
          <t>ii — other electricity users</t>
        </is>
      </c>
      <c r="I1422" s="77">
        <f>IF(ISNUMBER(N1422),N1422*fx_deflator!$J$11*fx_deflator!$M$11,"")</f>
        <v/>
      </c>
      <c r="J1422" s="77" t="inlineStr">
        <is>
          <t>netztransparenz C-prime rates; D25</t>
        </is>
      </c>
      <c r="K1422" s="77" t="inlineStr">
        <is>
          <t>timeseries r36-38 vs r47-49</t>
        </is>
      </c>
      <c r="L1422" s="77" t="inlineStr">
        <is>
          <t>2026-07-15</t>
        </is>
      </c>
      <c r="M1422" s="77" t="inlineStr">
        <is>
          <t>Y</t>
        </is>
      </c>
      <c r="N1422" s="77">
        <f>(N(timeseries!J36)-N(timeseries!J47))+(N(timeseries!J37)-N(timeseries!J48))+(N(timeseries!J38)-N(timeseries!J49))</f>
        <v/>
      </c>
      <c r="O1422" s="77" t="inlineStr">
        <is>
          <t>EUR/MWh nominal</t>
        </is>
      </c>
    </row>
    <row r="1423" ht="15" customHeight="1" s="78">
      <c r="A1423" s="77" t="inlineStr">
        <is>
          <t>DE</t>
        </is>
      </c>
      <c r="B1423" s="77" t="n">
        <v>2016</v>
      </c>
      <c r="C1423" s="77" t="inlineStr">
        <is>
          <t>medium</t>
        </is>
      </c>
      <c r="D1423" s="77" t="inlineStr">
        <is>
          <t>E2</t>
        </is>
      </c>
      <c r="E1423" s="77" t="inlineStr">
        <is>
          <t>HATCH — C-prime reliefs (medium blends)</t>
        </is>
      </c>
      <c r="F1423" s="77" t="inlineStr">
        <is>
          <t>HATCH ii — borne by other electricity users</t>
        </is>
      </c>
      <c r="G1423" s="77" t="inlineStr">
        <is>
          <t>levy reliefs</t>
        </is>
      </c>
      <c r="H1423" s="77" t="inlineStr">
        <is>
          <t>ii — other electricity users</t>
        </is>
      </c>
      <c r="I1423" s="77">
        <f>IF(ISNUMBER(N1423),N1423*fx_deflator!$J$11*fx_deflator!$M$11,"")</f>
        <v/>
      </c>
      <c r="J1423" s="77" t="inlineStr">
        <is>
          <t>netztransparenz; D25</t>
        </is>
      </c>
      <c r="K1423" s="77" t="inlineStr">
        <is>
          <t>timeseries r59/63</t>
        </is>
      </c>
      <c r="L1423" s="77" t="inlineStr">
        <is>
          <t>2026-07-15</t>
        </is>
      </c>
      <c r="M1423" s="77" t="inlineStr">
        <is>
          <t>Y</t>
        </is>
      </c>
      <c r="N1423" s="77">
        <f>(N(timeseries!J59)-N(stage4_de!J21)*10)-N(timeseries!J63)</f>
        <v/>
      </c>
      <c r="O1423" s="77" t="inlineStr">
        <is>
          <t>EUR/MWh nominal</t>
        </is>
      </c>
    </row>
    <row r="1424" ht="15" customHeight="1" s="78">
      <c r="A1424" s="77" t="inlineStr">
        <is>
          <t>DE</t>
        </is>
      </c>
      <c r="B1424" s="77" t="n">
        <v>2016</v>
      </c>
      <c r="C1424" s="77" t="inlineStr">
        <is>
          <t>large</t>
        </is>
      </c>
      <c r="D1424" s="77" t="inlineStr">
        <is>
          <t>E2</t>
        </is>
      </c>
      <c r="E1424" s="77" t="inlineStr">
        <is>
          <t>HATCH — Stromsteuer relief (foregone general taxation)</t>
        </is>
      </c>
      <c r="F1424" s="77" t="inlineStr">
        <is>
          <t>HATCH iii — borne by the taxpayer</t>
        </is>
      </c>
      <c r="G1424" s="77" t="inlineStr">
        <is>
          <t>electricity tax relief</t>
        </is>
      </c>
      <c r="H1424" s="77" t="inlineStr">
        <is>
          <t>iii — taxpayer (foregone revenue)</t>
        </is>
      </c>
      <c r="I1424" s="77">
        <f>IF(ISNUMBER(N1424),N1424*fx_deflator!$J$11*fx_deflator!$M$11,"")</f>
        <v/>
      </c>
      <c r="J1424" s="77" t="inlineStr">
        <is>
          <t>StromStG sec.9b/sec.10</t>
        </is>
      </c>
      <c r="K1424" s="77" t="inlineStr">
        <is>
          <t>stage4_de r34-35</t>
        </is>
      </c>
      <c r="L1424" s="77" t="inlineStr">
        <is>
          <t>2026-07-15</t>
        </is>
      </c>
      <c r="M1424" s="77" t="inlineStr">
        <is>
          <t>N</t>
        </is>
      </c>
      <c r="N1424" s="77">
        <f>IF(AND(ISNUMBER(stage4_de!J34),ISNUMBER(stage4_de!J35)),stage4_de!J34-stage4_de!J35,"")</f>
        <v/>
      </c>
      <c r="O1424" s="77" t="inlineStr">
        <is>
          <t>EUR/MWh nominal</t>
        </is>
      </c>
    </row>
    <row r="1425" ht="15" customHeight="1" s="78">
      <c r="A1425" s="77" t="inlineStr">
        <is>
          <t>DE</t>
        </is>
      </c>
      <c r="B1425" s="77" t="n">
        <v>2016</v>
      </c>
      <c r="C1425" s="77" t="inlineStr">
        <is>
          <t>medium</t>
        </is>
      </c>
      <c r="D1425" s="77" t="inlineStr">
        <is>
          <t>E2</t>
        </is>
      </c>
      <c r="E1425" s="77" t="inlineStr">
        <is>
          <t>HATCH — Stromsteuer relief (foregone general taxation)</t>
        </is>
      </c>
      <c r="F1425" s="77" t="inlineStr">
        <is>
          <t>HATCH iii — borne by the taxpayer</t>
        </is>
      </c>
      <c r="G1425" s="77" t="inlineStr">
        <is>
          <t>electricity tax relief</t>
        </is>
      </c>
      <c r="H1425" s="77" t="inlineStr">
        <is>
          <t>iii — taxpayer (foregone revenue)</t>
        </is>
      </c>
      <c r="I1425" s="77">
        <f>IF(ISNUMBER(N1425),N1425*fx_deflator!$J$11*fx_deflator!$M$11,"")</f>
        <v/>
      </c>
      <c r="J1425" s="77" t="inlineStr">
        <is>
          <t>StromStG sec.9b/sec.10</t>
        </is>
      </c>
      <c r="K1425" s="77" t="inlineStr">
        <is>
          <t>stage4_de r34-35</t>
        </is>
      </c>
      <c r="L1425" s="77" t="inlineStr">
        <is>
          <t>2026-07-15</t>
        </is>
      </c>
      <c r="M1425" s="77" t="inlineStr">
        <is>
          <t>N</t>
        </is>
      </c>
      <c r="N1425" s="77">
        <f>IF(AND(ISNUMBER(stage4_de!J34),ISNUMBER(stage4_de!J35)),stage4_de!J34-stage4_de!J35,"")</f>
        <v/>
      </c>
      <c r="O1425" s="77" t="inlineStr">
        <is>
          <t>EUR/MWh nominal</t>
        </is>
      </c>
    </row>
    <row r="1426" ht="15" customHeight="1" s="78">
      <c r="A1426" s="77" t="inlineStr">
        <is>
          <t>DE</t>
        </is>
      </c>
      <c r="B1426" s="77" t="n">
        <v>2017</v>
      </c>
      <c r="C1426" s="77" t="inlineStr">
        <is>
          <t>large</t>
        </is>
      </c>
      <c r="D1426" s="77" t="inlineStr">
        <is>
          <t>E2</t>
        </is>
      </c>
      <c r="E1426" s="77" t="inlineStr">
        <is>
          <t>HATCH — sec.19(2) network relief, recovered via sec.19-Umlage on all users</t>
        </is>
      </c>
      <c r="F1426" s="77" t="inlineStr">
        <is>
          <t>HATCH ii — borne by other electricity users</t>
        </is>
      </c>
      <c r="G1426" s="77" t="inlineStr">
        <is>
          <t>network relief (sec.19 StromNEV)</t>
        </is>
      </c>
      <c r="H1426" s="77" t="inlineStr">
        <is>
          <t>ii — other electricity users (sec.19-Umlage)</t>
        </is>
      </c>
      <c r="I1426" s="77">
        <f>IF(ISNUMBER(N1426),N1426*fx_deflator!$J$12*fx_deflator!$M$12,"")</f>
        <v/>
      </c>
      <c r="J1426" s="77" t="inlineStr">
        <is>
          <t>StromNEV sec.19(2); D8/D32</t>
        </is>
      </c>
      <c r="K1426" s="77" t="inlineStr">
        <is>
          <t>timeseries r33/42</t>
        </is>
      </c>
      <c r="L1426" s="77" t="inlineStr">
        <is>
          <t>2026-07-15</t>
        </is>
      </c>
      <c r="M1426" s="77" t="inlineStr">
        <is>
          <t>Y</t>
        </is>
      </c>
      <c r="N1426" s="77">
        <f>IF(AND(ISNUMBER(timeseries!K33),ISNUMBER(timeseries!K42)),timeseries!K33-timeseries!K42,"")</f>
        <v/>
      </c>
      <c r="O1426" s="77" t="inlineStr">
        <is>
          <t>EUR/MWh nominal</t>
        </is>
      </c>
    </row>
    <row r="1427" ht="15" customHeight="1" s="78">
      <c r="A1427" s="77" t="inlineStr">
        <is>
          <t>DE</t>
        </is>
      </c>
      <c r="B1427" s="77" t="n">
        <v>2017</v>
      </c>
      <c r="C1427" s="77" t="inlineStr">
        <is>
          <t>large</t>
        </is>
      </c>
      <c r="D1427" s="77" t="inlineStr">
        <is>
          <t>E2</t>
        </is>
      </c>
      <c r="E1427" s="77" t="inlineStr">
        <is>
          <t>HATCH — EEG BesAR relief (socialised via higher Umlage on others)</t>
        </is>
      </c>
      <c r="F1427" s="77" t="inlineStr">
        <is>
          <t>HATCH ii — borne by other electricity users</t>
        </is>
      </c>
      <c r="G1427" s="77" t="inlineStr">
        <is>
          <t>renewables levy relief</t>
        </is>
      </c>
      <c r="H1427" s="77" t="inlineStr">
        <is>
          <t>ii — other electricity users</t>
        </is>
      </c>
      <c r="I1427" s="77">
        <f>IF(ISNUMBER(N1427),N1427*fx_deflator!$J$12*fx_deflator!$M$12,"")</f>
        <v/>
      </c>
      <c r="J1427" s="77" t="inlineStr">
        <is>
          <t>EEG sec.41/sec.64 BesAR</t>
        </is>
      </c>
      <c r="K1427" s="77" t="inlineStr">
        <is>
          <t>timeseries r35/45</t>
        </is>
      </c>
      <c r="L1427" s="77" t="inlineStr">
        <is>
          <t>2026-07-15</t>
        </is>
      </c>
      <c r="M1427" s="77" t="inlineStr">
        <is>
          <t>Y</t>
        </is>
      </c>
      <c r="N1427" s="77">
        <f>IF(AND(ISNUMBER(timeseries!K35),ISNUMBER(timeseries!K45)),timeseries!K35-timeseries!K45,"")</f>
        <v/>
      </c>
      <c r="O1427" s="77" t="inlineStr">
        <is>
          <t>EUR/MWh nominal</t>
        </is>
      </c>
    </row>
    <row r="1428" ht="15" customHeight="1" s="78">
      <c r="A1428" s="77" t="inlineStr">
        <is>
          <t>DE</t>
        </is>
      </c>
      <c r="B1428" s="77" t="n">
        <v>2017</v>
      </c>
      <c r="C1428" s="77" t="inlineStr">
        <is>
          <t>medium</t>
        </is>
      </c>
      <c r="D1428" s="77" t="inlineStr">
        <is>
          <t>E2</t>
        </is>
      </c>
      <c r="E1428" s="77" t="inlineStr">
        <is>
          <t>HATCH — EEG BesAR relief (medium, D24)</t>
        </is>
      </c>
      <c r="F1428" s="77" t="inlineStr">
        <is>
          <t>HATCH ii — borne by other electricity users</t>
        </is>
      </c>
      <c r="G1428" s="77" t="inlineStr">
        <is>
          <t>renewables levy relief</t>
        </is>
      </c>
      <c r="H1428" s="77" t="inlineStr">
        <is>
          <t>ii — other electricity users</t>
        </is>
      </c>
      <c r="I1428" s="77">
        <f>IF(ISNUMBER(N1428),N1428*fx_deflator!$J$12*fx_deflator!$M$12,"")</f>
        <v/>
      </c>
      <c r="J1428" s="77" t="inlineStr">
        <is>
          <t>EEG BesAR; D24</t>
        </is>
      </c>
      <c r="K1428" s="77" t="inlineStr">
        <is>
          <t>timeseries r62</t>
        </is>
      </c>
      <c r="L1428" s="77" t="inlineStr">
        <is>
          <t>2026-07-15</t>
        </is>
      </c>
      <c r="M1428" s="77" t="inlineStr">
        <is>
          <t>Y</t>
        </is>
      </c>
      <c r="N1428" s="77">
        <f>IF(AND(ISNUMBER(stage4_de!K21),ISNUMBER(timeseries!K62)),stage4_de!K21*10-timeseries!K62,"")</f>
        <v/>
      </c>
      <c r="O1428" s="77" t="inlineStr">
        <is>
          <t>EUR/MWh nominal</t>
        </is>
      </c>
    </row>
    <row r="1429" ht="15" customHeight="1" s="78">
      <c r="A1429" s="77" t="inlineStr">
        <is>
          <t>DE</t>
        </is>
      </c>
      <c r="B1429" s="77" t="n">
        <v>2017</v>
      </c>
      <c r="C1429" s="77" t="inlineStr">
        <is>
          <t>large</t>
        </is>
      </c>
      <c r="D1429" s="77" t="inlineStr">
        <is>
          <t>E2</t>
        </is>
      </c>
      <c r="E1429" s="77" t="inlineStr">
        <is>
          <t>HATCH — C-prime reliefs on KWKG/sec.19/Offshore Umlagen</t>
        </is>
      </c>
      <c r="F1429" s="77" t="inlineStr">
        <is>
          <t>HATCH ii — borne by other electricity users</t>
        </is>
      </c>
      <c r="G1429" s="77" t="inlineStr">
        <is>
          <t>levy reliefs (stromintensiv tranches)</t>
        </is>
      </c>
      <c r="H1429" s="77" t="inlineStr">
        <is>
          <t>ii — other electricity users</t>
        </is>
      </c>
      <c r="I1429" s="77">
        <f>IF(ISNUMBER(N1429),N1429*fx_deflator!$J$12*fx_deflator!$M$12,"")</f>
        <v/>
      </c>
      <c r="J1429" s="77" t="inlineStr">
        <is>
          <t>netztransparenz C-prime rates; D25</t>
        </is>
      </c>
      <c r="K1429" s="77" t="inlineStr">
        <is>
          <t>timeseries r36-38 vs r47-49</t>
        </is>
      </c>
      <c r="L1429" s="77" t="inlineStr">
        <is>
          <t>2026-07-15</t>
        </is>
      </c>
      <c r="M1429" s="77" t="inlineStr">
        <is>
          <t>Y</t>
        </is>
      </c>
      <c r="N1429" s="77">
        <f>(N(timeseries!K36)-N(timeseries!K47))+(N(timeseries!K37)-N(timeseries!K48))+(N(timeseries!K38)-N(timeseries!K49))</f>
        <v/>
      </c>
      <c r="O1429" s="77" t="inlineStr">
        <is>
          <t>EUR/MWh nominal</t>
        </is>
      </c>
    </row>
    <row r="1430" ht="15" customHeight="1" s="78">
      <c r="A1430" s="77" t="inlineStr">
        <is>
          <t>DE</t>
        </is>
      </c>
      <c r="B1430" s="77" t="n">
        <v>2017</v>
      </c>
      <c r="C1430" s="77" t="inlineStr">
        <is>
          <t>medium</t>
        </is>
      </c>
      <c r="D1430" s="77" t="inlineStr">
        <is>
          <t>E2</t>
        </is>
      </c>
      <c r="E1430" s="77" t="inlineStr">
        <is>
          <t>HATCH — C-prime reliefs (medium blends)</t>
        </is>
      </c>
      <c r="F1430" s="77" t="inlineStr">
        <is>
          <t>HATCH ii — borne by other electricity users</t>
        </is>
      </c>
      <c r="G1430" s="77" t="inlineStr">
        <is>
          <t>levy reliefs</t>
        </is>
      </c>
      <c r="H1430" s="77" t="inlineStr">
        <is>
          <t>ii — other electricity users</t>
        </is>
      </c>
      <c r="I1430" s="77">
        <f>IF(ISNUMBER(N1430),N1430*fx_deflator!$J$12*fx_deflator!$M$12,"")</f>
        <v/>
      </c>
      <c r="J1430" s="77" t="inlineStr">
        <is>
          <t>netztransparenz; D25</t>
        </is>
      </c>
      <c r="K1430" s="77" t="inlineStr">
        <is>
          <t>timeseries r59/63</t>
        </is>
      </c>
      <c r="L1430" s="77" t="inlineStr">
        <is>
          <t>2026-07-15</t>
        </is>
      </c>
      <c r="M1430" s="77" t="inlineStr">
        <is>
          <t>Y</t>
        </is>
      </c>
      <c r="N1430" s="77">
        <f>(N(timeseries!K59)-N(stage4_de!K21)*10)-N(timeseries!K63)</f>
        <v/>
      </c>
      <c r="O1430" s="77" t="inlineStr">
        <is>
          <t>EUR/MWh nominal</t>
        </is>
      </c>
    </row>
    <row r="1431" ht="15" customHeight="1" s="78">
      <c r="A1431" s="77" t="inlineStr">
        <is>
          <t>DE</t>
        </is>
      </c>
      <c r="B1431" s="77" t="n">
        <v>2017</v>
      </c>
      <c r="C1431" s="77" t="inlineStr">
        <is>
          <t>large</t>
        </is>
      </c>
      <c r="D1431" s="77" t="inlineStr">
        <is>
          <t>E2</t>
        </is>
      </c>
      <c r="E1431" s="77" t="inlineStr">
        <is>
          <t>HATCH — Stromsteuer relief (foregone general taxation)</t>
        </is>
      </c>
      <c r="F1431" s="77" t="inlineStr">
        <is>
          <t>HATCH iii — borne by the taxpayer</t>
        </is>
      </c>
      <c r="G1431" s="77" t="inlineStr">
        <is>
          <t>electricity tax relief</t>
        </is>
      </c>
      <c r="H1431" s="77" t="inlineStr">
        <is>
          <t>iii — taxpayer (foregone revenue)</t>
        </is>
      </c>
      <c r="I1431" s="77">
        <f>IF(ISNUMBER(N1431),N1431*fx_deflator!$J$12*fx_deflator!$M$12,"")</f>
        <v/>
      </c>
      <c r="J1431" s="77" t="inlineStr">
        <is>
          <t>StromStG sec.9b/sec.10</t>
        </is>
      </c>
      <c r="K1431" s="77" t="inlineStr">
        <is>
          <t>stage4_de r34-35</t>
        </is>
      </c>
      <c r="L1431" s="77" t="inlineStr">
        <is>
          <t>2026-07-15</t>
        </is>
      </c>
      <c r="M1431" s="77" t="inlineStr">
        <is>
          <t>N</t>
        </is>
      </c>
      <c r="N1431" s="77">
        <f>IF(AND(ISNUMBER(stage4_de!K34),ISNUMBER(stage4_de!K35)),stage4_de!K34-stage4_de!K35,"")</f>
        <v/>
      </c>
      <c r="O1431" s="77" t="inlineStr">
        <is>
          <t>EUR/MWh nominal</t>
        </is>
      </c>
    </row>
    <row r="1432" ht="15" customHeight="1" s="78">
      <c r="A1432" s="77" t="inlineStr">
        <is>
          <t>DE</t>
        </is>
      </c>
      <c r="B1432" s="77" t="n">
        <v>2017</v>
      </c>
      <c r="C1432" s="77" t="inlineStr">
        <is>
          <t>medium</t>
        </is>
      </c>
      <c r="D1432" s="77" t="inlineStr">
        <is>
          <t>E2</t>
        </is>
      </c>
      <c r="E1432" s="77" t="inlineStr">
        <is>
          <t>HATCH — Stromsteuer relief (foregone general taxation)</t>
        </is>
      </c>
      <c r="F1432" s="77" t="inlineStr">
        <is>
          <t>HATCH iii — borne by the taxpayer</t>
        </is>
      </c>
      <c r="G1432" s="77" t="inlineStr">
        <is>
          <t>electricity tax relief</t>
        </is>
      </c>
      <c r="H1432" s="77" t="inlineStr">
        <is>
          <t>iii — taxpayer (foregone revenue)</t>
        </is>
      </c>
      <c r="I1432" s="77">
        <f>IF(ISNUMBER(N1432),N1432*fx_deflator!$J$12*fx_deflator!$M$12,"")</f>
        <v/>
      </c>
      <c r="J1432" s="77" t="inlineStr">
        <is>
          <t>StromStG sec.9b/sec.10</t>
        </is>
      </c>
      <c r="K1432" s="77" t="inlineStr">
        <is>
          <t>stage4_de r34-35</t>
        </is>
      </c>
      <c r="L1432" s="77" t="inlineStr">
        <is>
          <t>2026-07-15</t>
        </is>
      </c>
      <c r="M1432" s="77" t="inlineStr">
        <is>
          <t>N</t>
        </is>
      </c>
      <c r="N1432" s="77">
        <f>IF(AND(ISNUMBER(stage4_de!K34),ISNUMBER(stage4_de!K35)),stage4_de!K34-stage4_de!K35,"")</f>
        <v/>
      </c>
      <c r="O1432" s="77" t="inlineStr">
        <is>
          <t>EUR/MWh nominal</t>
        </is>
      </c>
    </row>
    <row r="1433" ht="15" customHeight="1" s="78">
      <c r="A1433" s="77" t="inlineStr">
        <is>
          <t>DE</t>
        </is>
      </c>
      <c r="B1433" s="77" t="n">
        <v>2018</v>
      </c>
      <c r="C1433" s="77" t="inlineStr">
        <is>
          <t>large</t>
        </is>
      </c>
      <c r="D1433" s="77" t="inlineStr">
        <is>
          <t>E2</t>
        </is>
      </c>
      <c r="E1433" s="77" t="inlineStr">
        <is>
          <t>HATCH — sec.19(2) network relief, recovered via sec.19-Umlage on all users</t>
        </is>
      </c>
      <c r="F1433" s="77" t="inlineStr">
        <is>
          <t>HATCH ii — borne by other electricity users</t>
        </is>
      </c>
      <c r="G1433" s="77" t="inlineStr">
        <is>
          <t>network relief (sec.19 StromNEV)</t>
        </is>
      </c>
      <c r="H1433" s="77" t="inlineStr">
        <is>
          <t>ii — other electricity users (sec.19-Umlage)</t>
        </is>
      </c>
      <c r="I1433" s="77">
        <f>IF(ISNUMBER(N1433),N1433*fx_deflator!$J$13*fx_deflator!$M$13,"")</f>
        <v/>
      </c>
      <c r="J1433" s="77" t="inlineStr">
        <is>
          <t>StromNEV sec.19(2); D8/D32</t>
        </is>
      </c>
      <c r="K1433" s="77" t="inlineStr">
        <is>
          <t>timeseries r33/42</t>
        </is>
      </c>
      <c r="L1433" s="77" t="inlineStr">
        <is>
          <t>2026-07-15</t>
        </is>
      </c>
      <c r="M1433" s="77" t="inlineStr">
        <is>
          <t>Y</t>
        </is>
      </c>
      <c r="N1433" s="77">
        <f>IF(AND(ISNUMBER(timeseries!L33),ISNUMBER(timeseries!L42)),timeseries!L33-timeseries!L42,"")</f>
        <v/>
      </c>
      <c r="O1433" s="77" t="inlineStr">
        <is>
          <t>EUR/MWh nominal</t>
        </is>
      </c>
    </row>
    <row r="1434" ht="15" customHeight="1" s="78">
      <c r="A1434" s="77" t="inlineStr">
        <is>
          <t>DE</t>
        </is>
      </c>
      <c r="B1434" s="77" t="n">
        <v>2018</v>
      </c>
      <c r="C1434" s="77" t="inlineStr">
        <is>
          <t>large</t>
        </is>
      </c>
      <c r="D1434" s="77" t="inlineStr">
        <is>
          <t>E2</t>
        </is>
      </c>
      <c r="E1434" s="77" t="inlineStr">
        <is>
          <t>HATCH — EEG BesAR relief (socialised via higher Umlage on others)</t>
        </is>
      </c>
      <c r="F1434" s="77" t="inlineStr">
        <is>
          <t>HATCH ii — borne by other electricity users</t>
        </is>
      </c>
      <c r="G1434" s="77" t="inlineStr">
        <is>
          <t>renewables levy relief</t>
        </is>
      </c>
      <c r="H1434" s="77" t="inlineStr">
        <is>
          <t>ii — other electricity users</t>
        </is>
      </c>
      <c r="I1434" s="77">
        <f>IF(ISNUMBER(N1434),N1434*fx_deflator!$J$13*fx_deflator!$M$13,"")</f>
        <v/>
      </c>
      <c r="J1434" s="77" t="inlineStr">
        <is>
          <t>EEG sec.41/sec.64 BesAR</t>
        </is>
      </c>
      <c r="K1434" s="77" t="inlineStr">
        <is>
          <t>timeseries r35/45</t>
        </is>
      </c>
      <c r="L1434" s="77" t="inlineStr">
        <is>
          <t>2026-07-15</t>
        </is>
      </c>
      <c r="M1434" s="77" t="inlineStr">
        <is>
          <t>Y</t>
        </is>
      </c>
      <c r="N1434" s="77">
        <f>IF(AND(ISNUMBER(timeseries!L35),ISNUMBER(timeseries!L45)),timeseries!L35-timeseries!L45,"")</f>
        <v/>
      </c>
      <c r="O1434" s="77" t="inlineStr">
        <is>
          <t>EUR/MWh nominal</t>
        </is>
      </c>
    </row>
    <row r="1435" ht="15" customHeight="1" s="78">
      <c r="A1435" s="77" t="inlineStr">
        <is>
          <t>DE</t>
        </is>
      </c>
      <c r="B1435" s="77" t="n">
        <v>2018</v>
      </c>
      <c r="C1435" s="77" t="inlineStr">
        <is>
          <t>medium</t>
        </is>
      </c>
      <c r="D1435" s="77" t="inlineStr">
        <is>
          <t>E2</t>
        </is>
      </c>
      <c r="E1435" s="77" t="inlineStr">
        <is>
          <t>HATCH — EEG BesAR relief (medium, D24)</t>
        </is>
      </c>
      <c r="F1435" s="77" t="inlineStr">
        <is>
          <t>HATCH ii — borne by other electricity users</t>
        </is>
      </c>
      <c r="G1435" s="77" t="inlineStr">
        <is>
          <t>renewables levy relief</t>
        </is>
      </c>
      <c r="H1435" s="77" t="inlineStr">
        <is>
          <t>ii — other electricity users</t>
        </is>
      </c>
      <c r="I1435" s="77">
        <f>IF(ISNUMBER(N1435),N1435*fx_deflator!$J$13*fx_deflator!$M$13,"")</f>
        <v/>
      </c>
      <c r="J1435" s="77" t="inlineStr">
        <is>
          <t>EEG BesAR; D24</t>
        </is>
      </c>
      <c r="K1435" s="77" t="inlineStr">
        <is>
          <t>timeseries r62</t>
        </is>
      </c>
      <c r="L1435" s="77" t="inlineStr">
        <is>
          <t>2026-07-15</t>
        </is>
      </c>
      <c r="M1435" s="77" t="inlineStr">
        <is>
          <t>Y</t>
        </is>
      </c>
      <c r="N1435" s="77">
        <f>IF(AND(ISNUMBER(stage4_de!L21),ISNUMBER(timeseries!L62)),stage4_de!L21*10-timeseries!L62,"")</f>
        <v/>
      </c>
      <c r="O1435" s="77" t="inlineStr">
        <is>
          <t>EUR/MWh nominal</t>
        </is>
      </c>
    </row>
    <row r="1436" ht="15" customHeight="1" s="78">
      <c r="A1436" s="77" t="inlineStr">
        <is>
          <t>DE</t>
        </is>
      </c>
      <c r="B1436" s="77" t="n">
        <v>2018</v>
      </c>
      <c r="C1436" s="77" t="inlineStr">
        <is>
          <t>large</t>
        </is>
      </c>
      <c r="D1436" s="77" t="inlineStr">
        <is>
          <t>E2</t>
        </is>
      </c>
      <c r="E1436" s="77" t="inlineStr">
        <is>
          <t>HATCH — C-prime reliefs on KWKG/sec.19/Offshore Umlagen</t>
        </is>
      </c>
      <c r="F1436" s="77" t="inlineStr">
        <is>
          <t>HATCH ii — borne by other electricity users</t>
        </is>
      </c>
      <c r="G1436" s="77" t="inlineStr">
        <is>
          <t>levy reliefs (stromintensiv tranches)</t>
        </is>
      </c>
      <c r="H1436" s="77" t="inlineStr">
        <is>
          <t>ii — other electricity users</t>
        </is>
      </c>
      <c r="I1436" s="77">
        <f>IF(ISNUMBER(N1436),N1436*fx_deflator!$J$13*fx_deflator!$M$13,"")</f>
        <v/>
      </c>
      <c r="J1436" s="77" t="inlineStr">
        <is>
          <t>netztransparenz C-prime rates; D25</t>
        </is>
      </c>
      <c r="K1436" s="77" t="inlineStr">
        <is>
          <t>timeseries r36-38 vs r47-49</t>
        </is>
      </c>
      <c r="L1436" s="77" t="inlineStr">
        <is>
          <t>2026-07-15</t>
        </is>
      </c>
      <c r="M1436" s="77" t="inlineStr">
        <is>
          <t>Y</t>
        </is>
      </c>
      <c r="N1436" s="77">
        <f>(N(timeseries!L36)-N(timeseries!L47))+(N(timeseries!L37)-N(timeseries!L48))+(N(timeseries!L38)-N(timeseries!L49))</f>
        <v/>
      </c>
      <c r="O1436" s="77" t="inlineStr">
        <is>
          <t>EUR/MWh nominal</t>
        </is>
      </c>
    </row>
    <row r="1437" ht="15" customHeight="1" s="78">
      <c r="A1437" s="77" t="inlineStr">
        <is>
          <t>DE</t>
        </is>
      </c>
      <c r="B1437" s="77" t="n">
        <v>2018</v>
      </c>
      <c r="C1437" s="77" t="inlineStr">
        <is>
          <t>medium</t>
        </is>
      </c>
      <c r="D1437" s="77" t="inlineStr">
        <is>
          <t>E2</t>
        </is>
      </c>
      <c r="E1437" s="77" t="inlineStr">
        <is>
          <t>HATCH — C-prime reliefs (medium blends)</t>
        </is>
      </c>
      <c r="F1437" s="77" t="inlineStr">
        <is>
          <t>HATCH ii — borne by other electricity users</t>
        </is>
      </c>
      <c r="G1437" s="77" t="inlineStr">
        <is>
          <t>levy reliefs</t>
        </is>
      </c>
      <c r="H1437" s="77" t="inlineStr">
        <is>
          <t>ii — other electricity users</t>
        </is>
      </c>
      <c r="I1437" s="77">
        <f>IF(ISNUMBER(N1437),N1437*fx_deflator!$J$13*fx_deflator!$M$13,"")</f>
        <v/>
      </c>
      <c r="J1437" s="77" t="inlineStr">
        <is>
          <t>netztransparenz; D25</t>
        </is>
      </c>
      <c r="K1437" s="77" t="inlineStr">
        <is>
          <t>timeseries r59/63</t>
        </is>
      </c>
      <c r="L1437" s="77" t="inlineStr">
        <is>
          <t>2026-07-15</t>
        </is>
      </c>
      <c r="M1437" s="77" t="inlineStr">
        <is>
          <t>Y</t>
        </is>
      </c>
      <c r="N1437" s="77">
        <f>(N(timeseries!L59)-N(stage4_de!L21)*10)-N(timeseries!L63)</f>
        <v/>
      </c>
      <c r="O1437" s="77" t="inlineStr">
        <is>
          <t>EUR/MWh nominal</t>
        </is>
      </c>
    </row>
    <row r="1438" ht="15" customHeight="1" s="78">
      <c r="A1438" s="77" t="inlineStr">
        <is>
          <t>DE</t>
        </is>
      </c>
      <c r="B1438" s="77" t="n">
        <v>2018</v>
      </c>
      <c r="C1438" s="77" t="inlineStr">
        <is>
          <t>large</t>
        </is>
      </c>
      <c r="D1438" s="77" t="inlineStr">
        <is>
          <t>E2</t>
        </is>
      </c>
      <c r="E1438" s="77" t="inlineStr">
        <is>
          <t>HATCH — Stromsteuer relief (foregone general taxation)</t>
        </is>
      </c>
      <c r="F1438" s="77" t="inlineStr">
        <is>
          <t>HATCH iii — borne by the taxpayer</t>
        </is>
      </c>
      <c r="G1438" s="77" t="inlineStr">
        <is>
          <t>electricity tax relief</t>
        </is>
      </c>
      <c r="H1438" s="77" t="inlineStr">
        <is>
          <t>iii — taxpayer (foregone revenue)</t>
        </is>
      </c>
      <c r="I1438" s="77">
        <f>IF(ISNUMBER(N1438),N1438*fx_deflator!$J$13*fx_deflator!$M$13,"")</f>
        <v/>
      </c>
      <c r="J1438" s="77" t="inlineStr">
        <is>
          <t>StromStG sec.9b/sec.10</t>
        </is>
      </c>
      <c r="K1438" s="77" t="inlineStr">
        <is>
          <t>stage4_de r34-35</t>
        </is>
      </c>
      <c r="L1438" s="77" t="inlineStr">
        <is>
          <t>2026-07-15</t>
        </is>
      </c>
      <c r="M1438" s="77" t="inlineStr">
        <is>
          <t>N</t>
        </is>
      </c>
      <c r="N1438" s="77">
        <f>IF(AND(ISNUMBER(stage4_de!L34),ISNUMBER(stage4_de!L35)),stage4_de!L34-stage4_de!L35,"")</f>
        <v/>
      </c>
      <c r="O1438" s="77" t="inlineStr">
        <is>
          <t>EUR/MWh nominal</t>
        </is>
      </c>
    </row>
    <row r="1439" ht="15" customHeight="1" s="78">
      <c r="A1439" s="77" t="inlineStr">
        <is>
          <t>DE</t>
        </is>
      </c>
      <c r="B1439" s="77" t="n">
        <v>2018</v>
      </c>
      <c r="C1439" s="77" t="inlineStr">
        <is>
          <t>medium</t>
        </is>
      </c>
      <c r="D1439" s="77" t="inlineStr">
        <is>
          <t>E2</t>
        </is>
      </c>
      <c r="E1439" s="77" t="inlineStr">
        <is>
          <t>HATCH — Stromsteuer relief (foregone general taxation)</t>
        </is>
      </c>
      <c r="F1439" s="77" t="inlineStr">
        <is>
          <t>HATCH iii — borne by the taxpayer</t>
        </is>
      </c>
      <c r="G1439" s="77" t="inlineStr">
        <is>
          <t>electricity tax relief</t>
        </is>
      </c>
      <c r="H1439" s="77" t="inlineStr">
        <is>
          <t>iii — taxpayer (foregone revenue)</t>
        </is>
      </c>
      <c r="I1439" s="77">
        <f>IF(ISNUMBER(N1439),N1439*fx_deflator!$J$13*fx_deflator!$M$13,"")</f>
        <v/>
      </c>
      <c r="J1439" s="77" t="inlineStr">
        <is>
          <t>StromStG sec.9b/sec.10</t>
        </is>
      </c>
      <c r="K1439" s="77" t="inlineStr">
        <is>
          <t>stage4_de r34-35</t>
        </is>
      </c>
      <c r="L1439" s="77" t="inlineStr">
        <is>
          <t>2026-07-15</t>
        </is>
      </c>
      <c r="M1439" s="77" t="inlineStr">
        <is>
          <t>N</t>
        </is>
      </c>
      <c r="N1439" s="77">
        <f>IF(AND(ISNUMBER(stage4_de!L34),ISNUMBER(stage4_de!L35)),stage4_de!L34-stage4_de!L35,"")</f>
        <v/>
      </c>
      <c r="O1439" s="77" t="inlineStr">
        <is>
          <t>EUR/MWh nominal</t>
        </is>
      </c>
    </row>
    <row r="1440" ht="15" customHeight="1" s="78">
      <c r="A1440" s="77" t="inlineStr">
        <is>
          <t>DE</t>
        </is>
      </c>
      <c r="B1440" s="77" t="n">
        <v>2019</v>
      </c>
      <c r="C1440" s="77" t="inlineStr">
        <is>
          <t>large</t>
        </is>
      </c>
      <c r="D1440" s="77" t="inlineStr">
        <is>
          <t>E2</t>
        </is>
      </c>
      <c r="E1440" s="77" t="inlineStr">
        <is>
          <t>HATCH — sec.19(2) network relief, recovered via sec.19-Umlage on all users</t>
        </is>
      </c>
      <c r="F1440" s="77" t="inlineStr">
        <is>
          <t>HATCH ii — borne by other electricity users</t>
        </is>
      </c>
      <c r="G1440" s="77" t="inlineStr">
        <is>
          <t>network relief (sec.19 StromNEV)</t>
        </is>
      </c>
      <c r="H1440" s="77" t="inlineStr">
        <is>
          <t>ii — other electricity users (sec.19-Umlage)</t>
        </is>
      </c>
      <c r="I1440" s="77">
        <f>IF(ISNUMBER(N1440),N1440*fx_deflator!$J$14*fx_deflator!$M$14,"")</f>
        <v/>
      </c>
      <c r="J1440" s="77" t="inlineStr">
        <is>
          <t>StromNEV sec.19(2); D8/D32</t>
        </is>
      </c>
      <c r="K1440" s="77" t="inlineStr">
        <is>
          <t>timeseries r33/42</t>
        </is>
      </c>
      <c r="L1440" s="77" t="inlineStr">
        <is>
          <t>2026-07-15</t>
        </is>
      </c>
      <c r="M1440" s="77" t="inlineStr">
        <is>
          <t>Y</t>
        </is>
      </c>
      <c r="N1440" s="77">
        <f>IF(AND(ISNUMBER(timeseries!M33),ISNUMBER(timeseries!M42)),timeseries!M33-timeseries!M42,"")</f>
        <v/>
      </c>
      <c r="O1440" s="77" t="inlineStr">
        <is>
          <t>EUR/MWh nominal</t>
        </is>
      </c>
    </row>
    <row r="1441" ht="15" customHeight="1" s="78">
      <c r="A1441" s="77" t="inlineStr">
        <is>
          <t>DE</t>
        </is>
      </c>
      <c r="B1441" s="77" t="n">
        <v>2019</v>
      </c>
      <c r="C1441" s="77" t="inlineStr">
        <is>
          <t>large</t>
        </is>
      </c>
      <c r="D1441" s="77" t="inlineStr">
        <is>
          <t>E2</t>
        </is>
      </c>
      <c r="E1441" s="77" t="inlineStr">
        <is>
          <t>HATCH — EEG BesAR relief (socialised via higher Umlage on others)</t>
        </is>
      </c>
      <c r="F1441" s="77" t="inlineStr">
        <is>
          <t>HATCH ii — borne by other electricity users</t>
        </is>
      </c>
      <c r="G1441" s="77" t="inlineStr">
        <is>
          <t>renewables levy relief</t>
        </is>
      </c>
      <c r="H1441" s="77" t="inlineStr">
        <is>
          <t>ii — other electricity users</t>
        </is>
      </c>
      <c r="I1441" s="77">
        <f>IF(ISNUMBER(N1441),N1441*fx_deflator!$J$14*fx_deflator!$M$14,"")</f>
        <v/>
      </c>
      <c r="J1441" s="77" t="inlineStr">
        <is>
          <t>EEG sec.41/sec.64 BesAR</t>
        </is>
      </c>
      <c r="K1441" s="77" t="inlineStr">
        <is>
          <t>timeseries r35/45</t>
        </is>
      </c>
      <c r="L1441" s="77" t="inlineStr">
        <is>
          <t>2026-07-15</t>
        </is>
      </c>
      <c r="M1441" s="77" t="inlineStr">
        <is>
          <t>Y</t>
        </is>
      </c>
      <c r="N1441" s="77">
        <f>IF(AND(ISNUMBER(timeseries!M35),ISNUMBER(timeseries!M45)),timeseries!M35-timeseries!M45,"")</f>
        <v/>
      </c>
      <c r="O1441" s="77" t="inlineStr">
        <is>
          <t>EUR/MWh nominal</t>
        </is>
      </c>
    </row>
    <row r="1442" ht="15" customHeight="1" s="78">
      <c r="A1442" s="77" t="inlineStr">
        <is>
          <t>DE</t>
        </is>
      </c>
      <c r="B1442" s="77" t="n">
        <v>2019</v>
      </c>
      <c r="C1442" s="77" t="inlineStr">
        <is>
          <t>medium</t>
        </is>
      </c>
      <c r="D1442" s="77" t="inlineStr">
        <is>
          <t>E2</t>
        </is>
      </c>
      <c r="E1442" s="77" t="inlineStr">
        <is>
          <t>HATCH — EEG BesAR relief (medium, D24)</t>
        </is>
      </c>
      <c r="F1442" s="77" t="inlineStr">
        <is>
          <t>HATCH ii — borne by other electricity users</t>
        </is>
      </c>
      <c r="G1442" s="77" t="inlineStr">
        <is>
          <t>renewables levy relief</t>
        </is>
      </c>
      <c r="H1442" s="77" t="inlineStr">
        <is>
          <t>ii — other electricity users</t>
        </is>
      </c>
      <c r="I1442" s="77">
        <f>IF(ISNUMBER(N1442),N1442*fx_deflator!$J$14*fx_deflator!$M$14,"")</f>
        <v/>
      </c>
      <c r="J1442" s="77" t="inlineStr">
        <is>
          <t>EEG BesAR; D24</t>
        </is>
      </c>
      <c r="K1442" s="77" t="inlineStr">
        <is>
          <t>timeseries r62</t>
        </is>
      </c>
      <c r="L1442" s="77" t="inlineStr">
        <is>
          <t>2026-07-15</t>
        </is>
      </c>
      <c r="M1442" s="77" t="inlineStr">
        <is>
          <t>Y</t>
        </is>
      </c>
      <c r="N1442" s="77">
        <f>IF(AND(ISNUMBER(stage4_de!M21),ISNUMBER(timeseries!M62)),stage4_de!M21*10-timeseries!M62,"")</f>
        <v/>
      </c>
      <c r="O1442" s="77" t="inlineStr">
        <is>
          <t>EUR/MWh nominal</t>
        </is>
      </c>
    </row>
    <row r="1443" ht="15" customHeight="1" s="78">
      <c r="A1443" s="77" t="inlineStr">
        <is>
          <t>DE</t>
        </is>
      </c>
      <c r="B1443" s="77" t="n">
        <v>2019</v>
      </c>
      <c r="C1443" s="77" t="inlineStr">
        <is>
          <t>large</t>
        </is>
      </c>
      <c r="D1443" s="77" t="inlineStr">
        <is>
          <t>E2</t>
        </is>
      </c>
      <c r="E1443" s="77" t="inlineStr">
        <is>
          <t>HATCH — C-prime reliefs on KWKG/sec.19/Offshore Umlagen</t>
        </is>
      </c>
      <c r="F1443" s="77" t="inlineStr">
        <is>
          <t>HATCH ii — borne by other electricity users</t>
        </is>
      </c>
      <c r="G1443" s="77" t="inlineStr">
        <is>
          <t>levy reliefs (stromintensiv tranches)</t>
        </is>
      </c>
      <c r="H1443" s="77" t="inlineStr">
        <is>
          <t>ii — other electricity users</t>
        </is>
      </c>
      <c r="I1443" s="77">
        <f>IF(ISNUMBER(N1443),N1443*fx_deflator!$J$14*fx_deflator!$M$14,"")</f>
        <v/>
      </c>
      <c r="J1443" s="77" t="inlineStr">
        <is>
          <t>netztransparenz C-prime rates; D25</t>
        </is>
      </c>
      <c r="K1443" s="77" t="inlineStr">
        <is>
          <t>timeseries r36-38 vs r47-49</t>
        </is>
      </c>
      <c r="L1443" s="77" t="inlineStr">
        <is>
          <t>2026-07-15</t>
        </is>
      </c>
      <c r="M1443" s="77" t="inlineStr">
        <is>
          <t>Y</t>
        </is>
      </c>
      <c r="N1443" s="77">
        <f>(N(timeseries!M36)-N(timeseries!M47))+(N(timeseries!M37)-N(timeseries!M48))+(N(timeseries!M38)-N(timeseries!M49))</f>
        <v/>
      </c>
      <c r="O1443" s="77" t="inlineStr">
        <is>
          <t>EUR/MWh nominal</t>
        </is>
      </c>
    </row>
    <row r="1444" ht="15" customHeight="1" s="78">
      <c r="A1444" s="77" t="inlineStr">
        <is>
          <t>DE</t>
        </is>
      </c>
      <c r="B1444" s="77" t="n">
        <v>2019</v>
      </c>
      <c r="C1444" s="77" t="inlineStr">
        <is>
          <t>medium</t>
        </is>
      </c>
      <c r="D1444" s="77" t="inlineStr">
        <is>
          <t>E2</t>
        </is>
      </c>
      <c r="E1444" s="77" t="inlineStr">
        <is>
          <t>HATCH — C-prime reliefs (medium blends)</t>
        </is>
      </c>
      <c r="F1444" s="77" t="inlineStr">
        <is>
          <t>HATCH ii — borne by other electricity users</t>
        </is>
      </c>
      <c r="G1444" s="77" t="inlineStr">
        <is>
          <t>levy reliefs</t>
        </is>
      </c>
      <c r="H1444" s="77" t="inlineStr">
        <is>
          <t>ii — other electricity users</t>
        </is>
      </c>
      <c r="I1444" s="77">
        <f>IF(ISNUMBER(N1444),N1444*fx_deflator!$J$14*fx_deflator!$M$14,"")</f>
        <v/>
      </c>
      <c r="J1444" s="77" t="inlineStr">
        <is>
          <t>netztransparenz; D25</t>
        </is>
      </c>
      <c r="K1444" s="77" t="inlineStr">
        <is>
          <t>timeseries r59/63</t>
        </is>
      </c>
      <c r="L1444" s="77" t="inlineStr">
        <is>
          <t>2026-07-15</t>
        </is>
      </c>
      <c r="M1444" s="77" t="inlineStr">
        <is>
          <t>Y</t>
        </is>
      </c>
      <c r="N1444" s="77">
        <f>(N(timeseries!M59)-N(stage4_de!M21)*10)-N(timeseries!M63)</f>
        <v/>
      </c>
      <c r="O1444" s="77" t="inlineStr">
        <is>
          <t>EUR/MWh nominal</t>
        </is>
      </c>
    </row>
    <row r="1445" ht="15" customHeight="1" s="78">
      <c r="A1445" s="77" t="inlineStr">
        <is>
          <t>DE</t>
        </is>
      </c>
      <c r="B1445" s="77" t="n">
        <v>2019</v>
      </c>
      <c r="C1445" s="77" t="inlineStr">
        <is>
          <t>large</t>
        </is>
      </c>
      <c r="D1445" s="77" t="inlineStr">
        <is>
          <t>E2</t>
        </is>
      </c>
      <c r="E1445" s="77" t="inlineStr">
        <is>
          <t>HATCH — Stromsteuer relief (foregone general taxation)</t>
        </is>
      </c>
      <c r="F1445" s="77" t="inlineStr">
        <is>
          <t>HATCH iii — borne by the taxpayer</t>
        </is>
      </c>
      <c r="G1445" s="77" t="inlineStr">
        <is>
          <t>electricity tax relief</t>
        </is>
      </c>
      <c r="H1445" s="77" t="inlineStr">
        <is>
          <t>iii — taxpayer (foregone revenue)</t>
        </is>
      </c>
      <c r="I1445" s="77">
        <f>IF(ISNUMBER(N1445),N1445*fx_deflator!$J$14*fx_deflator!$M$14,"")</f>
        <v/>
      </c>
      <c r="J1445" s="77" t="inlineStr">
        <is>
          <t>StromStG sec.9b/sec.10</t>
        </is>
      </c>
      <c r="K1445" s="77" t="inlineStr">
        <is>
          <t>stage4_de r34-35</t>
        </is>
      </c>
      <c r="L1445" s="77" t="inlineStr">
        <is>
          <t>2026-07-15</t>
        </is>
      </c>
      <c r="M1445" s="77" t="inlineStr">
        <is>
          <t>N</t>
        </is>
      </c>
      <c r="N1445" s="77">
        <f>IF(AND(ISNUMBER(stage4_de!M34),ISNUMBER(stage4_de!M35)),stage4_de!M34-stage4_de!M35,"")</f>
        <v/>
      </c>
      <c r="O1445" s="77" t="inlineStr">
        <is>
          <t>EUR/MWh nominal</t>
        </is>
      </c>
    </row>
    <row r="1446" ht="15" customHeight="1" s="78">
      <c r="A1446" s="77" t="inlineStr">
        <is>
          <t>DE</t>
        </is>
      </c>
      <c r="B1446" s="77" t="n">
        <v>2019</v>
      </c>
      <c r="C1446" s="77" t="inlineStr">
        <is>
          <t>medium</t>
        </is>
      </c>
      <c r="D1446" s="77" t="inlineStr">
        <is>
          <t>E2</t>
        </is>
      </c>
      <c r="E1446" s="77" t="inlineStr">
        <is>
          <t>HATCH — Stromsteuer relief (foregone general taxation)</t>
        </is>
      </c>
      <c r="F1446" s="77" t="inlineStr">
        <is>
          <t>HATCH iii — borne by the taxpayer</t>
        </is>
      </c>
      <c r="G1446" s="77" t="inlineStr">
        <is>
          <t>electricity tax relief</t>
        </is>
      </c>
      <c r="H1446" s="77" t="inlineStr">
        <is>
          <t>iii — taxpayer (foregone revenue)</t>
        </is>
      </c>
      <c r="I1446" s="77">
        <f>IF(ISNUMBER(N1446),N1446*fx_deflator!$J$14*fx_deflator!$M$14,"")</f>
        <v/>
      </c>
      <c r="J1446" s="77" t="inlineStr">
        <is>
          <t>StromStG sec.9b/sec.10</t>
        </is>
      </c>
      <c r="K1446" s="77" t="inlineStr">
        <is>
          <t>stage4_de r34-35</t>
        </is>
      </c>
      <c r="L1446" s="77" t="inlineStr">
        <is>
          <t>2026-07-15</t>
        </is>
      </c>
      <c r="M1446" s="77" t="inlineStr">
        <is>
          <t>N</t>
        </is>
      </c>
      <c r="N1446" s="77">
        <f>IF(AND(ISNUMBER(stage4_de!M34),ISNUMBER(stage4_de!M35)),stage4_de!M34-stage4_de!M35,"")</f>
        <v/>
      </c>
      <c r="O1446" s="77" t="inlineStr">
        <is>
          <t>EUR/MWh nominal</t>
        </is>
      </c>
    </row>
    <row r="1447" ht="15" customHeight="1" s="78">
      <c r="A1447" s="77" t="inlineStr">
        <is>
          <t>DE</t>
        </is>
      </c>
      <c r="B1447" s="77" t="n">
        <v>2020</v>
      </c>
      <c r="C1447" s="77" t="inlineStr">
        <is>
          <t>large</t>
        </is>
      </c>
      <c r="D1447" s="77" t="inlineStr">
        <is>
          <t>E2</t>
        </is>
      </c>
      <c r="E1447" s="77" t="inlineStr">
        <is>
          <t>HATCH — sec.19(2) network relief, recovered via sec.19-Umlage on all users</t>
        </is>
      </c>
      <c r="F1447" s="77" t="inlineStr">
        <is>
          <t>HATCH ii — borne by other electricity users</t>
        </is>
      </c>
      <c r="G1447" s="77" t="inlineStr">
        <is>
          <t>network relief (sec.19 StromNEV)</t>
        </is>
      </c>
      <c r="H1447" s="77" t="inlineStr">
        <is>
          <t>ii — other electricity users (sec.19-Umlage)</t>
        </is>
      </c>
      <c r="I1447" s="77">
        <f>IF(ISNUMBER(N1447),N1447*fx_deflator!$J$15*fx_deflator!$M$15,"")</f>
        <v/>
      </c>
      <c r="J1447" s="77" t="inlineStr">
        <is>
          <t>StromNEV sec.19(2); D8/D32</t>
        </is>
      </c>
      <c r="K1447" s="77" t="inlineStr">
        <is>
          <t>timeseries r33/42</t>
        </is>
      </c>
      <c r="L1447" s="77" t="inlineStr">
        <is>
          <t>2026-07-15</t>
        </is>
      </c>
      <c r="M1447" s="77" t="inlineStr">
        <is>
          <t>Y</t>
        </is>
      </c>
      <c r="N1447" s="77">
        <f>IF(AND(ISNUMBER(timeseries!N33),ISNUMBER(timeseries!N42)),timeseries!N33-timeseries!N42,"")</f>
        <v/>
      </c>
      <c r="O1447" s="77" t="inlineStr">
        <is>
          <t>EUR/MWh nominal</t>
        </is>
      </c>
    </row>
    <row r="1448" ht="15" customHeight="1" s="78">
      <c r="A1448" s="77" t="inlineStr">
        <is>
          <t>DE</t>
        </is>
      </c>
      <c r="B1448" s="77" t="n">
        <v>2020</v>
      </c>
      <c r="C1448" s="77" t="inlineStr">
        <is>
          <t>large</t>
        </is>
      </c>
      <c r="D1448" s="77" t="inlineStr">
        <is>
          <t>E2</t>
        </is>
      </c>
      <c r="E1448" s="77" t="inlineStr">
        <is>
          <t>HATCH — EEG BesAR relief (socialised via higher Umlage on others)</t>
        </is>
      </c>
      <c r="F1448" s="77" t="inlineStr">
        <is>
          <t>HATCH ii — borne by other electricity users</t>
        </is>
      </c>
      <c r="G1448" s="77" t="inlineStr">
        <is>
          <t>renewables levy relief</t>
        </is>
      </c>
      <c r="H1448" s="77" t="inlineStr">
        <is>
          <t>ii — other electricity users</t>
        </is>
      </c>
      <c r="I1448" s="77">
        <f>IF(ISNUMBER(N1448),N1448*fx_deflator!$J$15*fx_deflator!$M$15,"")</f>
        <v/>
      </c>
      <c r="J1448" s="77" t="inlineStr">
        <is>
          <t>EEG sec.41/sec.64 BesAR</t>
        </is>
      </c>
      <c r="K1448" s="77" t="inlineStr">
        <is>
          <t>timeseries r35/45</t>
        </is>
      </c>
      <c r="L1448" s="77" t="inlineStr">
        <is>
          <t>2026-07-15</t>
        </is>
      </c>
      <c r="M1448" s="77" t="inlineStr">
        <is>
          <t>Y</t>
        </is>
      </c>
      <c r="N1448" s="77">
        <f>IF(AND(ISNUMBER(timeseries!N35),ISNUMBER(timeseries!N45)),timeseries!N35-timeseries!N45,"")</f>
        <v/>
      </c>
      <c r="O1448" s="77" t="inlineStr">
        <is>
          <t>EUR/MWh nominal</t>
        </is>
      </c>
    </row>
    <row r="1449" ht="15" customHeight="1" s="78">
      <c r="A1449" s="77" t="inlineStr">
        <is>
          <t>DE</t>
        </is>
      </c>
      <c r="B1449" s="77" t="n">
        <v>2020</v>
      </c>
      <c r="C1449" s="77" t="inlineStr">
        <is>
          <t>medium</t>
        </is>
      </c>
      <c r="D1449" s="77" t="inlineStr">
        <is>
          <t>E2</t>
        </is>
      </c>
      <c r="E1449" s="77" t="inlineStr">
        <is>
          <t>HATCH — EEG BesAR relief (medium, D24)</t>
        </is>
      </c>
      <c r="F1449" s="77" t="inlineStr">
        <is>
          <t>HATCH ii — borne by other electricity users</t>
        </is>
      </c>
      <c r="G1449" s="77" t="inlineStr">
        <is>
          <t>renewables levy relief</t>
        </is>
      </c>
      <c r="H1449" s="77" t="inlineStr">
        <is>
          <t>ii — other electricity users</t>
        </is>
      </c>
      <c r="I1449" s="77">
        <f>IF(ISNUMBER(N1449),N1449*fx_deflator!$J$15*fx_deflator!$M$15,"")</f>
        <v/>
      </c>
      <c r="J1449" s="77" t="inlineStr">
        <is>
          <t>EEG BesAR; D24</t>
        </is>
      </c>
      <c r="K1449" s="77" t="inlineStr">
        <is>
          <t>timeseries r62</t>
        </is>
      </c>
      <c r="L1449" s="77" t="inlineStr">
        <is>
          <t>2026-07-15</t>
        </is>
      </c>
      <c r="M1449" s="77" t="inlineStr">
        <is>
          <t>Y</t>
        </is>
      </c>
      <c r="N1449" s="77">
        <f>IF(AND(ISNUMBER(stage4_de!N21),ISNUMBER(timeseries!N62)),stage4_de!N21*10-timeseries!N62,"")</f>
        <v/>
      </c>
      <c r="O1449" s="77" t="inlineStr">
        <is>
          <t>EUR/MWh nominal</t>
        </is>
      </c>
    </row>
    <row r="1450" ht="15" customHeight="1" s="78">
      <c r="A1450" s="77" t="inlineStr">
        <is>
          <t>DE</t>
        </is>
      </c>
      <c r="B1450" s="77" t="n">
        <v>2020</v>
      </c>
      <c r="C1450" s="77" t="inlineStr">
        <is>
          <t>large</t>
        </is>
      </c>
      <c r="D1450" s="77" t="inlineStr">
        <is>
          <t>E2</t>
        </is>
      </c>
      <c r="E1450" s="77" t="inlineStr">
        <is>
          <t>HATCH — C-prime reliefs on KWKG/sec.19/Offshore Umlagen</t>
        </is>
      </c>
      <c r="F1450" s="77" t="inlineStr">
        <is>
          <t>HATCH ii — borne by other electricity users</t>
        </is>
      </c>
      <c r="G1450" s="77" t="inlineStr">
        <is>
          <t>levy reliefs (stromintensiv tranches)</t>
        </is>
      </c>
      <c r="H1450" s="77" t="inlineStr">
        <is>
          <t>ii — other electricity users</t>
        </is>
      </c>
      <c r="I1450" s="77">
        <f>IF(ISNUMBER(N1450),N1450*fx_deflator!$J$15*fx_deflator!$M$15,"")</f>
        <v/>
      </c>
      <c r="J1450" s="77" t="inlineStr">
        <is>
          <t>netztransparenz C-prime rates; D25</t>
        </is>
      </c>
      <c r="K1450" s="77" t="inlineStr">
        <is>
          <t>timeseries r36-38 vs r47-49</t>
        </is>
      </c>
      <c r="L1450" s="77" t="inlineStr">
        <is>
          <t>2026-07-15</t>
        </is>
      </c>
      <c r="M1450" s="77" t="inlineStr">
        <is>
          <t>Y</t>
        </is>
      </c>
      <c r="N1450" s="77">
        <f>(N(timeseries!N36)-N(timeseries!N47))+(N(timeseries!N37)-N(timeseries!N48))+(N(timeseries!N38)-N(timeseries!N49))</f>
        <v/>
      </c>
      <c r="O1450" s="77" t="inlineStr">
        <is>
          <t>EUR/MWh nominal</t>
        </is>
      </c>
    </row>
    <row r="1451" ht="15" customHeight="1" s="78">
      <c r="A1451" s="77" t="inlineStr">
        <is>
          <t>DE</t>
        </is>
      </c>
      <c r="B1451" s="77" t="n">
        <v>2020</v>
      </c>
      <c r="C1451" s="77" t="inlineStr">
        <is>
          <t>medium</t>
        </is>
      </c>
      <c r="D1451" s="77" t="inlineStr">
        <is>
          <t>E2</t>
        </is>
      </c>
      <c r="E1451" s="77" t="inlineStr">
        <is>
          <t>HATCH — C-prime reliefs (medium blends)</t>
        </is>
      </c>
      <c r="F1451" s="77" t="inlineStr">
        <is>
          <t>HATCH ii — borne by other electricity users</t>
        </is>
      </c>
      <c r="G1451" s="77" t="inlineStr">
        <is>
          <t>levy reliefs</t>
        </is>
      </c>
      <c r="H1451" s="77" t="inlineStr">
        <is>
          <t>ii — other electricity users</t>
        </is>
      </c>
      <c r="I1451" s="77">
        <f>IF(ISNUMBER(N1451),N1451*fx_deflator!$J$15*fx_deflator!$M$15,"")</f>
        <v/>
      </c>
      <c r="J1451" s="77" t="inlineStr">
        <is>
          <t>netztransparenz; D25</t>
        </is>
      </c>
      <c r="K1451" s="77" t="inlineStr">
        <is>
          <t>timeseries r59/63</t>
        </is>
      </c>
      <c r="L1451" s="77" t="inlineStr">
        <is>
          <t>2026-07-15</t>
        </is>
      </c>
      <c r="M1451" s="77" t="inlineStr">
        <is>
          <t>Y</t>
        </is>
      </c>
      <c r="N1451" s="77">
        <f>(N(timeseries!N59)-N(stage4_de!N21)*10)-N(timeseries!N63)</f>
        <v/>
      </c>
      <c r="O1451" s="77" t="inlineStr">
        <is>
          <t>EUR/MWh nominal</t>
        </is>
      </c>
    </row>
    <row r="1452" ht="15" customHeight="1" s="78">
      <c r="A1452" s="77" t="inlineStr">
        <is>
          <t>DE</t>
        </is>
      </c>
      <c r="B1452" s="77" t="n">
        <v>2020</v>
      </c>
      <c r="C1452" s="77" t="inlineStr">
        <is>
          <t>large</t>
        </is>
      </c>
      <c r="D1452" s="77" t="inlineStr">
        <is>
          <t>E2</t>
        </is>
      </c>
      <c r="E1452" s="77" t="inlineStr">
        <is>
          <t>HATCH — Stromsteuer relief (foregone general taxation)</t>
        </is>
      </c>
      <c r="F1452" s="77" t="inlineStr">
        <is>
          <t>HATCH iii — borne by the taxpayer</t>
        </is>
      </c>
      <c r="G1452" s="77" t="inlineStr">
        <is>
          <t>electricity tax relief</t>
        </is>
      </c>
      <c r="H1452" s="77" t="inlineStr">
        <is>
          <t>iii — taxpayer (foregone revenue)</t>
        </is>
      </c>
      <c r="I1452" s="77">
        <f>IF(ISNUMBER(N1452),N1452*fx_deflator!$J$15*fx_deflator!$M$15,"")</f>
        <v/>
      </c>
      <c r="J1452" s="77" t="inlineStr">
        <is>
          <t>StromStG sec.9b/sec.10</t>
        </is>
      </c>
      <c r="K1452" s="77" t="inlineStr">
        <is>
          <t>stage4_de r34-35</t>
        </is>
      </c>
      <c r="L1452" s="77" t="inlineStr">
        <is>
          <t>2026-07-15</t>
        </is>
      </c>
      <c r="M1452" s="77" t="inlineStr">
        <is>
          <t>N</t>
        </is>
      </c>
      <c r="N1452" s="77">
        <f>IF(AND(ISNUMBER(stage4_de!N34),ISNUMBER(stage4_de!N35)),stage4_de!N34-stage4_de!N35,"")</f>
        <v/>
      </c>
      <c r="O1452" s="77" t="inlineStr">
        <is>
          <t>EUR/MWh nominal</t>
        </is>
      </c>
    </row>
    <row r="1453" ht="15" customHeight="1" s="78">
      <c r="A1453" s="77" t="inlineStr">
        <is>
          <t>DE</t>
        </is>
      </c>
      <c r="B1453" s="77" t="n">
        <v>2020</v>
      </c>
      <c r="C1453" s="77" t="inlineStr">
        <is>
          <t>medium</t>
        </is>
      </c>
      <c r="D1453" s="77" t="inlineStr">
        <is>
          <t>E2</t>
        </is>
      </c>
      <c r="E1453" s="77" t="inlineStr">
        <is>
          <t>HATCH — Stromsteuer relief (foregone general taxation)</t>
        </is>
      </c>
      <c r="F1453" s="77" t="inlineStr">
        <is>
          <t>HATCH iii — borne by the taxpayer</t>
        </is>
      </c>
      <c r="G1453" s="77" t="inlineStr">
        <is>
          <t>electricity tax relief</t>
        </is>
      </c>
      <c r="H1453" s="77" t="inlineStr">
        <is>
          <t>iii — taxpayer (foregone revenue)</t>
        </is>
      </c>
      <c r="I1453" s="77">
        <f>IF(ISNUMBER(N1453),N1453*fx_deflator!$J$15*fx_deflator!$M$15,"")</f>
        <v/>
      </c>
      <c r="J1453" s="77" t="inlineStr">
        <is>
          <t>StromStG sec.9b/sec.10</t>
        </is>
      </c>
      <c r="K1453" s="77" t="inlineStr">
        <is>
          <t>stage4_de r34-35</t>
        </is>
      </c>
      <c r="L1453" s="77" t="inlineStr">
        <is>
          <t>2026-07-15</t>
        </is>
      </c>
      <c r="M1453" s="77" t="inlineStr">
        <is>
          <t>N</t>
        </is>
      </c>
      <c r="N1453" s="77">
        <f>IF(AND(ISNUMBER(stage4_de!N34),ISNUMBER(stage4_de!N35)),stage4_de!N34-stage4_de!N35,"")</f>
        <v/>
      </c>
      <c r="O1453" s="77" t="inlineStr">
        <is>
          <t>EUR/MWh nominal</t>
        </is>
      </c>
    </row>
    <row r="1454" ht="15" customHeight="1" s="78">
      <c r="A1454" s="77" t="inlineStr">
        <is>
          <t>DE</t>
        </is>
      </c>
      <c r="B1454" s="77" t="n">
        <v>2021</v>
      </c>
      <c r="C1454" s="77" t="inlineStr">
        <is>
          <t>large</t>
        </is>
      </c>
      <c r="D1454" s="77" t="inlineStr">
        <is>
          <t>E2</t>
        </is>
      </c>
      <c r="E1454" s="77" t="inlineStr">
        <is>
          <t>HATCH — sec.19(2) network relief, recovered via sec.19-Umlage on all users</t>
        </is>
      </c>
      <c r="F1454" s="77" t="inlineStr">
        <is>
          <t>HATCH ii — borne by other electricity users</t>
        </is>
      </c>
      <c r="G1454" s="77" t="inlineStr">
        <is>
          <t>network relief (sec.19 StromNEV)</t>
        </is>
      </c>
      <c r="H1454" s="77" t="inlineStr">
        <is>
          <t>ii — other electricity users (sec.19-Umlage)</t>
        </is>
      </c>
      <c r="I1454" s="77">
        <f>IF(ISNUMBER(N1454),N1454*fx_deflator!$J$16*fx_deflator!$M$16,"")</f>
        <v/>
      </c>
      <c r="J1454" s="77" t="inlineStr">
        <is>
          <t>StromNEV sec.19(2); D8/D32</t>
        </is>
      </c>
      <c r="K1454" s="77" t="inlineStr">
        <is>
          <t>timeseries r33/42</t>
        </is>
      </c>
      <c r="L1454" s="77" t="inlineStr">
        <is>
          <t>2026-07-15</t>
        </is>
      </c>
      <c r="M1454" s="77" t="inlineStr">
        <is>
          <t>Y</t>
        </is>
      </c>
      <c r="N1454" s="77">
        <f>IF(AND(ISNUMBER(timeseries!O33),ISNUMBER(timeseries!O42)),timeseries!O33-timeseries!O42,"")</f>
        <v/>
      </c>
      <c r="O1454" s="77" t="inlineStr">
        <is>
          <t>EUR/MWh nominal</t>
        </is>
      </c>
    </row>
    <row r="1455" ht="15" customHeight="1" s="78">
      <c r="A1455" s="77" t="inlineStr">
        <is>
          <t>DE</t>
        </is>
      </c>
      <c r="B1455" s="77" t="n">
        <v>2021</v>
      </c>
      <c r="C1455" s="77" t="inlineStr">
        <is>
          <t>large</t>
        </is>
      </c>
      <c r="D1455" s="77" t="inlineStr">
        <is>
          <t>E2</t>
        </is>
      </c>
      <c r="E1455" s="77" t="inlineStr">
        <is>
          <t>HATCH — EEG BesAR relief (socialised via higher Umlage on others)</t>
        </is>
      </c>
      <c r="F1455" s="77" t="inlineStr">
        <is>
          <t>HATCH ii — borne by other electricity users</t>
        </is>
      </c>
      <c r="G1455" s="77" t="inlineStr">
        <is>
          <t>renewables levy relief</t>
        </is>
      </c>
      <c r="H1455" s="77" t="inlineStr">
        <is>
          <t>ii — other electricity users</t>
        </is>
      </c>
      <c r="I1455" s="77">
        <f>IF(ISNUMBER(N1455),N1455*fx_deflator!$J$16*fx_deflator!$M$16,"")</f>
        <v/>
      </c>
      <c r="J1455" s="77" t="inlineStr">
        <is>
          <t>EEG sec.41/sec.64 BesAR</t>
        </is>
      </c>
      <c r="K1455" s="77" t="inlineStr">
        <is>
          <t>timeseries r35/45</t>
        </is>
      </c>
      <c r="L1455" s="77" t="inlineStr">
        <is>
          <t>2026-07-15</t>
        </is>
      </c>
      <c r="M1455" s="77" t="inlineStr">
        <is>
          <t>Y</t>
        </is>
      </c>
      <c r="N1455" s="77">
        <f>IF(AND(ISNUMBER(timeseries!O35),ISNUMBER(timeseries!O45)),timeseries!O35-timeseries!O45,"")</f>
        <v/>
      </c>
      <c r="O1455" s="77" t="inlineStr">
        <is>
          <t>EUR/MWh nominal</t>
        </is>
      </c>
    </row>
    <row r="1456" ht="15" customHeight="1" s="78">
      <c r="A1456" s="77" t="inlineStr">
        <is>
          <t>DE</t>
        </is>
      </c>
      <c r="B1456" s="77" t="n">
        <v>2021</v>
      </c>
      <c r="C1456" s="77" t="inlineStr">
        <is>
          <t>medium</t>
        </is>
      </c>
      <c r="D1456" s="77" t="inlineStr">
        <is>
          <t>E2</t>
        </is>
      </c>
      <c r="E1456" s="77" t="inlineStr">
        <is>
          <t>HATCH — EEG BesAR relief (medium, D24)</t>
        </is>
      </c>
      <c r="F1456" s="77" t="inlineStr">
        <is>
          <t>HATCH ii — borne by other electricity users</t>
        </is>
      </c>
      <c r="G1456" s="77" t="inlineStr">
        <is>
          <t>renewables levy relief</t>
        </is>
      </c>
      <c r="H1456" s="77" t="inlineStr">
        <is>
          <t>ii — other electricity users</t>
        </is>
      </c>
      <c r="I1456" s="77">
        <f>IF(ISNUMBER(N1456),N1456*fx_deflator!$J$16*fx_deflator!$M$16,"")</f>
        <v/>
      </c>
      <c r="J1456" s="77" t="inlineStr">
        <is>
          <t>EEG BesAR; D24</t>
        </is>
      </c>
      <c r="K1456" s="77" t="inlineStr">
        <is>
          <t>timeseries r62</t>
        </is>
      </c>
      <c r="L1456" s="77" t="inlineStr">
        <is>
          <t>2026-07-15</t>
        </is>
      </c>
      <c r="M1456" s="77" t="inlineStr">
        <is>
          <t>Y</t>
        </is>
      </c>
      <c r="N1456" s="77">
        <f>IF(AND(ISNUMBER(stage4_de!O21),ISNUMBER(timeseries!O62)),stage4_de!O21*10-timeseries!O62,"")</f>
        <v/>
      </c>
      <c r="O1456" s="77" t="inlineStr">
        <is>
          <t>EUR/MWh nominal</t>
        </is>
      </c>
    </row>
    <row r="1457" ht="15" customHeight="1" s="78">
      <c r="A1457" s="77" t="inlineStr">
        <is>
          <t>DE</t>
        </is>
      </c>
      <c r="B1457" s="77" t="n">
        <v>2021</v>
      </c>
      <c r="C1457" s="77" t="inlineStr">
        <is>
          <t>large</t>
        </is>
      </c>
      <c r="D1457" s="77" t="inlineStr">
        <is>
          <t>E2</t>
        </is>
      </c>
      <c r="E1457" s="77" t="inlineStr">
        <is>
          <t>HATCH — C-prime reliefs on KWKG/sec.19/Offshore Umlagen</t>
        </is>
      </c>
      <c r="F1457" s="77" t="inlineStr">
        <is>
          <t>HATCH ii — borne by other electricity users</t>
        </is>
      </c>
      <c r="G1457" s="77" t="inlineStr">
        <is>
          <t>levy reliefs (stromintensiv tranches)</t>
        </is>
      </c>
      <c r="H1457" s="77" t="inlineStr">
        <is>
          <t>ii — other electricity users</t>
        </is>
      </c>
      <c r="I1457" s="77">
        <f>IF(ISNUMBER(N1457),N1457*fx_deflator!$J$16*fx_deflator!$M$16,"")</f>
        <v/>
      </c>
      <c r="J1457" s="77" t="inlineStr">
        <is>
          <t>netztransparenz C-prime rates; D25</t>
        </is>
      </c>
      <c r="K1457" s="77" t="inlineStr">
        <is>
          <t>timeseries r36-38 vs r47-49</t>
        </is>
      </c>
      <c r="L1457" s="77" t="inlineStr">
        <is>
          <t>2026-07-15</t>
        </is>
      </c>
      <c r="M1457" s="77" t="inlineStr">
        <is>
          <t>Y</t>
        </is>
      </c>
      <c r="N1457" s="77">
        <f>(N(timeseries!O36)-N(timeseries!O47))+(N(timeseries!O37)-N(timeseries!O48))+(N(timeseries!O38)-N(timeseries!O49))</f>
        <v/>
      </c>
      <c r="O1457" s="77" t="inlineStr">
        <is>
          <t>EUR/MWh nominal</t>
        </is>
      </c>
    </row>
    <row r="1458" ht="15" customHeight="1" s="78">
      <c r="A1458" s="77" t="inlineStr">
        <is>
          <t>DE</t>
        </is>
      </c>
      <c r="B1458" s="77" t="n">
        <v>2021</v>
      </c>
      <c r="C1458" s="77" t="inlineStr">
        <is>
          <t>medium</t>
        </is>
      </c>
      <c r="D1458" s="77" t="inlineStr">
        <is>
          <t>E2</t>
        </is>
      </c>
      <c r="E1458" s="77" t="inlineStr">
        <is>
          <t>HATCH — C-prime reliefs (medium blends)</t>
        </is>
      </c>
      <c r="F1458" s="77" t="inlineStr">
        <is>
          <t>HATCH ii — borne by other electricity users</t>
        </is>
      </c>
      <c r="G1458" s="77" t="inlineStr">
        <is>
          <t>levy reliefs</t>
        </is>
      </c>
      <c r="H1458" s="77" t="inlineStr">
        <is>
          <t>ii — other electricity users</t>
        </is>
      </c>
      <c r="I1458" s="77">
        <f>IF(ISNUMBER(N1458),N1458*fx_deflator!$J$16*fx_deflator!$M$16,"")</f>
        <v/>
      </c>
      <c r="J1458" s="77" t="inlineStr">
        <is>
          <t>netztransparenz; D25</t>
        </is>
      </c>
      <c r="K1458" s="77" t="inlineStr">
        <is>
          <t>timeseries r59/63</t>
        </is>
      </c>
      <c r="L1458" s="77" t="inlineStr">
        <is>
          <t>2026-07-15</t>
        </is>
      </c>
      <c r="M1458" s="77" t="inlineStr">
        <is>
          <t>Y</t>
        </is>
      </c>
      <c r="N1458" s="77">
        <f>(N(timeseries!O59)-N(stage4_de!O21)*10)-N(timeseries!O63)</f>
        <v/>
      </c>
      <c r="O1458" s="77" t="inlineStr">
        <is>
          <t>EUR/MWh nominal</t>
        </is>
      </c>
    </row>
    <row r="1459" ht="15" customHeight="1" s="78">
      <c r="A1459" s="77" t="inlineStr">
        <is>
          <t>DE</t>
        </is>
      </c>
      <c r="B1459" s="77" t="n">
        <v>2021</v>
      </c>
      <c r="C1459" s="77" t="inlineStr">
        <is>
          <t>large</t>
        </is>
      </c>
      <c r="D1459" s="77" t="inlineStr">
        <is>
          <t>E2</t>
        </is>
      </c>
      <c r="E1459" s="77" t="inlineStr">
        <is>
          <t>HATCH — Stromsteuer relief (foregone general taxation)</t>
        </is>
      </c>
      <c r="F1459" s="77" t="inlineStr">
        <is>
          <t>HATCH iii — borne by the taxpayer</t>
        </is>
      </c>
      <c r="G1459" s="77" t="inlineStr">
        <is>
          <t>electricity tax relief</t>
        </is>
      </c>
      <c r="H1459" s="77" t="inlineStr">
        <is>
          <t>iii — taxpayer (foregone revenue)</t>
        </is>
      </c>
      <c r="I1459" s="77">
        <f>IF(ISNUMBER(N1459),N1459*fx_deflator!$J$16*fx_deflator!$M$16,"")</f>
        <v/>
      </c>
      <c r="J1459" s="77" t="inlineStr">
        <is>
          <t>StromStG sec.9b/sec.10</t>
        </is>
      </c>
      <c r="K1459" s="77" t="inlineStr">
        <is>
          <t>stage4_de r34-35</t>
        </is>
      </c>
      <c r="L1459" s="77" t="inlineStr">
        <is>
          <t>2026-07-15</t>
        </is>
      </c>
      <c r="M1459" s="77" t="inlineStr">
        <is>
          <t>N</t>
        </is>
      </c>
      <c r="N1459" s="77">
        <f>IF(AND(ISNUMBER(stage4_de!O34),ISNUMBER(stage4_de!O35)),stage4_de!O34-stage4_de!O35,"")</f>
        <v/>
      </c>
      <c r="O1459" s="77" t="inlineStr">
        <is>
          <t>EUR/MWh nominal</t>
        </is>
      </c>
    </row>
    <row r="1460" ht="15" customHeight="1" s="78">
      <c r="A1460" s="77" t="inlineStr">
        <is>
          <t>DE</t>
        </is>
      </c>
      <c r="B1460" s="77" t="n">
        <v>2021</v>
      </c>
      <c r="C1460" s="77" t="inlineStr">
        <is>
          <t>medium</t>
        </is>
      </c>
      <c r="D1460" s="77" t="inlineStr">
        <is>
          <t>E2</t>
        </is>
      </c>
      <c r="E1460" s="77" t="inlineStr">
        <is>
          <t>HATCH — Stromsteuer relief (foregone general taxation)</t>
        </is>
      </c>
      <c r="F1460" s="77" t="inlineStr">
        <is>
          <t>HATCH iii — borne by the taxpayer</t>
        </is>
      </c>
      <c r="G1460" s="77" t="inlineStr">
        <is>
          <t>electricity tax relief</t>
        </is>
      </c>
      <c r="H1460" s="77" t="inlineStr">
        <is>
          <t>iii — taxpayer (foregone revenue)</t>
        </is>
      </c>
      <c r="I1460" s="77">
        <f>IF(ISNUMBER(N1460),N1460*fx_deflator!$J$16*fx_deflator!$M$16,"")</f>
        <v/>
      </c>
      <c r="J1460" s="77" t="inlineStr">
        <is>
          <t>StromStG sec.9b/sec.10</t>
        </is>
      </c>
      <c r="K1460" s="77" t="inlineStr">
        <is>
          <t>stage4_de r34-35</t>
        </is>
      </c>
      <c r="L1460" s="77" t="inlineStr">
        <is>
          <t>2026-07-15</t>
        </is>
      </c>
      <c r="M1460" s="77" t="inlineStr">
        <is>
          <t>N</t>
        </is>
      </c>
      <c r="N1460" s="77">
        <f>IF(AND(ISNUMBER(stage4_de!O34),ISNUMBER(stage4_de!O35)),stage4_de!O34-stage4_de!O35,"")</f>
        <v/>
      </c>
      <c r="O1460" s="77" t="inlineStr">
        <is>
          <t>EUR/MWh nominal</t>
        </is>
      </c>
    </row>
    <row r="1461" ht="15" customHeight="1" s="78">
      <c r="A1461" s="77" t="inlineStr">
        <is>
          <t>DE</t>
        </is>
      </c>
      <c r="B1461" s="77" t="n">
        <v>2022</v>
      </c>
      <c r="C1461" s="77" t="inlineStr">
        <is>
          <t>large</t>
        </is>
      </c>
      <c r="D1461" s="77" t="inlineStr">
        <is>
          <t>E2</t>
        </is>
      </c>
      <c r="E1461" s="77" t="inlineStr">
        <is>
          <t>HATCH — sec.19(2) network relief, recovered via sec.19-Umlage on all users</t>
        </is>
      </c>
      <c r="F1461" s="77" t="inlineStr">
        <is>
          <t>HATCH ii — borne by other electricity users</t>
        </is>
      </c>
      <c r="G1461" s="77" t="inlineStr">
        <is>
          <t>network relief (sec.19 StromNEV)</t>
        </is>
      </c>
      <c r="H1461" s="77" t="inlineStr">
        <is>
          <t>ii — other electricity users (sec.19-Umlage)</t>
        </is>
      </c>
      <c r="I1461" s="77">
        <f>IF(ISNUMBER(N1461),N1461*fx_deflator!$J$17*fx_deflator!$M$17,"")</f>
        <v/>
      </c>
      <c r="J1461" s="77" t="inlineStr">
        <is>
          <t>StromNEV sec.19(2); D8/D32</t>
        </is>
      </c>
      <c r="K1461" s="77" t="inlineStr">
        <is>
          <t>timeseries r33/42</t>
        </is>
      </c>
      <c r="L1461" s="77" t="inlineStr">
        <is>
          <t>2026-07-15</t>
        </is>
      </c>
      <c r="M1461" s="77" t="inlineStr">
        <is>
          <t>Y</t>
        </is>
      </c>
      <c r="N1461" s="77">
        <f>IF(AND(ISNUMBER(timeseries!P33),ISNUMBER(timeseries!P42)),timeseries!P33-timeseries!P42,"")</f>
        <v/>
      </c>
      <c r="O1461" s="77" t="inlineStr">
        <is>
          <t>EUR/MWh nominal</t>
        </is>
      </c>
    </row>
    <row r="1462" ht="15" customHeight="1" s="78">
      <c r="A1462" s="77" t="inlineStr">
        <is>
          <t>DE</t>
        </is>
      </c>
      <c r="B1462" s="77" t="n">
        <v>2022</v>
      </c>
      <c r="C1462" s="77" t="inlineStr">
        <is>
          <t>large</t>
        </is>
      </c>
      <c r="D1462" s="77" t="inlineStr">
        <is>
          <t>E2</t>
        </is>
      </c>
      <c r="E1462" s="77" t="inlineStr">
        <is>
          <t>HATCH — EEG BesAR relief (socialised via higher Umlage on others)</t>
        </is>
      </c>
      <c r="F1462" s="77" t="inlineStr">
        <is>
          <t>HATCH ii — borne by other electricity users</t>
        </is>
      </c>
      <c r="G1462" s="77" t="inlineStr">
        <is>
          <t>renewables levy relief</t>
        </is>
      </c>
      <c r="H1462" s="77" t="inlineStr">
        <is>
          <t>ii — other electricity users</t>
        </is>
      </c>
      <c r="I1462" s="77">
        <f>IF(ISNUMBER(N1462),N1462*fx_deflator!$J$17*fx_deflator!$M$17,"")</f>
        <v/>
      </c>
      <c r="J1462" s="77" t="inlineStr">
        <is>
          <t>EEG sec.41/sec.64 BesAR</t>
        </is>
      </c>
      <c r="K1462" s="77" t="inlineStr">
        <is>
          <t>timeseries r35/45</t>
        </is>
      </c>
      <c r="L1462" s="77" t="inlineStr">
        <is>
          <t>2026-07-15</t>
        </is>
      </c>
      <c r="M1462" s="77" t="inlineStr">
        <is>
          <t>Y</t>
        </is>
      </c>
      <c r="N1462" s="77">
        <f>IF(AND(ISNUMBER(timeseries!P35),ISNUMBER(timeseries!P45)),timeseries!P35-timeseries!P45,"")</f>
        <v/>
      </c>
      <c r="O1462" s="77" t="inlineStr">
        <is>
          <t>EUR/MWh nominal</t>
        </is>
      </c>
    </row>
    <row r="1463" ht="15" customHeight="1" s="78">
      <c r="A1463" s="77" t="inlineStr">
        <is>
          <t>DE</t>
        </is>
      </c>
      <c r="B1463" s="77" t="n">
        <v>2022</v>
      </c>
      <c r="C1463" s="77" t="inlineStr">
        <is>
          <t>medium</t>
        </is>
      </c>
      <c r="D1463" s="77" t="inlineStr">
        <is>
          <t>E2</t>
        </is>
      </c>
      <c r="E1463" s="77" t="inlineStr">
        <is>
          <t>HATCH — EEG BesAR relief (medium, D24)</t>
        </is>
      </c>
      <c r="F1463" s="77" t="inlineStr">
        <is>
          <t>HATCH ii — borne by other electricity users</t>
        </is>
      </c>
      <c r="G1463" s="77" t="inlineStr">
        <is>
          <t>renewables levy relief</t>
        </is>
      </c>
      <c r="H1463" s="77" t="inlineStr">
        <is>
          <t>ii — other electricity users</t>
        </is>
      </c>
      <c r="I1463" s="77">
        <f>IF(ISNUMBER(N1463),N1463*fx_deflator!$J$17*fx_deflator!$M$17,"")</f>
        <v/>
      </c>
      <c r="J1463" s="77" t="inlineStr">
        <is>
          <t>EEG BesAR; D24</t>
        </is>
      </c>
      <c r="K1463" s="77" t="inlineStr">
        <is>
          <t>timeseries r62</t>
        </is>
      </c>
      <c r="L1463" s="77" t="inlineStr">
        <is>
          <t>2026-07-15</t>
        </is>
      </c>
      <c r="M1463" s="77" t="inlineStr">
        <is>
          <t>Y</t>
        </is>
      </c>
      <c r="N1463" s="77">
        <f>IF(AND(ISNUMBER(stage4_de!P21),ISNUMBER(timeseries!P62)),stage4_de!P21*10-timeseries!P62,"")</f>
        <v/>
      </c>
      <c r="O1463" s="77" t="inlineStr">
        <is>
          <t>EUR/MWh nominal</t>
        </is>
      </c>
    </row>
    <row r="1464" ht="15" customHeight="1" s="78">
      <c r="A1464" s="77" t="inlineStr">
        <is>
          <t>DE</t>
        </is>
      </c>
      <c r="B1464" s="77" t="n">
        <v>2022</v>
      </c>
      <c r="C1464" s="77" t="inlineStr">
        <is>
          <t>large</t>
        </is>
      </c>
      <c r="D1464" s="77" t="inlineStr">
        <is>
          <t>E2</t>
        </is>
      </c>
      <c r="E1464" s="77" t="inlineStr">
        <is>
          <t>HATCH — C-prime reliefs on KWKG/sec.19/Offshore Umlagen</t>
        </is>
      </c>
      <c r="F1464" s="77" t="inlineStr">
        <is>
          <t>HATCH ii — borne by other electricity users</t>
        </is>
      </c>
      <c r="G1464" s="77" t="inlineStr">
        <is>
          <t>levy reliefs (stromintensiv tranches)</t>
        </is>
      </c>
      <c r="H1464" s="77" t="inlineStr">
        <is>
          <t>ii — other electricity users</t>
        </is>
      </c>
      <c r="I1464" s="77">
        <f>IF(ISNUMBER(N1464),N1464*fx_deflator!$J$17*fx_deflator!$M$17,"")</f>
        <v/>
      </c>
      <c r="J1464" s="77" t="inlineStr">
        <is>
          <t>netztransparenz C-prime rates; D25</t>
        </is>
      </c>
      <c r="K1464" s="77" t="inlineStr">
        <is>
          <t>timeseries r36-38 vs r47-49</t>
        </is>
      </c>
      <c r="L1464" s="77" t="inlineStr">
        <is>
          <t>2026-07-15</t>
        </is>
      </c>
      <c r="M1464" s="77" t="inlineStr">
        <is>
          <t>Y</t>
        </is>
      </c>
      <c r="N1464" s="77">
        <f>(N(timeseries!P36)-N(timeseries!P47))+(N(timeseries!P37)-N(timeseries!P48))+(N(timeseries!P38)-N(timeseries!P49))</f>
        <v/>
      </c>
      <c r="O1464" s="77" t="inlineStr">
        <is>
          <t>EUR/MWh nominal</t>
        </is>
      </c>
    </row>
    <row r="1465" ht="15" customHeight="1" s="78">
      <c r="A1465" s="77" t="inlineStr">
        <is>
          <t>DE</t>
        </is>
      </c>
      <c r="B1465" s="77" t="n">
        <v>2022</v>
      </c>
      <c r="C1465" s="77" t="inlineStr">
        <is>
          <t>medium</t>
        </is>
      </c>
      <c r="D1465" s="77" t="inlineStr">
        <is>
          <t>E2</t>
        </is>
      </c>
      <c r="E1465" s="77" t="inlineStr">
        <is>
          <t>HATCH — C-prime reliefs (medium blends)</t>
        </is>
      </c>
      <c r="F1465" s="77" t="inlineStr">
        <is>
          <t>HATCH ii — borne by other electricity users</t>
        </is>
      </c>
      <c r="G1465" s="77" t="inlineStr">
        <is>
          <t>levy reliefs</t>
        </is>
      </c>
      <c r="H1465" s="77" t="inlineStr">
        <is>
          <t>ii — other electricity users</t>
        </is>
      </c>
      <c r="I1465" s="77">
        <f>IF(ISNUMBER(N1465),N1465*fx_deflator!$J$17*fx_deflator!$M$17,"")</f>
        <v/>
      </c>
      <c r="J1465" s="77" t="inlineStr">
        <is>
          <t>netztransparenz; D25</t>
        </is>
      </c>
      <c r="K1465" s="77" t="inlineStr">
        <is>
          <t>timeseries r59/63</t>
        </is>
      </c>
      <c r="L1465" s="77" t="inlineStr">
        <is>
          <t>2026-07-15</t>
        </is>
      </c>
      <c r="M1465" s="77" t="inlineStr">
        <is>
          <t>Y</t>
        </is>
      </c>
      <c r="N1465" s="77">
        <f>(N(timeseries!P59)-N(stage4_de!P21)*10)-N(timeseries!P63)</f>
        <v/>
      </c>
      <c r="O1465" s="77" t="inlineStr">
        <is>
          <t>EUR/MWh nominal</t>
        </is>
      </c>
    </row>
    <row r="1466" ht="15" customHeight="1" s="78">
      <c r="A1466" s="77" t="inlineStr">
        <is>
          <t>DE</t>
        </is>
      </c>
      <c r="B1466" s="77" t="n">
        <v>2022</v>
      </c>
      <c r="C1466" s="77" t="inlineStr">
        <is>
          <t>large</t>
        </is>
      </c>
      <c r="D1466" s="77" t="inlineStr">
        <is>
          <t>E2</t>
        </is>
      </c>
      <c r="E1466" s="77" t="inlineStr">
        <is>
          <t>HATCH — Stromsteuer relief (foregone general taxation)</t>
        </is>
      </c>
      <c r="F1466" s="77" t="inlineStr">
        <is>
          <t>HATCH iii — borne by the taxpayer</t>
        </is>
      </c>
      <c r="G1466" s="77" t="inlineStr">
        <is>
          <t>electricity tax relief</t>
        </is>
      </c>
      <c r="H1466" s="77" t="inlineStr">
        <is>
          <t>iii — taxpayer (foregone revenue)</t>
        </is>
      </c>
      <c r="I1466" s="77">
        <f>IF(ISNUMBER(N1466),N1466*fx_deflator!$J$17*fx_deflator!$M$17,"")</f>
        <v/>
      </c>
      <c r="J1466" s="77" t="inlineStr">
        <is>
          <t>StromStG sec.9b/sec.10</t>
        </is>
      </c>
      <c r="K1466" s="77" t="inlineStr">
        <is>
          <t>stage4_de r34-35</t>
        </is>
      </c>
      <c r="L1466" s="77" t="inlineStr">
        <is>
          <t>2026-07-15</t>
        </is>
      </c>
      <c r="M1466" s="77" t="inlineStr">
        <is>
          <t>N</t>
        </is>
      </c>
      <c r="N1466" s="77">
        <f>IF(AND(ISNUMBER(stage4_de!P34),ISNUMBER(stage4_de!P35)),stage4_de!P34-stage4_de!P35,"")</f>
        <v/>
      </c>
      <c r="O1466" s="77" t="inlineStr">
        <is>
          <t>EUR/MWh nominal</t>
        </is>
      </c>
    </row>
    <row r="1467" ht="15" customHeight="1" s="78">
      <c r="A1467" s="77" t="inlineStr">
        <is>
          <t>DE</t>
        </is>
      </c>
      <c r="B1467" s="77" t="n">
        <v>2022</v>
      </c>
      <c r="C1467" s="77" t="inlineStr">
        <is>
          <t>medium</t>
        </is>
      </c>
      <c r="D1467" s="77" t="inlineStr">
        <is>
          <t>E2</t>
        </is>
      </c>
      <c r="E1467" s="77" t="inlineStr">
        <is>
          <t>HATCH — Stromsteuer relief (foregone general taxation)</t>
        </is>
      </c>
      <c r="F1467" s="77" t="inlineStr">
        <is>
          <t>HATCH iii — borne by the taxpayer</t>
        </is>
      </c>
      <c r="G1467" s="77" t="inlineStr">
        <is>
          <t>electricity tax relief</t>
        </is>
      </c>
      <c r="H1467" s="77" t="inlineStr">
        <is>
          <t>iii — taxpayer (foregone revenue)</t>
        </is>
      </c>
      <c r="I1467" s="77">
        <f>IF(ISNUMBER(N1467),N1467*fx_deflator!$J$17*fx_deflator!$M$17,"")</f>
        <v/>
      </c>
      <c r="J1467" s="77" t="inlineStr">
        <is>
          <t>StromStG sec.9b/sec.10</t>
        </is>
      </c>
      <c r="K1467" s="77" t="inlineStr">
        <is>
          <t>stage4_de r34-35</t>
        </is>
      </c>
      <c r="L1467" s="77" t="inlineStr">
        <is>
          <t>2026-07-15</t>
        </is>
      </c>
      <c r="M1467" s="77" t="inlineStr">
        <is>
          <t>N</t>
        </is>
      </c>
      <c r="N1467" s="77">
        <f>IF(AND(ISNUMBER(stage4_de!P34),ISNUMBER(stage4_de!P35)),stage4_de!P34-stage4_de!P35,"")</f>
        <v/>
      </c>
      <c r="O1467" s="77" t="inlineStr">
        <is>
          <t>EUR/MWh nominal</t>
        </is>
      </c>
    </row>
    <row r="1468" ht="15" customHeight="1" s="78">
      <c r="A1468" s="77" t="inlineStr">
        <is>
          <t>DE</t>
        </is>
      </c>
      <c r="B1468" s="77" t="n">
        <v>2023</v>
      </c>
      <c r="C1468" s="77" t="inlineStr">
        <is>
          <t>large</t>
        </is>
      </c>
      <c r="D1468" s="77" t="inlineStr">
        <is>
          <t>E2</t>
        </is>
      </c>
      <c r="E1468" s="77" t="inlineStr">
        <is>
          <t>HATCH — sec.19(2) network relief, recovered via sec.19-Umlage on all users</t>
        </is>
      </c>
      <c r="F1468" s="77" t="inlineStr">
        <is>
          <t>HATCH ii — borne by other electricity users</t>
        </is>
      </c>
      <c r="G1468" s="77" t="inlineStr">
        <is>
          <t>network relief (sec.19 StromNEV)</t>
        </is>
      </c>
      <c r="H1468" s="77" t="inlineStr">
        <is>
          <t>ii — other electricity users (sec.19-Umlage)</t>
        </is>
      </c>
      <c r="I1468" s="77">
        <f>IF(ISNUMBER(N1468),N1468*fx_deflator!$J$18*fx_deflator!$M$18,"")</f>
        <v/>
      </c>
      <c r="J1468" s="77" t="inlineStr">
        <is>
          <t>StromNEV sec.19(2); D8/D32</t>
        </is>
      </c>
      <c r="K1468" s="77" t="inlineStr">
        <is>
          <t>timeseries r33/42</t>
        </is>
      </c>
      <c r="L1468" s="77" t="inlineStr">
        <is>
          <t>2026-07-15</t>
        </is>
      </c>
      <c r="M1468" s="77" t="inlineStr">
        <is>
          <t>Y</t>
        </is>
      </c>
      <c r="N1468" s="77">
        <f>IF(AND(ISNUMBER(timeseries!Q33),ISNUMBER(timeseries!Q42)),timeseries!Q33-timeseries!Q42,"")</f>
        <v/>
      </c>
      <c r="O1468" s="77" t="inlineStr">
        <is>
          <t>EUR/MWh nominal</t>
        </is>
      </c>
    </row>
    <row r="1469" ht="15" customHeight="1" s="78">
      <c r="A1469" s="77" t="inlineStr">
        <is>
          <t>DE</t>
        </is>
      </c>
      <c r="B1469" s="77" t="n">
        <v>2023</v>
      </c>
      <c r="C1469" s="77" t="inlineStr">
        <is>
          <t>large</t>
        </is>
      </c>
      <c r="D1469" s="77" t="inlineStr">
        <is>
          <t>E2</t>
        </is>
      </c>
      <c r="E1469" s="77" t="inlineStr">
        <is>
          <t>HATCH — C-prime reliefs on KWKG/sec.19/Offshore Umlagen</t>
        </is>
      </c>
      <c r="F1469" s="77" t="inlineStr">
        <is>
          <t>HATCH ii — borne by other electricity users</t>
        </is>
      </c>
      <c r="G1469" s="77" t="inlineStr">
        <is>
          <t>levy reliefs (stromintensiv tranches)</t>
        </is>
      </c>
      <c r="H1469" s="77" t="inlineStr">
        <is>
          <t>ii — other electricity users</t>
        </is>
      </c>
      <c r="I1469" s="77">
        <f>IF(ISNUMBER(N1469),N1469*fx_deflator!$J$18*fx_deflator!$M$18,"")</f>
        <v/>
      </c>
      <c r="J1469" s="77" t="inlineStr">
        <is>
          <t>netztransparenz C-prime rates; D25</t>
        </is>
      </c>
      <c r="K1469" s="77" t="inlineStr">
        <is>
          <t>timeseries r36-38 vs r47-49</t>
        </is>
      </c>
      <c r="L1469" s="77" t="inlineStr">
        <is>
          <t>2026-07-15</t>
        </is>
      </c>
      <c r="M1469" s="77" t="inlineStr">
        <is>
          <t>Y</t>
        </is>
      </c>
      <c r="N1469" s="77">
        <f>(N(timeseries!Q36)-N(timeseries!Q47))+(N(timeseries!Q37)-N(timeseries!Q48))+(N(timeseries!Q38)-N(timeseries!Q49))</f>
        <v/>
      </c>
      <c r="O1469" s="77" t="inlineStr">
        <is>
          <t>EUR/MWh nominal</t>
        </is>
      </c>
    </row>
    <row r="1470" ht="15" customHeight="1" s="78">
      <c r="A1470" s="77" t="inlineStr">
        <is>
          <t>DE</t>
        </is>
      </c>
      <c r="B1470" s="77" t="n">
        <v>2023</v>
      </c>
      <c r="C1470" s="77" t="inlineStr">
        <is>
          <t>medium</t>
        </is>
      </c>
      <c r="D1470" s="77" t="inlineStr">
        <is>
          <t>E2</t>
        </is>
      </c>
      <c r="E1470" s="77" t="inlineStr">
        <is>
          <t>HATCH — C-prime reliefs (medium blends)</t>
        </is>
      </c>
      <c r="F1470" s="77" t="inlineStr">
        <is>
          <t>HATCH ii — borne by other electricity users</t>
        </is>
      </c>
      <c r="G1470" s="77" t="inlineStr">
        <is>
          <t>levy reliefs</t>
        </is>
      </c>
      <c r="H1470" s="77" t="inlineStr">
        <is>
          <t>ii — other electricity users</t>
        </is>
      </c>
      <c r="I1470" s="77">
        <f>IF(ISNUMBER(N1470),N1470*fx_deflator!$J$18*fx_deflator!$M$18,"")</f>
        <v/>
      </c>
      <c r="J1470" s="77" t="inlineStr">
        <is>
          <t>netztransparenz; D25</t>
        </is>
      </c>
      <c r="K1470" s="77" t="inlineStr">
        <is>
          <t>timeseries r59/63</t>
        </is>
      </c>
      <c r="L1470" s="77" t="inlineStr">
        <is>
          <t>2026-07-15</t>
        </is>
      </c>
      <c r="M1470" s="77" t="inlineStr">
        <is>
          <t>Y</t>
        </is>
      </c>
      <c r="N1470" s="77">
        <f>(N(timeseries!Q59)-N(stage4_de!Q21)*10)-N(timeseries!Q63)</f>
        <v/>
      </c>
      <c r="O1470" s="77" t="inlineStr">
        <is>
          <t>EUR/MWh nominal</t>
        </is>
      </c>
    </row>
    <row r="1471" ht="15" customHeight="1" s="78">
      <c r="A1471" s="77" t="inlineStr">
        <is>
          <t>DE</t>
        </is>
      </c>
      <c r="B1471" s="77" t="n">
        <v>2023</v>
      </c>
      <c r="C1471" s="77" t="inlineStr">
        <is>
          <t>large</t>
        </is>
      </c>
      <c r="D1471" s="77" t="inlineStr">
        <is>
          <t>E2</t>
        </is>
      </c>
      <c r="E1471" s="77" t="inlineStr">
        <is>
          <t>HATCH — Stromsteuer relief (foregone general taxation)</t>
        </is>
      </c>
      <c r="F1471" s="77" t="inlineStr">
        <is>
          <t>HATCH iii — borne by the taxpayer</t>
        </is>
      </c>
      <c r="G1471" s="77" t="inlineStr">
        <is>
          <t>electricity tax relief</t>
        </is>
      </c>
      <c r="H1471" s="77" t="inlineStr">
        <is>
          <t>iii — taxpayer (foregone revenue)</t>
        </is>
      </c>
      <c r="I1471" s="77">
        <f>IF(ISNUMBER(N1471),N1471*fx_deflator!$J$18*fx_deflator!$M$18,"")</f>
        <v/>
      </c>
      <c r="J1471" s="77" t="inlineStr">
        <is>
          <t>StromStG sec.9b/sec.10</t>
        </is>
      </c>
      <c r="K1471" s="77" t="inlineStr">
        <is>
          <t>stage4_de r34-35</t>
        </is>
      </c>
      <c r="L1471" s="77" t="inlineStr">
        <is>
          <t>2026-07-15</t>
        </is>
      </c>
      <c r="M1471" s="77" t="inlineStr">
        <is>
          <t>N</t>
        </is>
      </c>
      <c r="N1471" s="77">
        <f>IF(AND(ISNUMBER(stage4_de!Q34),ISNUMBER(stage4_de!Q35)),stage4_de!Q34-stage4_de!Q35,"")</f>
        <v/>
      </c>
      <c r="O1471" s="77" t="inlineStr">
        <is>
          <t>EUR/MWh nominal</t>
        </is>
      </c>
    </row>
    <row r="1472" ht="15" customHeight="1" s="78">
      <c r="A1472" s="77" t="inlineStr">
        <is>
          <t>DE</t>
        </is>
      </c>
      <c r="B1472" s="77" t="n">
        <v>2023</v>
      </c>
      <c r="C1472" s="77" t="inlineStr">
        <is>
          <t>medium</t>
        </is>
      </c>
      <c r="D1472" s="77" t="inlineStr">
        <is>
          <t>E2</t>
        </is>
      </c>
      <c r="E1472" s="77" t="inlineStr">
        <is>
          <t>HATCH — Stromsteuer relief (foregone general taxation)</t>
        </is>
      </c>
      <c r="F1472" s="77" t="inlineStr">
        <is>
          <t>HATCH iii — borne by the taxpayer</t>
        </is>
      </c>
      <c r="G1472" s="77" t="inlineStr">
        <is>
          <t>electricity tax relief</t>
        </is>
      </c>
      <c r="H1472" s="77" t="inlineStr">
        <is>
          <t>iii — taxpayer (foregone revenue)</t>
        </is>
      </c>
      <c r="I1472" s="77">
        <f>IF(ISNUMBER(N1472),N1472*fx_deflator!$J$18*fx_deflator!$M$18,"")</f>
        <v/>
      </c>
      <c r="J1472" s="77" t="inlineStr">
        <is>
          <t>StromStG sec.9b/sec.10</t>
        </is>
      </c>
      <c r="K1472" s="77" t="inlineStr">
        <is>
          <t>stage4_de r34-35</t>
        </is>
      </c>
      <c r="L1472" s="77" t="inlineStr">
        <is>
          <t>2026-07-15</t>
        </is>
      </c>
      <c r="M1472" s="77" t="inlineStr">
        <is>
          <t>N</t>
        </is>
      </c>
      <c r="N1472" s="77">
        <f>IF(AND(ISNUMBER(stage4_de!Q34),ISNUMBER(stage4_de!Q35)),stage4_de!Q34-stage4_de!Q35,"")</f>
        <v/>
      </c>
      <c r="O1472" s="77" t="inlineStr">
        <is>
          <t>EUR/MWh nominal</t>
        </is>
      </c>
    </row>
    <row r="1473" ht="15" customHeight="1" s="78">
      <c r="A1473" s="77" t="inlineStr">
        <is>
          <t>DE</t>
        </is>
      </c>
      <c r="B1473" s="77" t="n">
        <v>2024</v>
      </c>
      <c r="C1473" s="77" t="inlineStr">
        <is>
          <t>large</t>
        </is>
      </c>
      <c r="D1473" s="77" t="inlineStr">
        <is>
          <t>E2</t>
        </is>
      </c>
      <c r="E1473" s="77" t="inlineStr">
        <is>
          <t>HATCH — sec.19(2) network relief, recovered via sec.19-Umlage on all users</t>
        </is>
      </c>
      <c r="F1473" s="77" t="inlineStr">
        <is>
          <t>HATCH ii — borne by other electricity users</t>
        </is>
      </c>
      <c r="G1473" s="77" t="inlineStr">
        <is>
          <t>network relief (sec.19 StromNEV)</t>
        </is>
      </c>
      <c r="H1473" s="77" t="inlineStr">
        <is>
          <t>ii — other electricity users (sec.19-Umlage)</t>
        </is>
      </c>
      <c r="I1473" s="77">
        <f>IF(ISNUMBER(N1473),N1473*fx_deflator!$J$19*fx_deflator!$M$19,"")</f>
        <v/>
      </c>
      <c r="J1473" s="77" t="inlineStr">
        <is>
          <t>StromNEV sec.19(2); D8/D32</t>
        </is>
      </c>
      <c r="K1473" s="77" t="inlineStr">
        <is>
          <t>timeseries r33/42</t>
        </is>
      </c>
      <c r="L1473" s="77" t="inlineStr">
        <is>
          <t>2026-07-15</t>
        </is>
      </c>
      <c r="M1473" s="77" t="inlineStr">
        <is>
          <t>Y</t>
        </is>
      </c>
      <c r="N1473" s="77">
        <f>IF(AND(ISNUMBER(timeseries!R33),ISNUMBER(timeseries!R42)),timeseries!R33-timeseries!R42,"")</f>
        <v/>
      </c>
      <c r="O1473" s="77" t="inlineStr">
        <is>
          <t>EUR/MWh nominal</t>
        </is>
      </c>
    </row>
    <row r="1474" ht="15" customHeight="1" s="78">
      <c r="A1474" s="77" t="inlineStr">
        <is>
          <t>DE</t>
        </is>
      </c>
      <c r="B1474" s="77" t="n">
        <v>2024</v>
      </c>
      <c r="C1474" s="77" t="inlineStr">
        <is>
          <t>large</t>
        </is>
      </c>
      <c r="D1474" s="77" t="inlineStr">
        <is>
          <t>E2</t>
        </is>
      </c>
      <c r="E1474" s="77" t="inlineStr">
        <is>
          <t>HATCH — C-prime reliefs on KWKG/sec.19/Offshore Umlagen</t>
        </is>
      </c>
      <c r="F1474" s="77" t="inlineStr">
        <is>
          <t>HATCH ii — borne by other electricity users</t>
        </is>
      </c>
      <c r="G1474" s="77" t="inlineStr">
        <is>
          <t>levy reliefs (stromintensiv tranches)</t>
        </is>
      </c>
      <c r="H1474" s="77" t="inlineStr">
        <is>
          <t>ii — other electricity users</t>
        </is>
      </c>
      <c r="I1474" s="77">
        <f>IF(ISNUMBER(N1474),N1474*fx_deflator!$J$19*fx_deflator!$M$19,"")</f>
        <v/>
      </c>
      <c r="J1474" s="77" t="inlineStr">
        <is>
          <t>netztransparenz C-prime rates; D25</t>
        </is>
      </c>
      <c r="K1474" s="77" t="inlineStr">
        <is>
          <t>timeseries r36-38 vs r47-49</t>
        </is>
      </c>
      <c r="L1474" s="77" t="inlineStr">
        <is>
          <t>2026-07-15</t>
        </is>
      </c>
      <c r="M1474" s="77" t="inlineStr">
        <is>
          <t>Y</t>
        </is>
      </c>
      <c r="N1474" s="77">
        <f>(N(timeseries!R36)-N(timeseries!R47))+(N(timeseries!R37)-N(timeseries!R48))+(N(timeseries!R38)-N(timeseries!R49))</f>
        <v/>
      </c>
      <c r="O1474" s="77" t="inlineStr">
        <is>
          <t>EUR/MWh nominal</t>
        </is>
      </c>
    </row>
    <row r="1475" ht="15" customHeight="1" s="78">
      <c r="A1475" s="77" t="inlineStr">
        <is>
          <t>DE</t>
        </is>
      </c>
      <c r="B1475" s="77" t="n">
        <v>2024</v>
      </c>
      <c r="C1475" s="77" t="inlineStr">
        <is>
          <t>medium</t>
        </is>
      </c>
      <c r="D1475" s="77" t="inlineStr">
        <is>
          <t>E2</t>
        </is>
      </c>
      <c r="E1475" s="77" t="inlineStr">
        <is>
          <t>HATCH — C-prime reliefs (medium blends)</t>
        </is>
      </c>
      <c r="F1475" s="77" t="inlineStr">
        <is>
          <t>HATCH ii — borne by other electricity users</t>
        </is>
      </c>
      <c r="G1475" s="77" t="inlineStr">
        <is>
          <t>levy reliefs</t>
        </is>
      </c>
      <c r="H1475" s="77" t="inlineStr">
        <is>
          <t>ii — other electricity users</t>
        </is>
      </c>
      <c r="I1475" s="77">
        <f>IF(ISNUMBER(N1475),N1475*fx_deflator!$J$19*fx_deflator!$M$19,"")</f>
        <v/>
      </c>
      <c r="J1475" s="77" t="inlineStr">
        <is>
          <t>netztransparenz; D25</t>
        </is>
      </c>
      <c r="K1475" s="77" t="inlineStr">
        <is>
          <t>timeseries r59/63</t>
        </is>
      </c>
      <c r="L1475" s="77" t="inlineStr">
        <is>
          <t>2026-07-15</t>
        </is>
      </c>
      <c r="M1475" s="77" t="inlineStr">
        <is>
          <t>Y</t>
        </is>
      </c>
      <c r="N1475" s="77">
        <f>(N(timeseries!R59)-N(stage4_de!R21)*10)-N(timeseries!R63)</f>
        <v/>
      </c>
      <c r="O1475" s="77" t="inlineStr">
        <is>
          <t>EUR/MWh nominal</t>
        </is>
      </c>
    </row>
    <row r="1476" ht="15" customHeight="1" s="78">
      <c r="A1476" s="77" t="inlineStr">
        <is>
          <t>DE</t>
        </is>
      </c>
      <c r="B1476" s="77" t="n">
        <v>2024</v>
      </c>
      <c r="C1476" s="77" t="inlineStr">
        <is>
          <t>large</t>
        </is>
      </c>
      <c r="D1476" s="77" t="inlineStr">
        <is>
          <t>E2</t>
        </is>
      </c>
      <c r="E1476" s="77" t="inlineStr">
        <is>
          <t>HATCH — Stromsteuer relief (foregone general taxation)</t>
        </is>
      </c>
      <c r="F1476" s="77" t="inlineStr">
        <is>
          <t>HATCH iii — borne by the taxpayer</t>
        </is>
      </c>
      <c r="G1476" s="77" t="inlineStr">
        <is>
          <t>electricity tax relief</t>
        </is>
      </c>
      <c r="H1476" s="77" t="inlineStr">
        <is>
          <t>iii — taxpayer (foregone revenue)</t>
        </is>
      </c>
      <c r="I1476" s="77">
        <f>IF(ISNUMBER(N1476),N1476*fx_deflator!$J$19*fx_deflator!$M$19,"")</f>
        <v/>
      </c>
      <c r="J1476" s="77" t="inlineStr">
        <is>
          <t>StromStG sec.9b/sec.10</t>
        </is>
      </c>
      <c r="K1476" s="77" t="inlineStr">
        <is>
          <t>stage4_de r34-35</t>
        </is>
      </c>
      <c r="L1476" s="77" t="inlineStr">
        <is>
          <t>2026-07-15</t>
        </is>
      </c>
      <c r="M1476" s="77" t="inlineStr">
        <is>
          <t>N</t>
        </is>
      </c>
      <c r="N1476" s="77">
        <f>IF(AND(ISNUMBER(stage4_de!R34),ISNUMBER(stage4_de!R35)),stage4_de!R34-stage4_de!R35,"")</f>
        <v/>
      </c>
      <c r="O1476" s="77" t="inlineStr">
        <is>
          <t>EUR/MWh nominal</t>
        </is>
      </c>
    </row>
    <row r="1477" ht="15" customHeight="1" s="78">
      <c r="A1477" s="77" t="inlineStr">
        <is>
          <t>DE</t>
        </is>
      </c>
      <c r="B1477" s="77" t="n">
        <v>2024</v>
      </c>
      <c r="C1477" s="77" t="inlineStr">
        <is>
          <t>medium</t>
        </is>
      </c>
      <c r="D1477" s="77" t="inlineStr">
        <is>
          <t>E2</t>
        </is>
      </c>
      <c r="E1477" s="77" t="inlineStr">
        <is>
          <t>HATCH — Stromsteuer relief (foregone general taxation)</t>
        </is>
      </c>
      <c r="F1477" s="77" t="inlineStr">
        <is>
          <t>HATCH iii — borne by the taxpayer</t>
        </is>
      </c>
      <c r="G1477" s="77" t="inlineStr">
        <is>
          <t>electricity tax relief</t>
        </is>
      </c>
      <c r="H1477" s="77" t="inlineStr">
        <is>
          <t>iii — taxpayer (foregone revenue)</t>
        </is>
      </c>
      <c r="I1477" s="77">
        <f>IF(ISNUMBER(N1477),N1477*fx_deflator!$J$19*fx_deflator!$M$19,"")</f>
        <v/>
      </c>
      <c r="J1477" s="77" t="inlineStr">
        <is>
          <t>StromStG sec.9b/sec.10</t>
        </is>
      </c>
      <c r="K1477" s="77" t="inlineStr">
        <is>
          <t>stage4_de r34-35</t>
        </is>
      </c>
      <c r="L1477" s="77" t="inlineStr">
        <is>
          <t>2026-07-15</t>
        </is>
      </c>
      <c r="M1477" s="77" t="inlineStr">
        <is>
          <t>N</t>
        </is>
      </c>
      <c r="N1477" s="77">
        <f>IF(AND(ISNUMBER(stage4_de!R34),ISNUMBER(stage4_de!R35)),stage4_de!R34-stage4_de!R35,"")</f>
        <v/>
      </c>
      <c r="O1477" s="77" t="inlineStr">
        <is>
          <t>EUR/MWh nominal</t>
        </is>
      </c>
    </row>
    <row r="1478" ht="15" customHeight="1" s="78">
      <c r="A1478" s="77" t="inlineStr">
        <is>
          <t>DE</t>
        </is>
      </c>
      <c r="B1478" s="77" t="n">
        <v>2025</v>
      </c>
      <c r="C1478" s="77" t="inlineStr">
        <is>
          <t>large</t>
        </is>
      </c>
      <c r="D1478" s="77" t="inlineStr">
        <is>
          <t>E2</t>
        </is>
      </c>
      <c r="E1478" s="77" t="inlineStr">
        <is>
          <t>HATCH — sec.19(2) network relief, recovered via sec.19-Umlage on all users</t>
        </is>
      </c>
      <c r="F1478" s="77" t="inlineStr">
        <is>
          <t>HATCH ii — borne by other electricity users</t>
        </is>
      </c>
      <c r="G1478" s="77" t="inlineStr">
        <is>
          <t>network relief (sec.19 StromNEV)</t>
        </is>
      </c>
      <c r="H1478" s="77" t="inlineStr">
        <is>
          <t>ii — other electricity users (sec.19-Umlage)</t>
        </is>
      </c>
      <c r="I1478" s="77">
        <f>IF(ISNUMBER(N1478),N1478*fx_deflator!$J$20*fx_deflator!$M$20,"")</f>
        <v/>
      </c>
      <c r="J1478" s="77" t="inlineStr">
        <is>
          <t>StromNEV sec.19(2); D8/D32</t>
        </is>
      </c>
      <c r="K1478" s="77" t="inlineStr">
        <is>
          <t>timeseries r33/42</t>
        </is>
      </c>
      <c r="L1478" s="77" t="inlineStr">
        <is>
          <t>2026-07-15</t>
        </is>
      </c>
      <c r="M1478" s="77" t="inlineStr">
        <is>
          <t>Y</t>
        </is>
      </c>
      <c r="N1478" s="77">
        <f>IF(AND(ISNUMBER(timeseries!S33),ISNUMBER(timeseries!S42)),timeseries!S33-timeseries!S42,"")</f>
        <v/>
      </c>
      <c r="O1478" s="77" t="inlineStr">
        <is>
          <t>EUR/MWh nominal</t>
        </is>
      </c>
    </row>
    <row r="1479" ht="15" customHeight="1" s="78">
      <c r="A1479" s="77" t="inlineStr">
        <is>
          <t>DE</t>
        </is>
      </c>
      <c r="B1479" s="77" t="n">
        <v>2025</v>
      </c>
      <c r="C1479" s="77" t="inlineStr">
        <is>
          <t>large</t>
        </is>
      </c>
      <c r="D1479" s="77" t="inlineStr">
        <is>
          <t>E2</t>
        </is>
      </c>
      <c r="E1479" s="77" t="inlineStr">
        <is>
          <t>HATCH — C-prime reliefs on KWKG/sec.19/Offshore Umlagen</t>
        </is>
      </c>
      <c r="F1479" s="77" t="inlineStr">
        <is>
          <t>HATCH ii — borne by other electricity users</t>
        </is>
      </c>
      <c r="G1479" s="77" t="inlineStr">
        <is>
          <t>levy reliefs (stromintensiv tranches)</t>
        </is>
      </c>
      <c r="H1479" s="77" t="inlineStr">
        <is>
          <t>ii — other electricity users</t>
        </is>
      </c>
      <c r="I1479" s="77">
        <f>IF(ISNUMBER(N1479),N1479*fx_deflator!$J$20*fx_deflator!$M$20,"")</f>
        <v/>
      </c>
      <c r="J1479" s="77" t="inlineStr">
        <is>
          <t>netztransparenz C-prime rates; D25</t>
        </is>
      </c>
      <c r="K1479" s="77" t="inlineStr">
        <is>
          <t>timeseries r36-38 vs r47-49</t>
        </is>
      </c>
      <c r="L1479" s="77" t="inlineStr">
        <is>
          <t>2026-07-15</t>
        </is>
      </c>
      <c r="M1479" s="77" t="inlineStr">
        <is>
          <t>Y</t>
        </is>
      </c>
      <c r="N1479" s="77">
        <f>(N(timeseries!S36)-N(timeseries!S47))+(N(timeseries!S37)-N(timeseries!S48))+(N(timeseries!S38)-N(timeseries!S49))</f>
        <v/>
      </c>
      <c r="O1479" s="77" t="inlineStr">
        <is>
          <t>EUR/MWh nominal</t>
        </is>
      </c>
    </row>
    <row r="1480" ht="15" customHeight="1" s="78">
      <c r="A1480" s="77" t="inlineStr">
        <is>
          <t>DE</t>
        </is>
      </c>
      <c r="B1480" s="77" t="n">
        <v>2025</v>
      </c>
      <c r="C1480" s="77" t="inlineStr">
        <is>
          <t>medium</t>
        </is>
      </c>
      <c r="D1480" s="77" t="inlineStr">
        <is>
          <t>E2</t>
        </is>
      </c>
      <c r="E1480" s="77" t="inlineStr">
        <is>
          <t>HATCH — C-prime reliefs (medium blends)</t>
        </is>
      </c>
      <c r="F1480" s="77" t="inlineStr">
        <is>
          <t>HATCH ii — borne by other electricity users</t>
        </is>
      </c>
      <c r="G1480" s="77" t="inlineStr">
        <is>
          <t>levy reliefs</t>
        </is>
      </c>
      <c r="H1480" s="77" t="inlineStr">
        <is>
          <t>ii — other electricity users</t>
        </is>
      </c>
      <c r="I1480" s="77">
        <f>IF(ISNUMBER(N1480),N1480*fx_deflator!$J$20*fx_deflator!$M$20,"")</f>
        <v/>
      </c>
      <c r="J1480" s="77" t="inlineStr">
        <is>
          <t>netztransparenz; D25</t>
        </is>
      </c>
      <c r="K1480" s="77" t="inlineStr">
        <is>
          <t>timeseries r59/63</t>
        </is>
      </c>
      <c r="L1480" s="77" t="inlineStr">
        <is>
          <t>2026-07-15</t>
        </is>
      </c>
      <c r="M1480" s="77" t="inlineStr">
        <is>
          <t>Y</t>
        </is>
      </c>
      <c r="N1480" s="77">
        <f>(N(timeseries!S59)-N(stage4_de!S21)*10)-N(timeseries!S63)</f>
        <v/>
      </c>
      <c r="O1480" s="77" t="inlineStr">
        <is>
          <t>EUR/MWh nominal</t>
        </is>
      </c>
    </row>
    <row r="1481" ht="15" customHeight="1" s="78">
      <c r="A1481" s="77" t="inlineStr">
        <is>
          <t>DE</t>
        </is>
      </c>
      <c r="B1481" s="77" t="n">
        <v>2025</v>
      </c>
      <c r="C1481" s="77" t="inlineStr">
        <is>
          <t>large</t>
        </is>
      </c>
      <c r="D1481" s="77" t="inlineStr">
        <is>
          <t>E2</t>
        </is>
      </c>
      <c r="E1481" s="77" t="inlineStr">
        <is>
          <t>HATCH — Stromsteuer relief (foregone general taxation)</t>
        </is>
      </c>
      <c r="F1481" s="77" t="inlineStr">
        <is>
          <t>HATCH iii — borne by the taxpayer</t>
        </is>
      </c>
      <c r="G1481" s="77" t="inlineStr">
        <is>
          <t>electricity tax relief</t>
        </is>
      </c>
      <c r="H1481" s="77" t="inlineStr">
        <is>
          <t>iii — taxpayer (foregone revenue)</t>
        </is>
      </c>
      <c r="I1481" s="77">
        <f>IF(ISNUMBER(N1481),N1481*fx_deflator!$J$20*fx_deflator!$M$20,"")</f>
        <v/>
      </c>
      <c r="J1481" s="77" t="inlineStr">
        <is>
          <t>StromStG sec.9b/sec.10</t>
        </is>
      </c>
      <c r="K1481" s="77" t="inlineStr">
        <is>
          <t>stage4_de r34-35</t>
        </is>
      </c>
      <c r="L1481" s="77" t="inlineStr">
        <is>
          <t>2026-07-15</t>
        </is>
      </c>
      <c r="M1481" s="77" t="inlineStr">
        <is>
          <t>N</t>
        </is>
      </c>
      <c r="N1481" s="77">
        <f>IF(AND(ISNUMBER(stage4_de!S34),ISNUMBER(stage4_de!S35)),stage4_de!S34-stage4_de!S35,"")</f>
        <v/>
      </c>
      <c r="O1481" s="77" t="inlineStr">
        <is>
          <t>EUR/MWh nominal</t>
        </is>
      </c>
    </row>
    <row r="1482" ht="15" customHeight="1" s="78">
      <c r="A1482" s="77" t="inlineStr">
        <is>
          <t>DE</t>
        </is>
      </c>
      <c r="B1482" s="77" t="n">
        <v>2025</v>
      </c>
      <c r="C1482" s="77" t="inlineStr">
        <is>
          <t>medium</t>
        </is>
      </c>
      <c r="D1482" s="77" t="inlineStr">
        <is>
          <t>E2</t>
        </is>
      </c>
      <c r="E1482" s="77" t="inlineStr">
        <is>
          <t>HATCH — Stromsteuer relief (foregone general taxation)</t>
        </is>
      </c>
      <c r="F1482" s="77" t="inlineStr">
        <is>
          <t>HATCH iii — borne by the taxpayer</t>
        </is>
      </c>
      <c r="G1482" s="77" t="inlineStr">
        <is>
          <t>electricity tax relief</t>
        </is>
      </c>
      <c r="H1482" s="77" t="inlineStr">
        <is>
          <t>iii — taxpayer (foregone revenue)</t>
        </is>
      </c>
      <c r="I1482" s="77">
        <f>IF(ISNUMBER(N1482),N1482*fx_deflator!$J$20*fx_deflator!$M$20,"")</f>
        <v/>
      </c>
      <c r="J1482" s="77" t="inlineStr">
        <is>
          <t>StromStG sec.9b/sec.10</t>
        </is>
      </c>
      <c r="K1482" s="77" t="inlineStr">
        <is>
          <t>stage4_de r34-35</t>
        </is>
      </c>
      <c r="L1482" s="77" t="inlineStr">
        <is>
          <t>2026-07-15</t>
        </is>
      </c>
      <c r="M1482" s="77" t="inlineStr">
        <is>
          <t>N</t>
        </is>
      </c>
      <c r="N1482" s="77">
        <f>IF(AND(ISNUMBER(stage4_de!S34),ISNUMBER(stage4_de!S35)),stage4_de!S34-stage4_de!S35,"")</f>
        <v/>
      </c>
      <c r="O1482" s="77" t="inlineStr">
        <is>
          <t>EUR/MWh nominal</t>
        </is>
      </c>
    </row>
    <row r="1483" ht="15" customHeight="1" s="78">
      <c r="A1483" s="77" t="inlineStr">
        <is>
          <t>DE</t>
        </is>
      </c>
      <c r="B1483" s="77" t="n">
        <v>2023</v>
      </c>
      <c r="C1483" s="77" t="inlineStr">
        <is>
          <t>large</t>
        </is>
      </c>
      <c r="D1483" s="77" t="inlineStr">
        <is>
          <t>E1</t>
        </is>
      </c>
      <c r="E1483" s="77" t="inlineStr">
        <is>
          <t>HATCH — EEG financing borne by federal budget (KTF), per-MWh counterfactual</t>
        </is>
      </c>
      <c r="F1483" s="77" t="inlineStr">
        <is>
          <t>HATCH iii — borne by the taxpayer</t>
        </is>
      </c>
      <c r="G1483" s="77" t="inlineStr">
        <is>
          <t>renewables subsidy (off-bill since 07/2022)</t>
        </is>
      </c>
      <c r="H1483" s="77" t="inlineStr">
        <is>
          <t>iii — taxpayer (KTF)</t>
        </is>
      </c>
      <c r="I1483" s="77">
        <f>IF(ISNUMBER(N1483),N1483*fx_deflator!$J$18*fx_deflator!$M$18,"")</f>
        <v/>
      </c>
      <c r="J1483" s="77" t="inlineStr">
        <is>
          <t>netztransparenz EEG-Finanzierungsbedarf pubs; Bundestag Drs 20/14522; BMWE Haushalt 2026</t>
        </is>
      </c>
      <c r="K1483" s="77" t="inlineStr">
        <is>
          <t>netztransparenz Datenbasis per levy year (2024/2025 retrieved via browser 2026-07-16; Q44 RESOLVED)</t>
        </is>
      </c>
      <c r="L1483" s="77" t="inlineStr">
        <is>
          <t>2026-07-16</t>
        </is>
      </c>
      <c r="M1483" s="77" t="inlineStr">
        <is>
          <t>Y</t>
        </is>
      </c>
      <c r="N1483" s="77">
        <f>0</f>
        <v/>
      </c>
      <c r="O1483" s="77" t="inlineStr">
        <is>
          <t>EUR/MWh nominal</t>
        </is>
      </c>
      <c r="P1483" s="77" t="inlineStr">
        <is>
          <t>2023: federal transfer = 0 (deficit absorbed by 2022 EEG-Konto surplus; BMF 30. Subventionsbericht); 2026 EnFG levy base applied to all years (Q44); E2 counterfactual would be near-BesAR-floor — this shows the E1-level shift</t>
        </is>
      </c>
    </row>
    <row r="1484" ht="15" customHeight="1" s="78">
      <c r="A1484" s="77" t="inlineStr">
        <is>
          <t>DE</t>
        </is>
      </c>
      <c r="B1484" s="77" t="n">
        <v>2023</v>
      </c>
      <c r="C1484" s="77" t="inlineStr">
        <is>
          <t>large</t>
        </is>
      </c>
      <c r="D1484" s="77" t="inlineStr">
        <is>
          <t>E2</t>
        </is>
      </c>
      <c r="E1484" s="77" t="inlineStr">
        <is>
          <t>HATCH — EEG financing borne by federal budget (KTF), per-MWh counterfactual</t>
        </is>
      </c>
      <c r="F1484" s="77" t="inlineStr">
        <is>
          <t>HATCH iii — borne by the taxpayer</t>
        </is>
      </c>
      <c r="G1484" s="77" t="inlineStr">
        <is>
          <t>renewables subsidy (off-bill since 07/2022)</t>
        </is>
      </c>
      <c r="H1484" s="77" t="inlineStr">
        <is>
          <t>iii — taxpayer (KTF)</t>
        </is>
      </c>
      <c r="I1484" s="77">
        <f>IF(ISNUMBER(N1484),N1484*fx_deflator!$J$18*fx_deflator!$M$18,"")</f>
        <v/>
      </c>
      <c r="J1484" s="77" t="inlineStr">
        <is>
          <t>netztransparenz EEG-Finanzierungsbedarf pubs; Bundestag Drs 20/14522; BMWE Haushalt 2026</t>
        </is>
      </c>
      <c r="K1484" s="77" t="inlineStr">
        <is>
          <t>netztransparenz Datenbasis per levy year (2024/2025 retrieved via browser 2026-07-16; Q44 RESOLVED)</t>
        </is>
      </c>
      <c r="L1484" s="77" t="inlineStr">
        <is>
          <t>2026-07-16</t>
        </is>
      </c>
      <c r="M1484" s="77" t="inlineStr">
        <is>
          <t>Y</t>
        </is>
      </c>
      <c r="N1484" s="77">
        <f>0</f>
        <v/>
      </c>
      <c r="O1484" s="77" t="inlineStr">
        <is>
          <t>EUR/MWh nominal</t>
        </is>
      </c>
      <c r="P1484" s="77" t="inlineStr">
        <is>
          <t>2023: federal transfer = 0 (deficit absorbed by 2022 EEG-Konto surplus; BMF 30. Subventionsbericht); 2026 EnFG levy base applied to all years (Q44); E2 counterfactual would be near-BesAR-floor — this shows the E1-level shift</t>
        </is>
      </c>
    </row>
    <row r="1485" ht="15" customHeight="1" s="78">
      <c r="A1485" s="77" t="inlineStr">
        <is>
          <t>DE</t>
        </is>
      </c>
      <c r="B1485" s="77" t="n">
        <v>2023</v>
      </c>
      <c r="C1485" s="77" t="inlineStr">
        <is>
          <t>medium</t>
        </is>
      </c>
      <c r="D1485" s="77" t="inlineStr">
        <is>
          <t>E1</t>
        </is>
      </c>
      <c r="E1485" s="77" t="inlineStr">
        <is>
          <t>HATCH — EEG financing borne by federal budget (KTF), per-MWh counterfactual</t>
        </is>
      </c>
      <c r="F1485" s="77" t="inlineStr">
        <is>
          <t>HATCH iii — borne by the taxpayer</t>
        </is>
      </c>
      <c r="G1485" s="77" t="inlineStr">
        <is>
          <t>renewables subsidy (off-bill since 07/2022)</t>
        </is>
      </c>
      <c r="H1485" s="77" t="inlineStr">
        <is>
          <t>iii — taxpayer (KTF)</t>
        </is>
      </c>
      <c r="I1485" s="77">
        <f>IF(ISNUMBER(N1485),N1485*fx_deflator!$J$18*fx_deflator!$M$18,"")</f>
        <v/>
      </c>
      <c r="J1485" s="77" t="inlineStr">
        <is>
          <t>netztransparenz EEG-Finanzierungsbedarf pubs; Bundestag Drs 20/14522; BMWE Haushalt 2026</t>
        </is>
      </c>
      <c r="K1485" s="77" t="inlineStr">
        <is>
          <t>netztransparenz Datenbasis per levy year (2024/2025 retrieved via browser 2026-07-16; Q44 RESOLVED)</t>
        </is>
      </c>
      <c r="L1485" s="77" t="inlineStr">
        <is>
          <t>2026-07-16</t>
        </is>
      </c>
      <c r="M1485" s="77" t="inlineStr">
        <is>
          <t>Y</t>
        </is>
      </c>
      <c r="N1485" s="77">
        <f>0</f>
        <v/>
      </c>
      <c r="O1485" s="77" t="inlineStr">
        <is>
          <t>EUR/MWh nominal</t>
        </is>
      </c>
      <c r="P1485" s="77" t="inlineStr">
        <is>
          <t>2023: federal transfer = 0 (deficit absorbed by 2022 EEG-Konto surplus; BMF 30. Subventionsbericht); 2026 EnFG levy base applied to all years (Q44); E2 counterfactual would be near-BesAR-floor — this shows the E1-level shift</t>
        </is>
      </c>
    </row>
    <row r="1486" ht="15" customHeight="1" s="78">
      <c r="A1486" s="77" t="inlineStr">
        <is>
          <t>DE</t>
        </is>
      </c>
      <c r="B1486" s="77" t="n">
        <v>2023</v>
      </c>
      <c r="C1486" s="77" t="inlineStr">
        <is>
          <t>medium</t>
        </is>
      </c>
      <c r="D1486" s="77" t="inlineStr">
        <is>
          <t>E2</t>
        </is>
      </c>
      <c r="E1486" s="77" t="inlineStr">
        <is>
          <t>HATCH — EEG financing borne by federal budget (KTF), per-MWh counterfactual</t>
        </is>
      </c>
      <c r="F1486" s="77" t="inlineStr">
        <is>
          <t>HATCH iii — borne by the taxpayer</t>
        </is>
      </c>
      <c r="G1486" s="77" t="inlineStr">
        <is>
          <t>renewables subsidy (off-bill since 07/2022)</t>
        </is>
      </c>
      <c r="H1486" s="77" t="inlineStr">
        <is>
          <t>iii — taxpayer (KTF)</t>
        </is>
      </c>
      <c r="I1486" s="77">
        <f>IF(ISNUMBER(N1486),N1486*fx_deflator!$J$18*fx_deflator!$M$18,"")</f>
        <v/>
      </c>
      <c r="J1486" s="77" t="inlineStr">
        <is>
          <t>netztransparenz EEG-Finanzierungsbedarf pubs; Bundestag Drs 20/14522; BMWE Haushalt 2026</t>
        </is>
      </c>
      <c r="K1486" s="77" t="inlineStr">
        <is>
          <t>netztransparenz Datenbasis per levy year (2024/2025 retrieved via browser 2026-07-16; Q44 RESOLVED)</t>
        </is>
      </c>
      <c r="L1486" s="77" t="inlineStr">
        <is>
          <t>2026-07-16</t>
        </is>
      </c>
      <c r="M1486" s="77" t="inlineStr">
        <is>
          <t>Y</t>
        </is>
      </c>
      <c r="N1486" s="77">
        <f>0</f>
        <v/>
      </c>
      <c r="O1486" s="77" t="inlineStr">
        <is>
          <t>EUR/MWh nominal</t>
        </is>
      </c>
      <c r="P1486" s="77" t="inlineStr">
        <is>
          <t>2023: federal transfer = 0 (deficit absorbed by 2022 EEG-Konto surplus; BMF 30. Subventionsbericht); 2026 EnFG levy base applied to all years (Q44); E2 counterfactual would be near-BesAR-floor — this shows the E1-level shift</t>
        </is>
      </c>
    </row>
    <row r="1487" ht="15" customHeight="1" s="78">
      <c r="A1487" s="77" t="inlineStr">
        <is>
          <t>DE</t>
        </is>
      </c>
      <c r="B1487" s="77" t="n">
        <v>2024</v>
      </c>
      <c r="C1487" s="77" t="inlineStr">
        <is>
          <t>large</t>
        </is>
      </c>
      <c r="D1487" s="77" t="inlineStr">
        <is>
          <t>E1</t>
        </is>
      </c>
      <c r="E1487" s="77" t="inlineStr">
        <is>
          <t>HATCH — EEG financing borne by federal budget (KTF), per-MWh counterfactual</t>
        </is>
      </c>
      <c r="F1487" s="77" t="inlineStr">
        <is>
          <t>HATCH iii — borne by the taxpayer</t>
        </is>
      </c>
      <c r="G1487" s="77" t="inlineStr">
        <is>
          <t>renewables subsidy (off-bill since 07/2022)</t>
        </is>
      </c>
      <c r="H1487" s="77" t="inlineStr">
        <is>
          <t>iii — taxpayer (KTF)</t>
        </is>
      </c>
      <c r="I1487" s="77">
        <f>IF(ISNUMBER(N1487),N1487*fx_deflator!$J$19*fx_deflator!$M$19,"")</f>
        <v/>
      </c>
      <c r="J1487" s="77" t="inlineStr">
        <is>
          <t>netztransparenz EEG-Finanzierungsbedarf pubs; Bundestag Drs 20/14522; BMWE Haushalt 2026</t>
        </is>
      </c>
      <c r="K1487" s="77" t="inlineStr">
        <is>
          <t>netztransparenz Datenbasis per levy year (2024/2025 retrieved via browser 2026-07-16; Q44 RESOLVED)</t>
        </is>
      </c>
      <c r="L1487" s="77" t="inlineStr">
        <is>
          <t>2026-07-16</t>
        </is>
      </c>
      <c r="M1487" s="77" t="inlineStr">
        <is>
          <t>Y</t>
        </is>
      </c>
      <c r="N1487" s="77">
        <f>18489000000/450843900337*1000</f>
        <v/>
      </c>
      <c r="O1487" s="77" t="inlineStr">
        <is>
          <t>EUR/MWh nominal</t>
        </is>
      </c>
      <c r="P1487" s="77" t="inlineStr">
        <is>
          <t>2024: EUR 18.489bn transfer / 2024 levy base 450,843,900,337 kWh (Datenbasis zu par.19 StromNEV-Umlage 2024, 22.12.2023 — Q44 resolved); 2026 EnFG levy base applied to all years (Q44); E2 counterfactual would be near-BesAR-floor — this shows the E1-level shift</t>
        </is>
      </c>
    </row>
    <row r="1488" ht="15" customHeight="1" s="78">
      <c r="A1488" s="77" t="inlineStr">
        <is>
          <t>DE</t>
        </is>
      </c>
      <c r="B1488" s="77" t="n">
        <v>2024</v>
      </c>
      <c r="C1488" s="77" t="inlineStr">
        <is>
          <t>large</t>
        </is>
      </c>
      <c r="D1488" s="77" t="inlineStr">
        <is>
          <t>E2</t>
        </is>
      </c>
      <c r="E1488" s="77" t="inlineStr">
        <is>
          <t>HATCH — EEG financing borne by federal budget (KTF), per-MWh counterfactual</t>
        </is>
      </c>
      <c r="F1488" s="77" t="inlineStr">
        <is>
          <t>HATCH iii — borne by the taxpayer</t>
        </is>
      </c>
      <c r="G1488" s="77" t="inlineStr">
        <is>
          <t>renewables subsidy (off-bill since 07/2022)</t>
        </is>
      </c>
      <c r="H1488" s="77" t="inlineStr">
        <is>
          <t>iii — taxpayer (KTF)</t>
        </is>
      </c>
      <c r="I1488" s="77">
        <f>IF(ISNUMBER(N1488),N1488*fx_deflator!$J$19*fx_deflator!$M$19,"")</f>
        <v/>
      </c>
      <c r="J1488" s="77" t="inlineStr">
        <is>
          <t>netztransparenz EEG-Finanzierungsbedarf pubs; Bundestag Drs 20/14522; BMWE Haushalt 2026</t>
        </is>
      </c>
      <c r="K1488" s="77" t="inlineStr">
        <is>
          <t>netztransparenz Datenbasis per levy year (2024/2025 retrieved via browser 2026-07-16; Q44 RESOLVED)</t>
        </is>
      </c>
      <c r="L1488" s="77" t="inlineStr">
        <is>
          <t>2026-07-16</t>
        </is>
      </c>
      <c r="M1488" s="77" t="inlineStr">
        <is>
          <t>Y</t>
        </is>
      </c>
      <c r="N1488" s="77">
        <f>18489000000/450843900337*1000</f>
        <v/>
      </c>
      <c r="O1488" s="77" t="inlineStr">
        <is>
          <t>EUR/MWh nominal</t>
        </is>
      </c>
      <c r="P1488" s="77" t="inlineStr">
        <is>
          <t>2024: EUR 18.489bn transfer / 2024 levy base 450,843,900,337 kWh (Datenbasis zu par.19 StromNEV-Umlage 2024, 22.12.2023 — Q44 resolved); 2026 EnFG levy base applied to all years (Q44); E2 counterfactual would be near-BesAR-floor — this shows the E1-level shift</t>
        </is>
      </c>
    </row>
    <row r="1489" ht="15" customHeight="1" s="78">
      <c r="A1489" s="77" t="inlineStr">
        <is>
          <t>DE</t>
        </is>
      </c>
      <c r="B1489" s="77" t="n">
        <v>2024</v>
      </c>
      <c r="C1489" s="77" t="inlineStr">
        <is>
          <t>medium</t>
        </is>
      </c>
      <c r="D1489" s="77" t="inlineStr">
        <is>
          <t>E1</t>
        </is>
      </c>
      <c r="E1489" s="77" t="inlineStr">
        <is>
          <t>HATCH — EEG financing borne by federal budget (KTF), per-MWh counterfactual</t>
        </is>
      </c>
      <c r="F1489" s="77" t="inlineStr">
        <is>
          <t>HATCH iii — borne by the taxpayer</t>
        </is>
      </c>
      <c r="G1489" s="77" t="inlineStr">
        <is>
          <t>renewables subsidy (off-bill since 07/2022)</t>
        </is>
      </c>
      <c r="H1489" s="77" t="inlineStr">
        <is>
          <t>iii — taxpayer (KTF)</t>
        </is>
      </c>
      <c r="I1489" s="77">
        <f>IF(ISNUMBER(N1489),N1489*fx_deflator!$J$19*fx_deflator!$M$19,"")</f>
        <v/>
      </c>
      <c r="J1489" s="77" t="inlineStr">
        <is>
          <t>netztransparenz EEG-Finanzierungsbedarf pubs; Bundestag Drs 20/14522; BMWE Haushalt 2026</t>
        </is>
      </c>
      <c r="K1489" s="77" t="inlineStr">
        <is>
          <t>netztransparenz Datenbasis per levy year (2024/2025 retrieved via browser 2026-07-16; Q44 RESOLVED)</t>
        </is>
      </c>
      <c r="L1489" s="77" t="inlineStr">
        <is>
          <t>2026-07-16</t>
        </is>
      </c>
      <c r="M1489" s="77" t="inlineStr">
        <is>
          <t>Y</t>
        </is>
      </c>
      <c r="N1489" s="77">
        <f>18489000000/450843900337*1000</f>
        <v/>
      </c>
      <c r="O1489" s="77" t="inlineStr">
        <is>
          <t>EUR/MWh nominal</t>
        </is>
      </c>
      <c r="P1489" s="77" t="inlineStr">
        <is>
          <t>2024: EUR 18.489bn transfer / 2024 levy base 450,843,900,337 kWh (Datenbasis zu par.19 StromNEV-Umlage 2024, 22.12.2023 — Q44 resolved); 2026 EnFG levy base applied to all years (Q44); E2 counterfactual would be near-BesAR-floor — this shows the E1-level shift</t>
        </is>
      </c>
    </row>
    <row r="1490" ht="15" customHeight="1" s="78">
      <c r="A1490" s="77" t="inlineStr">
        <is>
          <t>DE</t>
        </is>
      </c>
      <c r="B1490" s="77" t="n">
        <v>2024</v>
      </c>
      <c r="C1490" s="77" t="inlineStr">
        <is>
          <t>medium</t>
        </is>
      </c>
      <c r="D1490" s="77" t="inlineStr">
        <is>
          <t>E2</t>
        </is>
      </c>
      <c r="E1490" s="77" t="inlineStr">
        <is>
          <t>HATCH — EEG financing borne by federal budget (KTF), per-MWh counterfactual</t>
        </is>
      </c>
      <c r="F1490" s="77" t="inlineStr">
        <is>
          <t>HATCH iii — borne by the taxpayer</t>
        </is>
      </c>
      <c r="G1490" s="77" t="inlineStr">
        <is>
          <t>renewables subsidy (off-bill since 07/2022)</t>
        </is>
      </c>
      <c r="H1490" s="77" t="inlineStr">
        <is>
          <t>iii — taxpayer (KTF)</t>
        </is>
      </c>
      <c r="I1490" s="77">
        <f>IF(ISNUMBER(N1490),N1490*fx_deflator!$J$19*fx_deflator!$M$19,"")</f>
        <v/>
      </c>
      <c r="J1490" s="77" t="inlineStr">
        <is>
          <t>netztransparenz EEG-Finanzierungsbedarf pubs; Bundestag Drs 20/14522; BMWE Haushalt 2026</t>
        </is>
      </c>
      <c r="K1490" s="77" t="inlineStr">
        <is>
          <t>netztransparenz Datenbasis per levy year (2024/2025 retrieved via browser 2026-07-16; Q44 RESOLVED)</t>
        </is>
      </c>
      <c r="L1490" s="77" t="inlineStr">
        <is>
          <t>2026-07-16</t>
        </is>
      </c>
      <c r="M1490" s="77" t="inlineStr">
        <is>
          <t>Y</t>
        </is>
      </c>
      <c r="N1490" s="77">
        <f>18489000000/450843900337*1000</f>
        <v/>
      </c>
      <c r="O1490" s="77" t="inlineStr">
        <is>
          <t>EUR/MWh nominal</t>
        </is>
      </c>
      <c r="P1490" s="77" t="inlineStr">
        <is>
          <t>2024: EUR 18.489bn transfer / 2024 levy base 450,843,900,337 kWh (Datenbasis zu par.19 StromNEV-Umlage 2024, 22.12.2023 — Q44 resolved); 2026 EnFG levy base applied to all years (Q44); E2 counterfactual would be near-BesAR-floor — this shows the E1-level shift</t>
        </is>
      </c>
    </row>
    <row r="1491" ht="15" customHeight="1" s="78">
      <c r="A1491" s="77" t="inlineStr">
        <is>
          <t>DE</t>
        </is>
      </c>
      <c r="B1491" s="77" t="n">
        <v>2025</v>
      </c>
      <c r="C1491" s="77" t="inlineStr">
        <is>
          <t>large</t>
        </is>
      </c>
      <c r="D1491" s="77" t="inlineStr">
        <is>
          <t>E1</t>
        </is>
      </c>
      <c r="E1491" s="77" t="inlineStr">
        <is>
          <t>HATCH — EEG financing borne by federal budget (KTF), per-MWh counterfactual</t>
        </is>
      </c>
      <c r="F1491" s="77" t="inlineStr">
        <is>
          <t>HATCH iii — borne by the taxpayer</t>
        </is>
      </c>
      <c r="G1491" s="77" t="inlineStr">
        <is>
          <t>renewables subsidy (off-bill since 07/2022)</t>
        </is>
      </c>
      <c r="H1491" s="77" t="inlineStr">
        <is>
          <t>iii — taxpayer (KTF)</t>
        </is>
      </c>
      <c r="I1491" s="77">
        <f>IF(ISNUMBER(N1491),N1491*fx_deflator!$J$20*fx_deflator!$M$20,"")</f>
        <v/>
      </c>
      <c r="J1491" s="77" t="inlineStr">
        <is>
          <t>netztransparenz EEG-Finanzierungsbedarf pubs; Bundestag Drs 20/14522; BMWE Haushalt 2026</t>
        </is>
      </c>
      <c r="K1491" s="77" t="inlineStr">
        <is>
          <t>netztransparenz Datenbasis per levy year (2024/2025 retrieved via browser 2026-07-16; Q44 RESOLVED)</t>
        </is>
      </c>
      <c r="L1491" s="77" t="inlineStr">
        <is>
          <t>2026-07-16</t>
        </is>
      </c>
      <c r="M1491" s="77" t="inlineStr">
        <is>
          <t>Y</t>
        </is>
      </c>
      <c r="N1491" s="77">
        <f>16500000000/446144452137*1000</f>
        <v/>
      </c>
      <c r="O1491" s="77" t="inlineStr">
        <is>
          <t>EUR/MWh nominal</t>
        </is>
      </c>
      <c r="P1491" s="77" t="inlineStr">
        <is>
          <t>2025: ~EUR 16.5bn / 2025 levy base 446,144,452,137 kWh (Datenbasis zum Aufschlag 2025, 25.10.2024 — Q44 resolved); 2026 EnFG levy base applied to all years (Q44); E2 counterfactual would be near-BesAR-floor — this shows the E1-level shift</t>
        </is>
      </c>
    </row>
    <row r="1492" ht="15" customHeight="1" s="78">
      <c r="A1492" s="77" t="inlineStr">
        <is>
          <t>DE</t>
        </is>
      </c>
      <c r="B1492" s="77" t="n">
        <v>2025</v>
      </c>
      <c r="C1492" s="77" t="inlineStr">
        <is>
          <t>large</t>
        </is>
      </c>
      <c r="D1492" s="77" t="inlineStr">
        <is>
          <t>E2</t>
        </is>
      </c>
      <c r="E1492" s="77" t="inlineStr">
        <is>
          <t>HATCH — EEG financing borne by federal budget (KTF), per-MWh counterfactual</t>
        </is>
      </c>
      <c r="F1492" s="77" t="inlineStr">
        <is>
          <t>HATCH iii — borne by the taxpayer</t>
        </is>
      </c>
      <c r="G1492" s="77" t="inlineStr">
        <is>
          <t>renewables subsidy (off-bill since 07/2022)</t>
        </is>
      </c>
      <c r="H1492" s="77" t="inlineStr">
        <is>
          <t>iii — taxpayer (KTF)</t>
        </is>
      </c>
      <c r="I1492" s="77">
        <f>IF(ISNUMBER(N1492),N1492*fx_deflator!$J$20*fx_deflator!$M$20,"")</f>
        <v/>
      </c>
      <c r="J1492" s="77" t="inlineStr">
        <is>
          <t>netztransparenz EEG-Finanzierungsbedarf pubs; Bundestag Drs 20/14522; BMWE Haushalt 2026</t>
        </is>
      </c>
      <c r="K1492" s="77" t="inlineStr">
        <is>
          <t>netztransparenz Datenbasis per levy year (2024/2025 retrieved via browser 2026-07-16; Q44 RESOLVED)</t>
        </is>
      </c>
      <c r="L1492" s="77" t="inlineStr">
        <is>
          <t>2026-07-16</t>
        </is>
      </c>
      <c r="M1492" s="77" t="inlineStr">
        <is>
          <t>Y</t>
        </is>
      </c>
      <c r="N1492" s="77">
        <f>16500000000/446144452137*1000</f>
        <v/>
      </c>
      <c r="O1492" s="77" t="inlineStr">
        <is>
          <t>EUR/MWh nominal</t>
        </is>
      </c>
      <c r="P1492" s="77" t="inlineStr">
        <is>
          <t>2025: ~EUR 16.5bn / 2025 levy base 446,144,452,137 kWh (Datenbasis zum Aufschlag 2025, 25.10.2024 — Q44 resolved); 2026 EnFG levy base applied to all years (Q44); E2 counterfactual would be near-BesAR-floor — this shows the E1-level shift</t>
        </is>
      </c>
    </row>
    <row r="1493" ht="15" customHeight="1" s="78">
      <c r="A1493" s="77" t="inlineStr">
        <is>
          <t>DE</t>
        </is>
      </c>
      <c r="B1493" s="77" t="n">
        <v>2025</v>
      </c>
      <c r="C1493" s="77" t="inlineStr">
        <is>
          <t>medium</t>
        </is>
      </c>
      <c r="D1493" s="77" t="inlineStr">
        <is>
          <t>E1</t>
        </is>
      </c>
      <c r="E1493" s="77" t="inlineStr">
        <is>
          <t>HATCH — EEG financing borne by federal budget (KTF), per-MWh counterfactual</t>
        </is>
      </c>
      <c r="F1493" s="77" t="inlineStr">
        <is>
          <t>HATCH iii — borne by the taxpayer</t>
        </is>
      </c>
      <c r="G1493" s="77" t="inlineStr">
        <is>
          <t>renewables subsidy (off-bill since 07/2022)</t>
        </is>
      </c>
      <c r="H1493" s="77" t="inlineStr">
        <is>
          <t>iii — taxpayer (KTF)</t>
        </is>
      </c>
      <c r="I1493" s="77">
        <f>IF(ISNUMBER(N1493),N1493*fx_deflator!$J$20*fx_deflator!$M$20,"")</f>
        <v/>
      </c>
      <c r="J1493" s="77" t="inlineStr">
        <is>
          <t>netztransparenz EEG-Finanzierungsbedarf pubs; Bundestag Drs 20/14522; BMWE Haushalt 2026</t>
        </is>
      </c>
      <c r="K1493" s="77" t="inlineStr">
        <is>
          <t>netztransparenz Datenbasis per levy year (2024/2025 retrieved via browser 2026-07-16; Q44 RESOLVED)</t>
        </is>
      </c>
      <c r="L1493" s="77" t="inlineStr">
        <is>
          <t>2026-07-16</t>
        </is>
      </c>
      <c r="M1493" s="77" t="inlineStr">
        <is>
          <t>Y</t>
        </is>
      </c>
      <c r="N1493" s="77">
        <f>16500000000/446144452137*1000</f>
        <v/>
      </c>
      <c r="O1493" s="77" t="inlineStr">
        <is>
          <t>EUR/MWh nominal</t>
        </is>
      </c>
      <c r="P1493" s="77" t="inlineStr">
        <is>
          <t>2025: ~EUR 16.5bn / 2025 levy base 446,144,452,137 kWh (Datenbasis zum Aufschlag 2025, 25.10.2024 — Q44 resolved); 2026 EnFG levy base applied to all years (Q44); E2 counterfactual would be near-BesAR-floor — this shows the E1-level shift</t>
        </is>
      </c>
    </row>
    <row r="1494" ht="15" customHeight="1" s="78">
      <c r="A1494" s="77" t="inlineStr">
        <is>
          <t>DE</t>
        </is>
      </c>
      <c r="B1494" s="77" t="n">
        <v>2025</v>
      </c>
      <c r="C1494" s="77" t="inlineStr">
        <is>
          <t>medium</t>
        </is>
      </c>
      <c r="D1494" s="77" t="inlineStr">
        <is>
          <t>E2</t>
        </is>
      </c>
      <c r="E1494" s="77" t="inlineStr">
        <is>
          <t>HATCH — EEG financing borne by federal budget (KTF), per-MWh counterfactual</t>
        </is>
      </c>
      <c r="F1494" s="77" t="inlineStr">
        <is>
          <t>HATCH iii — borne by the taxpayer</t>
        </is>
      </c>
      <c r="G1494" s="77" t="inlineStr">
        <is>
          <t>renewables subsidy (off-bill since 07/2022)</t>
        </is>
      </c>
      <c r="H1494" s="77" t="inlineStr">
        <is>
          <t>iii — taxpayer (KTF)</t>
        </is>
      </c>
      <c r="I1494" s="77">
        <f>IF(ISNUMBER(N1494),N1494*fx_deflator!$J$20*fx_deflator!$M$20,"")</f>
        <v/>
      </c>
      <c r="J1494" s="77" t="inlineStr">
        <is>
          <t>netztransparenz EEG-Finanzierungsbedarf pubs; Bundestag Drs 20/14522; BMWE Haushalt 2026</t>
        </is>
      </c>
      <c r="K1494" s="77" t="inlineStr">
        <is>
          <t>netztransparenz Datenbasis per levy year (2024/2025 retrieved via browser 2026-07-16; Q44 RESOLVED)</t>
        </is>
      </c>
      <c r="L1494" s="77" t="inlineStr">
        <is>
          <t>2026-07-16</t>
        </is>
      </c>
      <c r="M1494" s="77" t="inlineStr">
        <is>
          <t>Y</t>
        </is>
      </c>
      <c r="N1494" s="77">
        <f>16500000000/446144452137*1000</f>
        <v/>
      </c>
      <c r="O1494" s="77" t="inlineStr">
        <is>
          <t>EUR/MWh nominal</t>
        </is>
      </c>
      <c r="P1494" s="77" t="inlineStr">
        <is>
          <t>2025: ~EUR 16.5bn / 2025 levy base 446,144,452,137 kWh (Datenbasis zum Aufschlag 2025, 25.10.2024 — Q44 resolved); 2026 EnFG levy base applied to all years (Q44); E2 counterfactual would be near-BesAR-floor — this shows the E1-level shift</t>
        </is>
      </c>
    </row>
    <row r="1495">
      <c r="A1495" s="77" t="inlineStr">
        <is>
          <t>DE</t>
        </is>
      </c>
      <c r="B1495" s="77" t="n">
        <v>2011</v>
      </c>
      <c r="C1495" s="77" t="inlineStr">
        <is>
          <t>large</t>
        </is>
      </c>
      <c r="D1495" s="77" t="inlineStr">
        <is>
          <t>E2</t>
        </is>
      </c>
      <c r="E1495" s="77" t="inlineStr">
        <is>
          <t>EEG-Umlage after BesAR (0.05 ct floor era-central)</t>
        </is>
      </c>
      <c r="F1495" s="77" t="inlineStr">
        <is>
          <t>2 Gen capital recovery</t>
        </is>
      </c>
      <c r="G1495" s="77" t="inlineStr">
        <is>
          <t>renewables levy (Umlage)</t>
        </is>
      </c>
      <c r="H1495" s="77" t="inlineStr">
        <is>
          <t>i (relief socialised via Umlage on others = ii)</t>
        </is>
      </c>
      <c r="I1495" s="77">
        <f>IF(ISNUMBER(N1495),N1495*fx_deflator!$J$6*fx_deflator!$M$6,"")</f>
        <v/>
      </c>
      <c r="J1495" s="77" t="inlineStr">
        <is>
          <t>EEG 2012 sec.41 / EEG 2014+ sec.64 (BesAR); D24/D25 conventions</t>
        </is>
      </c>
      <c r="K1495" s="77" t="inlineStr">
        <is>
          <t>stage4_de r21 + timeseries r45/62</t>
        </is>
      </c>
      <c r="L1495" s="77" t="inlineStr">
        <is>
          <t>2026-07-15</t>
        </is>
      </c>
      <c r="M1495" s="77" t="inlineStr">
        <is>
          <t>Y</t>
        </is>
      </c>
      <c r="N1495" s="136">
        <f>IF(ISNUMBER(timeseries!E45),timeseries!E45,"")</f>
        <v/>
      </c>
      <c r="O1495" s="77" t="inlineStr">
        <is>
          <t>EUR/MWh nominal</t>
        </is>
      </c>
      <c r="P1495" s="77" t="inlineStr">
        <is>
          <t>ADDED 2026-07-24 (Q90): benefit year 2011 ran on EEG 2009 (10% Selbstbehalt at the full Umlage + 0.05 ct/kWh on the rest), not the EEG 2012 ladder, which first binds 2013. Row absent before this pass.</t>
        </is>
      </c>
    </row>
    <row r="1496">
      <c r="A1496" s="77" t="inlineStr">
        <is>
          <t>DE</t>
        </is>
      </c>
      <c r="B1496" s="77" t="n">
        <v>2011</v>
      </c>
      <c r="C1496" s="77" t="inlineStr">
        <is>
          <t>large</t>
        </is>
      </c>
      <c r="D1496" s="77" t="inlineStr">
        <is>
          <t>E2</t>
        </is>
      </c>
      <c r="E1496" s="77" t="inlineStr">
        <is>
          <t>HATCH — EEG BesAR relief (socialised via higher Umlage on others)</t>
        </is>
      </c>
      <c r="F1496" s="77" t="inlineStr">
        <is>
          <t>HATCH ii — borne by other electricity users</t>
        </is>
      </c>
      <c r="G1496" s="77" t="inlineStr">
        <is>
          <t>renewables levy relief</t>
        </is>
      </c>
      <c r="H1496" s="77" t="inlineStr">
        <is>
          <t>ii — other electricity users</t>
        </is>
      </c>
      <c r="I1496" s="77">
        <f>IF(ISNUMBER(N1496),N1496*fx_deflator!$J$6*fx_deflator!$M$6,"")</f>
        <v/>
      </c>
      <c r="J1496" s="77" t="inlineStr">
        <is>
          <t>EEG sec.41/sec.64 BesAR</t>
        </is>
      </c>
      <c r="K1496" s="77" t="inlineStr">
        <is>
          <t>timeseries r35/45</t>
        </is>
      </c>
      <c r="L1496" s="77" t="inlineStr">
        <is>
          <t>2026-07-15</t>
        </is>
      </c>
      <c r="M1496" s="77" t="inlineStr">
        <is>
          <t>Y</t>
        </is>
      </c>
      <c r="N1496" s="77">
        <f>IF(AND(ISNUMBER(timeseries!E35),ISNUMBER(timeseries!E45)),timeseries!E35-timeseries!E45,"")</f>
        <v/>
      </c>
      <c r="O1496" s="77" t="inlineStr">
        <is>
          <t>EUR/MWh nominal</t>
        </is>
      </c>
      <c r="P1496" s="77" t="inlineStr">
        <is>
          <t>ADDED 2026-07-24 (Q90): benefit year 2011 ran on EEG 2009 (10% Selbstbehalt at the full Umlage + 0.05 ct/kWh on the rest), not the EEG 2012 ladder, which first binds 2013. Row absent before this pass.</t>
        </is>
      </c>
    </row>
    <row r="1497">
      <c r="A1497" s="77" t="inlineStr">
        <is>
          <t>DE</t>
        </is>
      </c>
      <c r="B1497" s="77" t="n">
        <v>2011</v>
      </c>
      <c r="C1497" s="77" t="inlineStr">
        <is>
          <t>medium</t>
        </is>
      </c>
      <c r="D1497" s="77" t="inlineStr">
        <is>
          <t>E2</t>
        </is>
      </c>
      <c r="E1497" s="77" t="inlineStr">
        <is>
          <t>Wholesale (as large)</t>
        </is>
      </c>
      <c r="F1497" s="77" t="inlineStr">
        <is>
          <t>1 Commodity</t>
        </is>
      </c>
      <c r="G1497" s="77" t="inlineStr">
        <is>
          <t>wholesale market</t>
        </is>
      </c>
      <c r="H1497" s="77" t="inlineStr">
        <is>
          <t>i</t>
        </is>
      </c>
      <c r="I1497" s="77">
        <f>IF(ISNUMBER(N1497),N1497*fx_deflator!$J$6*fx_deflator!$M$6,"")</f>
        <v/>
      </c>
      <c r="J1497" s="77" t="inlineStr">
        <is>
          <t>BNetzA Monitoringberichte — Phelix base front-year by trading yr -&gt; delivery yr; 2026 = D29</t>
        </is>
      </c>
      <c r="K1497" s="77" t="inlineStr">
        <is>
          <t>stage4_de r7</t>
        </is>
      </c>
      <c r="L1497" s="77" t="inlineStr">
        <is>
          <t>2026-07-15</t>
        </is>
      </c>
      <c r="M1497" s="77" t="inlineStr">
        <is>
          <t>Y</t>
        </is>
      </c>
      <c r="N1497" s="136">
        <f>IF(ISNUMBER(timeseries!E57),timeseries!E57,"")</f>
        <v/>
      </c>
      <c r="O1497" s="77" t="inlineStr">
        <is>
          <t>EUR/MWh nominal</t>
        </is>
      </c>
      <c r="P1497" s="77" t="inlineStr">
        <is>
          <t>ADDED 2026-07-24 (Q90): benefit year 2011 ran on EEG 2009 (10% Selbstbehalt at the full Umlage + 0.05 ct/kWh on the rest), not the EEG 2012 ladder, which first binds 2013. Row absent before this pass.</t>
        </is>
      </c>
    </row>
    <row r="1498">
      <c r="A1498" s="77" t="inlineStr">
        <is>
          <t>DE</t>
        </is>
      </c>
      <c r="B1498" s="77" t="n">
        <v>2011</v>
      </c>
      <c r="C1498" s="77" t="inlineStr">
        <is>
          <t>medium</t>
        </is>
      </c>
      <c r="D1498" s="77" t="inlineStr">
        <is>
          <t>E2</t>
        </is>
      </c>
      <c r="E1498" s="77" t="inlineStr">
        <is>
          <t>Netzentgelte MS (Westnetz; MB bridge 2010-12)</t>
        </is>
      </c>
      <c r="F1498" s="77" t="inlineStr">
        <is>
          <t>3 Network</t>
        </is>
      </c>
      <c r="G1498" s="77" t="inlineStr">
        <is>
          <t>distribution network charge</t>
        </is>
      </c>
      <c r="H1498" s="77" t="inlineStr">
        <is>
          <t>i</t>
        </is>
      </c>
      <c r="I1498" s="77">
        <f>IF(ISNUMBER(N1498),N1498*fx_deflator!$J$6*fx_deflator!$M$6,"")</f>
        <v/>
      </c>
      <c r="J1498" s="77" t="inlineStr">
        <is>
          <t>Westnetz Preisblaetter (2013+, Wayback); BNetzA MB national avg bridge 2010-12 (D20)</t>
        </is>
      </c>
      <c r="K1498" s="77" t="inlineStr">
        <is>
          <t>stage4_de r15-17</t>
        </is>
      </c>
      <c r="L1498" s="77" t="inlineStr">
        <is>
          <t>2026-07-15</t>
        </is>
      </c>
      <c r="M1498" s="77" t="inlineStr">
        <is>
          <t>Y</t>
        </is>
      </c>
      <c r="N1498" s="136">
        <f>IF(ISNUMBER(timeseries!E58),timeseries!E58,"")</f>
        <v/>
      </c>
      <c r="O1498" s="77" t="inlineStr">
        <is>
          <t>EUR/MWh nominal</t>
        </is>
      </c>
      <c r="P1498" s="77" t="inlineStr">
        <is>
          <t>no sec.19 relief at 5,000h (fails Satz 2) — E1=E2 | ADDED 2026-07-24 (Q90): benefit year 2011 ran on EEG 2009 (10% Selbstbehalt at the full Umlage + 0.05 ct/kWh on the rest), not the EEG 2012 ladder, which first binds 2013. Row absent before this pass.</t>
        </is>
      </c>
    </row>
    <row r="1499">
      <c r="A1499" s="77" t="inlineStr">
        <is>
          <t>DE</t>
        </is>
      </c>
      <c r="B1499" s="77" t="n">
        <v>2011</v>
      </c>
      <c r="C1499" s="77" t="inlineStr">
        <is>
          <t>medium</t>
        </is>
      </c>
      <c r="D1499" s="77" t="inlineStr">
        <is>
          <t>E2</t>
        </is>
      </c>
      <c r="E1499" s="77" t="inlineStr">
        <is>
          <t>EEG-Umlage after BesAR (2012-13 sliding ~10 pct; 2014+ 1 GWh full + 15 pct above)</t>
        </is>
      </c>
      <c r="F1499" s="77" t="inlineStr">
        <is>
          <t>2 Gen capital recovery</t>
        </is>
      </c>
      <c r="G1499" s="77" t="inlineStr">
        <is>
          <t>renewables levy (Umlage)</t>
        </is>
      </c>
      <c r="H1499" s="77" t="inlineStr">
        <is>
          <t>i (relief = ii via Umlage on others)</t>
        </is>
      </c>
      <c r="I1499" s="77">
        <f>IF(ISNUMBER(N1499),N1499*fx_deflator!$J$6*fx_deflator!$M$6,"")</f>
        <v/>
      </c>
      <c r="J1499" s="77" t="inlineStr">
        <is>
          <t>EEG 2012 sec.41 / EEG 2014+ sec.64 (BesAR); D24/D25 conventions</t>
        </is>
      </c>
      <c r="K1499" s="77" t="inlineStr">
        <is>
          <t>stage4_de r21 + timeseries r45/62</t>
        </is>
      </c>
      <c r="L1499" s="77" t="inlineStr">
        <is>
          <t>2026-07-15</t>
        </is>
      </c>
      <c r="M1499" s="77" t="inlineStr">
        <is>
          <t>Y</t>
        </is>
      </c>
      <c r="N1499" s="136">
        <f>IF(ISNUMBER(timeseries!E62),timeseries!E62,"")</f>
        <v/>
      </c>
      <c r="O1499" s="77" t="inlineStr">
        <is>
          <t>EUR/MWh nominal</t>
        </is>
      </c>
      <c r="P1499" s="77" t="inlineStr">
        <is>
          <t>ADDED 2026-07-24 (Q90): benefit year 2011 ran on EEG 2009 (10% Selbstbehalt at the full Umlage + 0.05 ct/kWh on the rest), not the EEG 2012 ladder, which first binds 2013. Row absent before this pass.</t>
        </is>
      </c>
    </row>
    <row r="1500">
      <c r="A1500" s="77" t="inlineStr">
        <is>
          <t>DE</t>
        </is>
      </c>
      <c r="B1500" s="77" t="n">
        <v>2011</v>
      </c>
      <c r="C1500" s="77" t="inlineStr">
        <is>
          <t>medium</t>
        </is>
      </c>
      <c r="D1500" s="77" t="inlineStr">
        <is>
          <t>E2</t>
        </is>
      </c>
      <c r="E1500" s="77" t="inlineStr">
        <is>
          <t>KWKG-Umlage (tranche blend at 20 GWh)</t>
        </is>
      </c>
      <c r="F1500" s="77" t="inlineStr">
        <is>
          <t>2 Gen capital recovery</t>
        </is>
      </c>
      <c r="G1500" s="77" t="inlineStr">
        <is>
          <t>CHP levy (Umlage)</t>
        </is>
      </c>
      <c r="H1500" s="77" t="inlineStr">
        <is>
          <t>i</t>
        </is>
      </c>
      <c r="I1500" s="77">
        <f>IF(ISNUMBER(N1500),N1500*fx_deflator!$J$6*fx_deflator!$M$6,"")</f>
        <v/>
      </c>
      <c r="J1500" s="77" t="inlineStr">
        <is>
          <t>netztransparenz Uebersicht KWKG-Aufschlaege 2002-2016 + per-year pages; tranche blends</t>
        </is>
      </c>
      <c r="K1500" s="77" t="inlineStr">
        <is>
          <t>stage4_de r22-24</t>
        </is>
      </c>
      <c r="L1500" s="77" t="inlineStr">
        <is>
          <t>2026-07-15</t>
        </is>
      </c>
      <c r="M1500" s="77" t="inlineStr">
        <is>
          <t>Y</t>
        </is>
      </c>
      <c r="N1500" s="77">
        <f>(0.1*stage4_de!E22+19.9*stage4_de!E23)/20*10</f>
        <v/>
      </c>
      <c r="O1500" s="77" t="inlineStr">
        <is>
          <t>EUR/MWh nominal</t>
        </is>
      </c>
      <c r="P1500" s="77" t="inlineStr">
        <is>
          <t>ADDED 2026-07-24 (Q90): benefit year 2011 ran on EEG 2009 (10% Selbstbehalt at the full Umlage + 0.05 ct/kWh on the rest), not the EEG 2012 ladder, which first binds 2013. Row absent before this pass.</t>
        </is>
      </c>
    </row>
    <row r="1501">
      <c r="A1501" s="77" t="inlineStr">
        <is>
          <t>DE</t>
        </is>
      </c>
      <c r="B1501" s="77" t="n">
        <v>2011</v>
      </c>
      <c r="C1501" s="77" t="inlineStr">
        <is>
          <t>medium</t>
        </is>
      </c>
      <c r="D1501" s="77" t="inlineStr">
        <is>
          <t>E2</t>
        </is>
      </c>
      <c r="E1501" s="77" t="inlineStr">
        <is>
          <t>Stromsteuer relieved (sec.9b)</t>
        </is>
      </c>
      <c r="F1501" s="77" t="inlineStr">
        <is>
          <t>5 General taxation &amp; levies</t>
        </is>
      </c>
      <c r="G1501" s="77" t="inlineStr">
        <is>
          <t>electricity tax</t>
        </is>
      </c>
      <c r="H1501" s="77" t="inlineStr">
        <is>
          <t>i (relief = foregone tax, iii)</t>
        </is>
      </c>
      <c r="I1501" s="77">
        <f>IF(ISNUMBER(N1501),N1501*fx_deflator!$J$6*fx_deflator!$M$6,"")</f>
        <v/>
      </c>
      <c r="J1501" s="77" t="inlineStr">
        <is>
          <t>StromStG sec.3/sec.9b (BGBl. 2025 I Nr. 340: 0.50 permanent from 2026); gesetze-im-internet.de</t>
        </is>
      </c>
      <c r="K1501" s="77" t="inlineStr">
        <is>
          <t>stage4_de r34-35</t>
        </is>
      </c>
      <c r="L1501" s="77" t="inlineStr">
        <is>
          <t>2026-07-15</t>
        </is>
      </c>
      <c r="M1501" s="77" t="inlineStr">
        <is>
          <t>N</t>
        </is>
      </c>
      <c r="N1501" s="77">
        <f>IF(ISNUMBER(stage4_de!E35),stage4_de!E35,"")</f>
        <v/>
      </c>
      <c r="O1501" s="77" t="inlineStr">
        <is>
          <t>EUR/MWh nominal</t>
        </is>
      </c>
      <c r="P1501" s="77" t="inlineStr">
        <is>
          <t>ADDED 2026-07-24 (Q90): benefit year 2011 ran on EEG 2009 (10% Selbstbehalt at the full Umlage + 0.05 ct/kWh on the rest), not the EEG 2012 ladder, which first binds 2013. Row absent before this pass.</t>
        </is>
      </c>
    </row>
    <row r="1502">
      <c r="A1502" s="77" t="inlineStr">
        <is>
          <t>DE</t>
        </is>
      </c>
      <c r="B1502" s="77" t="n">
        <v>2011</v>
      </c>
      <c r="C1502" s="77" t="inlineStr">
        <is>
          <t>medium</t>
        </is>
      </c>
      <c r="D1502" s="77" t="inlineStr">
        <is>
          <t>E2</t>
        </is>
      </c>
      <c r="E1502" s="77" t="inlineStr">
        <is>
          <t>Konzessionsabgabe (0 via Grenzpreis)</t>
        </is>
      </c>
      <c r="F1502" s="77" t="inlineStr">
        <is>
          <t>5 General taxation &amp; levies</t>
        </is>
      </c>
      <c r="G1502" s="77" t="inlineStr">
        <is>
          <t>concession fee</t>
        </is>
      </c>
      <c r="H1502" s="77" t="inlineStr">
        <is>
          <t>i</t>
        </is>
      </c>
      <c r="I1502" s="77">
        <f>IF(ISNUMBER(N1502),N1502*fx_deflator!$J$6*fx_deflator!$M$6,"")</f>
        <v/>
      </c>
      <c r="J1502" s="77" t="inlineStr">
        <is>
          <t>KAV sec.2(3)/(4) Grenzpreis rule -&gt; 0 for Sondervertragskunden</t>
        </is>
      </c>
      <c r="K1502" s="77" t="inlineStr">
        <is>
          <t>stage4_de r36</t>
        </is>
      </c>
      <c r="L1502" s="77" t="inlineStr">
        <is>
          <t>2026-07-15</t>
        </is>
      </c>
      <c r="M1502" s="77" t="inlineStr">
        <is>
          <t>N</t>
        </is>
      </c>
      <c r="N1502" s="77">
        <f>IF(ISNUMBER(stage4_de!E36),stage4_de!E36*10,"")</f>
        <v/>
      </c>
      <c r="O1502" s="77" t="inlineStr">
        <is>
          <t>EUR/MWh nominal</t>
        </is>
      </c>
      <c r="P1502" s="77" t="inlineStr">
        <is>
          <t>ADDED 2026-07-24 (Q90): benefit year 2011 ran on EEG 2009 (10% Selbstbehalt at the full Umlage + 0.05 ct/kWh on the rest), not the EEG 2012 ladder, which first binds 2013. Row absent before this pass.</t>
        </is>
      </c>
    </row>
    <row r="1503">
      <c r="A1503" s="77" t="inlineStr">
        <is>
          <t>DE</t>
        </is>
      </c>
      <c r="B1503" s="77" t="n">
        <v>2011</v>
      </c>
      <c r="C1503" s="77" t="inlineStr">
        <is>
          <t>medium</t>
        </is>
      </c>
      <c r="D1503" s="77" t="inlineStr">
        <is>
          <t>E2</t>
        </is>
      </c>
      <c r="E1503" s="77" t="inlineStr">
        <is>
          <t>HATCH — EEG BesAR relief (medium, D24)</t>
        </is>
      </c>
      <c r="F1503" s="77" t="inlineStr">
        <is>
          <t>HATCH ii — borne by other electricity users</t>
        </is>
      </c>
      <c r="G1503" s="77" t="inlineStr">
        <is>
          <t>renewables levy relief</t>
        </is>
      </c>
      <c r="H1503" s="77" t="inlineStr">
        <is>
          <t>ii — other electricity users</t>
        </is>
      </c>
      <c r="I1503" s="77">
        <f>IF(ISNUMBER(N1503),N1503*fx_deflator!$J$6*fx_deflator!$M$6,"")</f>
        <v/>
      </c>
      <c r="J1503" s="77" t="inlineStr">
        <is>
          <t>EEG BesAR; D24</t>
        </is>
      </c>
      <c r="K1503" s="77" t="inlineStr">
        <is>
          <t>timeseries r62</t>
        </is>
      </c>
      <c r="L1503" s="77" t="inlineStr">
        <is>
          <t>2026-07-15</t>
        </is>
      </c>
      <c r="M1503" s="77" t="inlineStr">
        <is>
          <t>Y</t>
        </is>
      </c>
      <c r="N1503" s="77">
        <f>IF(AND(ISNUMBER(stage4_de!E21),ISNUMBER(timeseries!E62)),stage4_de!E21*10-timeseries!E62,"")</f>
        <v/>
      </c>
      <c r="O1503" s="77" t="inlineStr">
        <is>
          <t>EUR/MWh nominal</t>
        </is>
      </c>
      <c r="P1503" s="77" t="inlineStr">
        <is>
          <t>ADDED 2026-07-24 (Q90): benefit year 2011 ran on EEG 2009 (10% Selbstbehalt at the full Umlage + 0.05 ct/kWh on the rest), not the EEG 2012 ladder, which first binds 2013. Row absent before this pass.</t>
        </is>
      </c>
    </row>
    <row r="1504">
      <c r="A1504" s="77" t="inlineStr">
        <is>
          <t>UK</t>
        </is>
      </c>
      <c r="B1504" s="77" t="n">
        <v>2010</v>
      </c>
      <c r="C1504" s="77" t="inlineStr">
        <is>
          <t>large</t>
        </is>
      </c>
      <c r="D1504" s="77" t="inlineStr">
        <is>
          <t>E1</t>
        </is>
      </c>
      <c r="E1504" s="77" t="inlineStr">
        <is>
          <t>Line losses — distribution LLF x transmission TLM gross-up on the energy purchase</t>
        </is>
      </c>
      <c r="F1504" s="77" t="inlineStr">
        <is>
          <t>1 Commodity</t>
        </is>
      </c>
      <c r="G1504" s="77" t="inlineStr">
        <is>
          <t>wholesale market</t>
        </is>
      </c>
      <c r="H1504" s="77" t="inlineStr">
        <is>
          <t>i</t>
        </is>
      </c>
      <c r="I1504" s="77">
        <f>IF(ISNUMBER(N1504),N1504*fx_deflator!$I$5*fx_deflator!$M$5,"")</f>
        <v/>
      </c>
      <c r="J1504" s="77" t="inlineStr">
        <is>
          <t>Elexon BSC Section T (TLM); Northern Powergrid (Yorkshire) Annex 5 (LLF)</t>
        </is>
      </c>
      <c r="K1504" s="77" t="inlineStr">
        <is>
          <t>assumptions r78-80; timeseries r107-110</t>
        </is>
      </c>
      <c r="L1504" s="77" t="inlineStr">
        <is>
          <t>2026-07-24</t>
        </is>
      </c>
      <c r="M1504" s="77" t="inlineStr">
        <is>
          <t>Y</t>
        </is>
      </c>
      <c r="N1504" s="136">
        <f>IF(ISNUMBER(timeseries!D107),timeseries!D107,"")</f>
        <v/>
      </c>
      <c r="O1504" s="77" t="inlineStr">
        <is>
          <t>GBP/MWh nominal</t>
        </is>
      </c>
      <c r="P1504"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05">
      <c r="A1505" s="77" t="inlineStr">
        <is>
          <t>UK</t>
        </is>
      </c>
      <c r="B1505" s="77" t="n">
        <v>2010</v>
      </c>
      <c r="C1505" s="77" t="inlineStr">
        <is>
          <t>large</t>
        </is>
      </c>
      <c r="D1505" s="77" t="inlineStr">
        <is>
          <t>E2</t>
        </is>
      </c>
      <c r="E1505" s="77" t="inlineStr">
        <is>
          <t>Line losses — distribution LLF x transmission TLM gross-up on the energy purchase</t>
        </is>
      </c>
      <c r="F1505" s="77" t="inlineStr">
        <is>
          <t>1 Commodity</t>
        </is>
      </c>
      <c r="G1505" s="77" t="inlineStr">
        <is>
          <t>wholesale market</t>
        </is>
      </c>
      <c r="H1505" s="77" t="inlineStr">
        <is>
          <t>i</t>
        </is>
      </c>
      <c r="I1505" s="77">
        <f>IF(ISNUMBER(N1505),N1505*fx_deflator!$I$5*fx_deflator!$M$5,"")</f>
        <v/>
      </c>
      <c r="J1505" s="77" t="inlineStr">
        <is>
          <t>Elexon BSC Section T (TLM); Northern Powergrid (Yorkshire) Annex 5 (LLF)</t>
        </is>
      </c>
      <c r="K1505" s="77" t="inlineStr">
        <is>
          <t>assumptions r78-80; timeseries r107-110</t>
        </is>
      </c>
      <c r="L1505" s="77" t="inlineStr">
        <is>
          <t>2026-07-24</t>
        </is>
      </c>
      <c r="M1505" s="77" t="inlineStr">
        <is>
          <t>Y</t>
        </is>
      </c>
      <c r="N1505" s="136">
        <f>IF(ISNUMBER(timeseries!D108),timeseries!D108,"")</f>
        <v/>
      </c>
      <c r="O1505" s="77" t="inlineStr">
        <is>
          <t>GBP/MWh nominal</t>
        </is>
      </c>
      <c r="P1505"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06">
      <c r="A1506" s="77" t="inlineStr">
        <is>
          <t>UK</t>
        </is>
      </c>
      <c r="B1506" s="77" t="n">
        <v>2010</v>
      </c>
      <c r="C1506" s="77" t="inlineStr">
        <is>
          <t>medium</t>
        </is>
      </c>
      <c r="D1506" s="77" t="inlineStr">
        <is>
          <t>E1</t>
        </is>
      </c>
      <c r="E1506" s="77" t="inlineStr">
        <is>
          <t>Line losses — distribution LLF x transmission TLM gross-up on the energy purchase</t>
        </is>
      </c>
      <c r="F1506" s="77" t="inlineStr">
        <is>
          <t>1 Commodity</t>
        </is>
      </c>
      <c r="G1506" s="77" t="inlineStr">
        <is>
          <t>wholesale market</t>
        </is>
      </c>
      <c r="H1506" s="77" t="inlineStr">
        <is>
          <t>i</t>
        </is>
      </c>
      <c r="I1506" s="77">
        <f>IF(ISNUMBER(N1506),N1506*fx_deflator!$I$5*fx_deflator!$M$5,"")</f>
        <v/>
      </c>
      <c r="J1506" s="77" t="inlineStr">
        <is>
          <t>Elexon BSC Section T (TLM); Northern Powergrid (Yorkshire) Annex 5 (LLF)</t>
        </is>
      </c>
      <c r="K1506" s="77" t="inlineStr">
        <is>
          <t>assumptions r78-80; timeseries r107-110</t>
        </is>
      </c>
      <c r="L1506" s="77" t="inlineStr">
        <is>
          <t>2026-07-24</t>
        </is>
      </c>
      <c r="M1506" s="77" t="inlineStr">
        <is>
          <t>Y</t>
        </is>
      </c>
      <c r="N1506" s="136">
        <f>IF(ISNUMBER(timeseries!D109),timeseries!D109,"")</f>
        <v/>
      </c>
      <c r="O1506" s="77" t="inlineStr">
        <is>
          <t>GBP/MWh nominal</t>
        </is>
      </c>
      <c r="P1506"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07">
      <c r="A1507" s="77" t="inlineStr">
        <is>
          <t>UK</t>
        </is>
      </c>
      <c r="B1507" s="77" t="n">
        <v>2010</v>
      </c>
      <c r="C1507" s="77" t="inlineStr">
        <is>
          <t>medium</t>
        </is>
      </c>
      <c r="D1507" s="77" t="inlineStr">
        <is>
          <t>E2</t>
        </is>
      </c>
      <c r="E1507" s="77" t="inlineStr">
        <is>
          <t>Line losses — distribution LLF x transmission TLM gross-up on the energy purchase</t>
        </is>
      </c>
      <c r="F1507" s="77" t="inlineStr">
        <is>
          <t>1 Commodity</t>
        </is>
      </c>
      <c r="G1507" s="77" t="inlineStr">
        <is>
          <t>wholesale market</t>
        </is>
      </c>
      <c r="H1507" s="77" t="inlineStr">
        <is>
          <t>i</t>
        </is>
      </c>
      <c r="I1507" s="77">
        <f>IF(ISNUMBER(N1507),N1507*fx_deflator!$I$5*fx_deflator!$M$5,"")</f>
        <v/>
      </c>
      <c r="J1507" s="77" t="inlineStr">
        <is>
          <t>Elexon BSC Section T (TLM); Northern Powergrid (Yorkshire) Annex 5 (LLF)</t>
        </is>
      </c>
      <c r="K1507" s="77" t="inlineStr">
        <is>
          <t>assumptions r78-80; timeseries r107-110</t>
        </is>
      </c>
      <c r="L1507" s="77" t="inlineStr">
        <is>
          <t>2026-07-24</t>
        </is>
      </c>
      <c r="M1507" s="77" t="inlineStr">
        <is>
          <t>Y</t>
        </is>
      </c>
      <c r="N1507" s="136">
        <f>IF(ISNUMBER(timeseries!D110),timeseries!D110,"")</f>
        <v/>
      </c>
      <c r="O1507" s="77" t="inlineStr">
        <is>
          <t>GBP/MWh nominal</t>
        </is>
      </c>
      <c r="P1507"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08">
      <c r="A1508" s="77" t="inlineStr">
        <is>
          <t>UK</t>
        </is>
      </c>
      <c r="B1508" s="77" t="n">
        <v>2011</v>
      </c>
      <c r="C1508" s="77" t="inlineStr">
        <is>
          <t>large</t>
        </is>
      </c>
      <c r="D1508" s="77" t="inlineStr">
        <is>
          <t>E1</t>
        </is>
      </c>
      <c r="E1508" s="77" t="inlineStr">
        <is>
          <t>Line losses — distribution LLF x transmission TLM gross-up on the energy purchase</t>
        </is>
      </c>
      <c r="F1508" s="77" t="inlineStr">
        <is>
          <t>1 Commodity</t>
        </is>
      </c>
      <c r="G1508" s="77" t="inlineStr">
        <is>
          <t>wholesale market</t>
        </is>
      </c>
      <c r="H1508" s="77" t="inlineStr">
        <is>
          <t>i</t>
        </is>
      </c>
      <c r="I1508" s="77">
        <f>IF(ISNUMBER(N1508),N1508*fx_deflator!$I$6*fx_deflator!$M$6,"")</f>
        <v/>
      </c>
      <c r="J1508" s="77" t="inlineStr">
        <is>
          <t>Elexon BSC Section T (TLM); Northern Powergrid (Yorkshire) Annex 5 (LLF)</t>
        </is>
      </c>
      <c r="K1508" s="77" t="inlineStr">
        <is>
          <t>assumptions r78-80; timeseries r107-110</t>
        </is>
      </c>
      <c r="L1508" s="77" t="inlineStr">
        <is>
          <t>2026-07-24</t>
        </is>
      </c>
      <c r="M1508" s="77" t="inlineStr">
        <is>
          <t>Y</t>
        </is>
      </c>
      <c r="N1508" s="136">
        <f>IF(ISNUMBER(timeseries!E107),timeseries!E107,"")</f>
        <v/>
      </c>
      <c r="O1508" s="77" t="inlineStr">
        <is>
          <t>GBP/MWh nominal</t>
        </is>
      </c>
      <c r="P1508"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09">
      <c r="A1509" s="77" t="inlineStr">
        <is>
          <t>UK</t>
        </is>
      </c>
      <c r="B1509" s="77" t="n">
        <v>2011</v>
      </c>
      <c r="C1509" s="77" t="inlineStr">
        <is>
          <t>large</t>
        </is>
      </c>
      <c r="D1509" s="77" t="inlineStr">
        <is>
          <t>E2</t>
        </is>
      </c>
      <c r="E1509" s="77" t="inlineStr">
        <is>
          <t>Line losses — distribution LLF x transmission TLM gross-up on the energy purchase</t>
        </is>
      </c>
      <c r="F1509" s="77" t="inlineStr">
        <is>
          <t>1 Commodity</t>
        </is>
      </c>
      <c r="G1509" s="77" t="inlineStr">
        <is>
          <t>wholesale market</t>
        </is>
      </c>
      <c r="H1509" s="77" t="inlineStr">
        <is>
          <t>i</t>
        </is>
      </c>
      <c r="I1509" s="77">
        <f>IF(ISNUMBER(N1509),N1509*fx_deflator!$I$6*fx_deflator!$M$6,"")</f>
        <v/>
      </c>
      <c r="J1509" s="77" t="inlineStr">
        <is>
          <t>Elexon BSC Section T (TLM); Northern Powergrid (Yorkshire) Annex 5 (LLF)</t>
        </is>
      </c>
      <c r="K1509" s="77" t="inlineStr">
        <is>
          <t>assumptions r78-80; timeseries r107-110</t>
        </is>
      </c>
      <c r="L1509" s="77" t="inlineStr">
        <is>
          <t>2026-07-24</t>
        </is>
      </c>
      <c r="M1509" s="77" t="inlineStr">
        <is>
          <t>Y</t>
        </is>
      </c>
      <c r="N1509" s="136">
        <f>IF(ISNUMBER(timeseries!E108),timeseries!E108,"")</f>
        <v/>
      </c>
      <c r="O1509" s="77" t="inlineStr">
        <is>
          <t>GBP/MWh nominal</t>
        </is>
      </c>
      <c r="P1509"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10">
      <c r="A1510" s="77" t="inlineStr">
        <is>
          <t>UK</t>
        </is>
      </c>
      <c r="B1510" s="77" t="n">
        <v>2011</v>
      </c>
      <c r="C1510" s="77" t="inlineStr">
        <is>
          <t>medium</t>
        </is>
      </c>
      <c r="D1510" s="77" t="inlineStr">
        <is>
          <t>E1</t>
        </is>
      </c>
      <c r="E1510" s="77" t="inlineStr">
        <is>
          <t>Line losses — distribution LLF x transmission TLM gross-up on the energy purchase</t>
        </is>
      </c>
      <c r="F1510" s="77" t="inlineStr">
        <is>
          <t>1 Commodity</t>
        </is>
      </c>
      <c r="G1510" s="77" t="inlineStr">
        <is>
          <t>wholesale market</t>
        </is>
      </c>
      <c r="H1510" s="77" t="inlineStr">
        <is>
          <t>i</t>
        </is>
      </c>
      <c r="I1510" s="77">
        <f>IF(ISNUMBER(N1510),N1510*fx_deflator!$I$6*fx_deflator!$M$6,"")</f>
        <v/>
      </c>
      <c r="J1510" s="77" t="inlineStr">
        <is>
          <t>Elexon BSC Section T (TLM); Northern Powergrid (Yorkshire) Annex 5 (LLF)</t>
        </is>
      </c>
      <c r="K1510" s="77" t="inlineStr">
        <is>
          <t>assumptions r78-80; timeseries r107-110</t>
        </is>
      </c>
      <c r="L1510" s="77" t="inlineStr">
        <is>
          <t>2026-07-24</t>
        </is>
      </c>
      <c r="M1510" s="77" t="inlineStr">
        <is>
          <t>Y</t>
        </is>
      </c>
      <c r="N1510" s="136">
        <f>IF(ISNUMBER(timeseries!E109),timeseries!E109,"")</f>
        <v/>
      </c>
      <c r="O1510" s="77" t="inlineStr">
        <is>
          <t>GBP/MWh nominal</t>
        </is>
      </c>
      <c r="P1510"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11">
      <c r="A1511" s="77" t="inlineStr">
        <is>
          <t>UK</t>
        </is>
      </c>
      <c r="B1511" s="77" t="n">
        <v>2011</v>
      </c>
      <c r="C1511" s="77" t="inlineStr">
        <is>
          <t>medium</t>
        </is>
      </c>
      <c r="D1511" s="77" t="inlineStr">
        <is>
          <t>E2</t>
        </is>
      </c>
      <c r="E1511" s="77" t="inlineStr">
        <is>
          <t>Line losses — distribution LLF x transmission TLM gross-up on the energy purchase</t>
        </is>
      </c>
      <c r="F1511" s="77" t="inlineStr">
        <is>
          <t>1 Commodity</t>
        </is>
      </c>
      <c r="G1511" s="77" t="inlineStr">
        <is>
          <t>wholesale market</t>
        </is>
      </c>
      <c r="H1511" s="77" t="inlineStr">
        <is>
          <t>i</t>
        </is>
      </c>
      <c r="I1511" s="77">
        <f>IF(ISNUMBER(N1511),N1511*fx_deflator!$I$6*fx_deflator!$M$6,"")</f>
        <v/>
      </c>
      <c r="J1511" s="77" t="inlineStr">
        <is>
          <t>Elexon BSC Section T (TLM); Northern Powergrid (Yorkshire) Annex 5 (LLF)</t>
        </is>
      </c>
      <c r="K1511" s="77" t="inlineStr">
        <is>
          <t>assumptions r78-80; timeseries r107-110</t>
        </is>
      </c>
      <c r="L1511" s="77" t="inlineStr">
        <is>
          <t>2026-07-24</t>
        </is>
      </c>
      <c r="M1511" s="77" t="inlineStr">
        <is>
          <t>Y</t>
        </is>
      </c>
      <c r="N1511" s="136">
        <f>IF(ISNUMBER(timeseries!E110),timeseries!E110,"")</f>
        <v/>
      </c>
      <c r="O1511" s="77" t="inlineStr">
        <is>
          <t>GBP/MWh nominal</t>
        </is>
      </c>
      <c r="P1511"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12">
      <c r="A1512" s="77" t="inlineStr">
        <is>
          <t>UK</t>
        </is>
      </c>
      <c r="B1512" s="77" t="n">
        <v>2012</v>
      </c>
      <c r="C1512" s="77" t="inlineStr">
        <is>
          <t>large</t>
        </is>
      </c>
      <c r="D1512" s="77" t="inlineStr">
        <is>
          <t>E1</t>
        </is>
      </c>
      <c r="E1512" s="77" t="inlineStr">
        <is>
          <t>Line losses — distribution LLF x transmission TLM gross-up on the energy purchase</t>
        </is>
      </c>
      <c r="F1512" s="77" t="inlineStr">
        <is>
          <t>1 Commodity</t>
        </is>
      </c>
      <c r="G1512" s="77" t="inlineStr">
        <is>
          <t>wholesale market</t>
        </is>
      </c>
      <c r="H1512" s="77" t="inlineStr">
        <is>
          <t>i</t>
        </is>
      </c>
      <c r="I1512" s="77">
        <f>IF(ISNUMBER(N1512),N1512*fx_deflator!$I$7*fx_deflator!$M$7,"")</f>
        <v/>
      </c>
      <c r="J1512" s="77" t="inlineStr">
        <is>
          <t>Elexon BSC Section T (TLM); Northern Powergrid (Yorkshire) Annex 5 (LLF)</t>
        </is>
      </c>
      <c r="K1512" s="77" t="inlineStr">
        <is>
          <t>assumptions r78-80; timeseries r107-110</t>
        </is>
      </c>
      <c r="L1512" s="77" t="inlineStr">
        <is>
          <t>2026-07-24</t>
        </is>
      </c>
      <c r="M1512" s="77" t="inlineStr">
        <is>
          <t>Y</t>
        </is>
      </c>
      <c r="N1512" s="136">
        <f>IF(ISNUMBER(timeseries!F107),timeseries!F107,"")</f>
        <v/>
      </c>
      <c r="O1512" s="77" t="inlineStr">
        <is>
          <t>GBP/MWh nominal</t>
        </is>
      </c>
      <c r="P1512"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13">
      <c r="A1513" s="77" t="inlineStr">
        <is>
          <t>UK</t>
        </is>
      </c>
      <c r="B1513" s="77" t="n">
        <v>2012</v>
      </c>
      <c r="C1513" s="77" t="inlineStr">
        <is>
          <t>large</t>
        </is>
      </c>
      <c r="D1513" s="77" t="inlineStr">
        <is>
          <t>E2</t>
        </is>
      </c>
      <c r="E1513" s="77" t="inlineStr">
        <is>
          <t>Line losses — distribution LLF x transmission TLM gross-up on the energy purchase</t>
        </is>
      </c>
      <c r="F1513" s="77" t="inlineStr">
        <is>
          <t>1 Commodity</t>
        </is>
      </c>
      <c r="G1513" s="77" t="inlineStr">
        <is>
          <t>wholesale market</t>
        </is>
      </c>
      <c r="H1513" s="77" t="inlineStr">
        <is>
          <t>i</t>
        </is>
      </c>
      <c r="I1513" s="77">
        <f>IF(ISNUMBER(N1513),N1513*fx_deflator!$I$7*fx_deflator!$M$7,"")</f>
        <v/>
      </c>
      <c r="J1513" s="77" t="inlineStr">
        <is>
          <t>Elexon BSC Section T (TLM); Northern Powergrid (Yorkshire) Annex 5 (LLF)</t>
        </is>
      </c>
      <c r="K1513" s="77" t="inlineStr">
        <is>
          <t>assumptions r78-80; timeseries r107-110</t>
        </is>
      </c>
      <c r="L1513" s="77" t="inlineStr">
        <is>
          <t>2026-07-24</t>
        </is>
      </c>
      <c r="M1513" s="77" t="inlineStr">
        <is>
          <t>Y</t>
        </is>
      </c>
      <c r="N1513" s="136">
        <f>IF(ISNUMBER(timeseries!F108),timeseries!F108,"")</f>
        <v/>
      </c>
      <c r="O1513" s="77" t="inlineStr">
        <is>
          <t>GBP/MWh nominal</t>
        </is>
      </c>
      <c r="P1513"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14">
      <c r="A1514" s="77" t="inlineStr">
        <is>
          <t>UK</t>
        </is>
      </c>
      <c r="B1514" s="77" t="n">
        <v>2012</v>
      </c>
      <c r="C1514" s="77" t="inlineStr">
        <is>
          <t>medium</t>
        </is>
      </c>
      <c r="D1514" s="77" t="inlineStr">
        <is>
          <t>E1</t>
        </is>
      </c>
      <c r="E1514" s="77" t="inlineStr">
        <is>
          <t>Line losses — distribution LLF x transmission TLM gross-up on the energy purchase</t>
        </is>
      </c>
      <c r="F1514" s="77" t="inlineStr">
        <is>
          <t>1 Commodity</t>
        </is>
      </c>
      <c r="G1514" s="77" t="inlineStr">
        <is>
          <t>wholesale market</t>
        </is>
      </c>
      <c r="H1514" s="77" t="inlineStr">
        <is>
          <t>i</t>
        </is>
      </c>
      <c r="I1514" s="77">
        <f>IF(ISNUMBER(N1514),N1514*fx_deflator!$I$7*fx_deflator!$M$7,"")</f>
        <v/>
      </c>
      <c r="J1514" s="77" t="inlineStr">
        <is>
          <t>Elexon BSC Section T (TLM); Northern Powergrid (Yorkshire) Annex 5 (LLF)</t>
        </is>
      </c>
      <c r="K1514" s="77" t="inlineStr">
        <is>
          <t>assumptions r78-80; timeseries r107-110</t>
        </is>
      </c>
      <c r="L1514" s="77" t="inlineStr">
        <is>
          <t>2026-07-24</t>
        </is>
      </c>
      <c r="M1514" s="77" t="inlineStr">
        <is>
          <t>Y</t>
        </is>
      </c>
      <c r="N1514" s="136">
        <f>IF(ISNUMBER(timeseries!F109),timeseries!F109,"")</f>
        <v/>
      </c>
      <c r="O1514" s="77" t="inlineStr">
        <is>
          <t>GBP/MWh nominal</t>
        </is>
      </c>
      <c r="P1514"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15">
      <c r="A1515" s="77" t="inlineStr">
        <is>
          <t>UK</t>
        </is>
      </c>
      <c r="B1515" s="77" t="n">
        <v>2012</v>
      </c>
      <c r="C1515" s="77" t="inlineStr">
        <is>
          <t>medium</t>
        </is>
      </c>
      <c r="D1515" s="77" t="inlineStr">
        <is>
          <t>E2</t>
        </is>
      </c>
      <c r="E1515" s="77" t="inlineStr">
        <is>
          <t>Line losses — distribution LLF x transmission TLM gross-up on the energy purchase</t>
        </is>
      </c>
      <c r="F1515" s="77" t="inlineStr">
        <is>
          <t>1 Commodity</t>
        </is>
      </c>
      <c r="G1515" s="77" t="inlineStr">
        <is>
          <t>wholesale market</t>
        </is>
      </c>
      <c r="H1515" s="77" t="inlineStr">
        <is>
          <t>i</t>
        </is>
      </c>
      <c r="I1515" s="77">
        <f>IF(ISNUMBER(N1515),N1515*fx_deflator!$I$7*fx_deflator!$M$7,"")</f>
        <v/>
      </c>
      <c r="J1515" s="77" t="inlineStr">
        <is>
          <t>Elexon BSC Section T (TLM); Northern Powergrid (Yorkshire) Annex 5 (LLF)</t>
        </is>
      </c>
      <c r="K1515" s="77" t="inlineStr">
        <is>
          <t>assumptions r78-80; timeseries r107-110</t>
        </is>
      </c>
      <c r="L1515" s="77" t="inlineStr">
        <is>
          <t>2026-07-24</t>
        </is>
      </c>
      <c r="M1515" s="77" t="inlineStr">
        <is>
          <t>Y</t>
        </is>
      </c>
      <c r="N1515" s="136">
        <f>IF(ISNUMBER(timeseries!F110),timeseries!F110,"")</f>
        <v/>
      </c>
      <c r="O1515" s="77" t="inlineStr">
        <is>
          <t>GBP/MWh nominal</t>
        </is>
      </c>
      <c r="P1515"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16">
      <c r="A1516" s="77" t="inlineStr">
        <is>
          <t>UK</t>
        </is>
      </c>
      <c r="B1516" s="77" t="n">
        <v>2013</v>
      </c>
      <c r="C1516" s="77" t="inlineStr">
        <is>
          <t>large</t>
        </is>
      </c>
      <c r="D1516" s="77" t="inlineStr">
        <is>
          <t>E1</t>
        </is>
      </c>
      <c r="E1516" s="77" t="inlineStr">
        <is>
          <t>Line losses — distribution LLF x transmission TLM gross-up on the energy purchase</t>
        </is>
      </c>
      <c r="F1516" s="77" t="inlineStr">
        <is>
          <t>1 Commodity</t>
        </is>
      </c>
      <c r="G1516" s="77" t="inlineStr">
        <is>
          <t>wholesale market</t>
        </is>
      </c>
      <c r="H1516" s="77" t="inlineStr">
        <is>
          <t>i</t>
        </is>
      </c>
      <c r="I1516" s="77">
        <f>IF(ISNUMBER(N1516),N1516*fx_deflator!$I$8*fx_deflator!$M$8,"")</f>
        <v/>
      </c>
      <c r="J1516" s="77" t="inlineStr">
        <is>
          <t>Elexon BSC Section T (TLM); Northern Powergrid (Yorkshire) Annex 5 (LLF)</t>
        </is>
      </c>
      <c r="K1516" s="77" t="inlineStr">
        <is>
          <t>assumptions r78-80; timeseries r107-110</t>
        </is>
      </c>
      <c r="L1516" s="77" t="inlineStr">
        <is>
          <t>2026-07-24</t>
        </is>
      </c>
      <c r="M1516" s="77" t="inlineStr">
        <is>
          <t>Y</t>
        </is>
      </c>
      <c r="N1516" s="136">
        <f>IF(ISNUMBER(timeseries!G107),timeseries!G107,"")</f>
        <v/>
      </c>
      <c r="O1516" s="77" t="inlineStr">
        <is>
          <t>GBP/MWh nominal</t>
        </is>
      </c>
      <c r="P1516"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17">
      <c r="A1517" s="77" t="inlineStr">
        <is>
          <t>UK</t>
        </is>
      </c>
      <c r="B1517" s="77" t="n">
        <v>2013</v>
      </c>
      <c r="C1517" s="77" t="inlineStr">
        <is>
          <t>large</t>
        </is>
      </c>
      <c r="D1517" s="77" t="inlineStr">
        <is>
          <t>E2</t>
        </is>
      </c>
      <c r="E1517" s="77" t="inlineStr">
        <is>
          <t>Line losses — distribution LLF x transmission TLM gross-up on the energy purchase</t>
        </is>
      </c>
      <c r="F1517" s="77" t="inlineStr">
        <is>
          <t>1 Commodity</t>
        </is>
      </c>
      <c r="G1517" s="77" t="inlineStr">
        <is>
          <t>wholesale market</t>
        </is>
      </c>
      <c r="H1517" s="77" t="inlineStr">
        <is>
          <t>i</t>
        </is>
      </c>
      <c r="I1517" s="77">
        <f>IF(ISNUMBER(N1517),N1517*fx_deflator!$I$8*fx_deflator!$M$8,"")</f>
        <v/>
      </c>
      <c r="J1517" s="77" t="inlineStr">
        <is>
          <t>Elexon BSC Section T (TLM); Northern Powergrid (Yorkshire) Annex 5 (LLF)</t>
        </is>
      </c>
      <c r="K1517" s="77" t="inlineStr">
        <is>
          <t>assumptions r78-80; timeseries r107-110</t>
        </is>
      </c>
      <c r="L1517" s="77" t="inlineStr">
        <is>
          <t>2026-07-24</t>
        </is>
      </c>
      <c r="M1517" s="77" t="inlineStr">
        <is>
          <t>Y</t>
        </is>
      </c>
      <c r="N1517" s="136">
        <f>IF(ISNUMBER(timeseries!G108),timeseries!G108,"")</f>
        <v/>
      </c>
      <c r="O1517" s="77" t="inlineStr">
        <is>
          <t>GBP/MWh nominal</t>
        </is>
      </c>
      <c r="P1517"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18">
      <c r="A1518" s="77" t="inlineStr">
        <is>
          <t>UK</t>
        </is>
      </c>
      <c r="B1518" s="77" t="n">
        <v>2013</v>
      </c>
      <c r="C1518" s="77" t="inlineStr">
        <is>
          <t>medium</t>
        </is>
      </c>
      <c r="D1518" s="77" t="inlineStr">
        <is>
          <t>E1</t>
        </is>
      </c>
      <c r="E1518" s="77" t="inlineStr">
        <is>
          <t>Line losses — distribution LLF x transmission TLM gross-up on the energy purchase</t>
        </is>
      </c>
      <c r="F1518" s="77" t="inlineStr">
        <is>
          <t>1 Commodity</t>
        </is>
      </c>
      <c r="G1518" s="77" t="inlineStr">
        <is>
          <t>wholesale market</t>
        </is>
      </c>
      <c r="H1518" s="77" t="inlineStr">
        <is>
          <t>i</t>
        </is>
      </c>
      <c r="I1518" s="77">
        <f>IF(ISNUMBER(N1518),N1518*fx_deflator!$I$8*fx_deflator!$M$8,"")</f>
        <v/>
      </c>
      <c r="J1518" s="77" t="inlineStr">
        <is>
          <t>Elexon BSC Section T (TLM); Northern Powergrid (Yorkshire) Annex 5 (LLF)</t>
        </is>
      </c>
      <c r="K1518" s="77" t="inlineStr">
        <is>
          <t>assumptions r78-80; timeseries r107-110</t>
        </is>
      </c>
      <c r="L1518" s="77" t="inlineStr">
        <is>
          <t>2026-07-24</t>
        </is>
      </c>
      <c r="M1518" s="77" t="inlineStr">
        <is>
          <t>Y</t>
        </is>
      </c>
      <c r="N1518" s="136">
        <f>IF(ISNUMBER(timeseries!G109),timeseries!G109,"")</f>
        <v/>
      </c>
      <c r="O1518" s="77" t="inlineStr">
        <is>
          <t>GBP/MWh nominal</t>
        </is>
      </c>
      <c r="P1518"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19">
      <c r="A1519" s="77" t="inlineStr">
        <is>
          <t>UK</t>
        </is>
      </c>
      <c r="B1519" s="77" t="n">
        <v>2013</v>
      </c>
      <c r="C1519" s="77" t="inlineStr">
        <is>
          <t>medium</t>
        </is>
      </c>
      <c r="D1519" s="77" t="inlineStr">
        <is>
          <t>E2</t>
        </is>
      </c>
      <c r="E1519" s="77" t="inlineStr">
        <is>
          <t>Line losses — distribution LLF x transmission TLM gross-up on the energy purchase</t>
        </is>
      </c>
      <c r="F1519" s="77" t="inlineStr">
        <is>
          <t>1 Commodity</t>
        </is>
      </c>
      <c r="G1519" s="77" t="inlineStr">
        <is>
          <t>wholesale market</t>
        </is>
      </c>
      <c r="H1519" s="77" t="inlineStr">
        <is>
          <t>i</t>
        </is>
      </c>
      <c r="I1519" s="77">
        <f>IF(ISNUMBER(N1519),N1519*fx_deflator!$I$8*fx_deflator!$M$8,"")</f>
        <v/>
      </c>
      <c r="J1519" s="77" t="inlineStr">
        <is>
          <t>Elexon BSC Section T (TLM); Northern Powergrid (Yorkshire) Annex 5 (LLF)</t>
        </is>
      </c>
      <c r="K1519" s="77" t="inlineStr">
        <is>
          <t>assumptions r78-80; timeseries r107-110</t>
        </is>
      </c>
      <c r="L1519" s="77" t="inlineStr">
        <is>
          <t>2026-07-24</t>
        </is>
      </c>
      <c r="M1519" s="77" t="inlineStr">
        <is>
          <t>Y</t>
        </is>
      </c>
      <c r="N1519" s="136">
        <f>IF(ISNUMBER(timeseries!G110),timeseries!G110,"")</f>
        <v/>
      </c>
      <c r="O1519" s="77" t="inlineStr">
        <is>
          <t>GBP/MWh nominal</t>
        </is>
      </c>
      <c r="P1519"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20">
      <c r="A1520" s="77" t="inlineStr">
        <is>
          <t>UK</t>
        </is>
      </c>
      <c r="B1520" s="77" t="n">
        <v>2014</v>
      </c>
      <c r="C1520" s="77" t="inlineStr">
        <is>
          <t>large</t>
        </is>
      </c>
      <c r="D1520" s="77" t="inlineStr">
        <is>
          <t>E1</t>
        </is>
      </c>
      <c r="E1520" s="77" t="inlineStr">
        <is>
          <t>Line losses — distribution LLF x transmission TLM gross-up on the energy purchase</t>
        </is>
      </c>
      <c r="F1520" s="77" t="inlineStr">
        <is>
          <t>1 Commodity</t>
        </is>
      </c>
      <c r="G1520" s="77" t="inlineStr">
        <is>
          <t>wholesale market</t>
        </is>
      </c>
      <c r="H1520" s="77" t="inlineStr">
        <is>
          <t>i</t>
        </is>
      </c>
      <c r="I1520" s="77">
        <f>IF(ISNUMBER(N1520),N1520*fx_deflator!$I$9*fx_deflator!$M$9,"")</f>
        <v/>
      </c>
      <c r="J1520" s="77" t="inlineStr">
        <is>
          <t>Elexon BSC Section T (TLM); Northern Powergrid (Yorkshire) Annex 5 (LLF)</t>
        </is>
      </c>
      <c r="K1520" s="77" t="inlineStr">
        <is>
          <t>assumptions r78-80; timeseries r107-110</t>
        </is>
      </c>
      <c r="L1520" s="77" t="inlineStr">
        <is>
          <t>2026-07-24</t>
        </is>
      </c>
      <c r="M1520" s="77" t="inlineStr">
        <is>
          <t>Y</t>
        </is>
      </c>
      <c r="N1520" s="136">
        <f>IF(ISNUMBER(timeseries!H107),timeseries!H107,"")</f>
        <v/>
      </c>
      <c r="O1520" s="77" t="inlineStr">
        <is>
          <t>GBP/MWh nominal</t>
        </is>
      </c>
      <c r="P1520"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21">
      <c r="A1521" s="77" t="inlineStr">
        <is>
          <t>UK</t>
        </is>
      </c>
      <c r="B1521" s="77" t="n">
        <v>2014</v>
      </c>
      <c r="C1521" s="77" t="inlineStr">
        <is>
          <t>large</t>
        </is>
      </c>
      <c r="D1521" s="77" t="inlineStr">
        <is>
          <t>E2</t>
        </is>
      </c>
      <c r="E1521" s="77" t="inlineStr">
        <is>
          <t>Line losses — distribution LLF x transmission TLM gross-up on the energy purchase</t>
        </is>
      </c>
      <c r="F1521" s="77" t="inlineStr">
        <is>
          <t>1 Commodity</t>
        </is>
      </c>
      <c r="G1521" s="77" t="inlineStr">
        <is>
          <t>wholesale market</t>
        </is>
      </c>
      <c r="H1521" s="77" t="inlineStr">
        <is>
          <t>i</t>
        </is>
      </c>
      <c r="I1521" s="77">
        <f>IF(ISNUMBER(N1521),N1521*fx_deflator!$I$9*fx_deflator!$M$9,"")</f>
        <v/>
      </c>
      <c r="J1521" s="77" t="inlineStr">
        <is>
          <t>Elexon BSC Section T (TLM); Northern Powergrid (Yorkshire) Annex 5 (LLF)</t>
        </is>
      </c>
      <c r="K1521" s="77" t="inlineStr">
        <is>
          <t>assumptions r78-80; timeseries r107-110</t>
        </is>
      </c>
      <c r="L1521" s="77" t="inlineStr">
        <is>
          <t>2026-07-24</t>
        </is>
      </c>
      <c r="M1521" s="77" t="inlineStr">
        <is>
          <t>Y</t>
        </is>
      </c>
      <c r="N1521" s="136">
        <f>IF(ISNUMBER(timeseries!H108),timeseries!H108,"")</f>
        <v/>
      </c>
      <c r="O1521" s="77" t="inlineStr">
        <is>
          <t>GBP/MWh nominal</t>
        </is>
      </c>
      <c r="P1521"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22">
      <c r="A1522" s="77" t="inlineStr">
        <is>
          <t>UK</t>
        </is>
      </c>
      <c r="B1522" s="77" t="n">
        <v>2014</v>
      </c>
      <c r="C1522" s="77" t="inlineStr">
        <is>
          <t>medium</t>
        </is>
      </c>
      <c r="D1522" s="77" t="inlineStr">
        <is>
          <t>E1</t>
        </is>
      </c>
      <c r="E1522" s="77" t="inlineStr">
        <is>
          <t>Line losses — distribution LLF x transmission TLM gross-up on the energy purchase</t>
        </is>
      </c>
      <c r="F1522" s="77" t="inlineStr">
        <is>
          <t>1 Commodity</t>
        </is>
      </c>
      <c r="G1522" s="77" t="inlineStr">
        <is>
          <t>wholesale market</t>
        </is>
      </c>
      <c r="H1522" s="77" t="inlineStr">
        <is>
          <t>i</t>
        </is>
      </c>
      <c r="I1522" s="77">
        <f>IF(ISNUMBER(N1522),N1522*fx_deflator!$I$9*fx_deflator!$M$9,"")</f>
        <v/>
      </c>
      <c r="J1522" s="77" t="inlineStr">
        <is>
          <t>Elexon BSC Section T (TLM); Northern Powergrid (Yorkshire) Annex 5 (LLF)</t>
        </is>
      </c>
      <c r="K1522" s="77" t="inlineStr">
        <is>
          <t>assumptions r78-80; timeseries r107-110</t>
        </is>
      </c>
      <c r="L1522" s="77" t="inlineStr">
        <is>
          <t>2026-07-24</t>
        </is>
      </c>
      <c r="M1522" s="77" t="inlineStr">
        <is>
          <t>Y</t>
        </is>
      </c>
      <c r="N1522" s="136">
        <f>IF(ISNUMBER(timeseries!H109),timeseries!H109,"")</f>
        <v/>
      </c>
      <c r="O1522" s="77" t="inlineStr">
        <is>
          <t>GBP/MWh nominal</t>
        </is>
      </c>
      <c r="P1522"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23">
      <c r="A1523" s="77" t="inlineStr">
        <is>
          <t>UK</t>
        </is>
      </c>
      <c r="B1523" s="77" t="n">
        <v>2014</v>
      </c>
      <c r="C1523" s="77" t="inlineStr">
        <is>
          <t>medium</t>
        </is>
      </c>
      <c r="D1523" s="77" t="inlineStr">
        <is>
          <t>E2</t>
        </is>
      </c>
      <c r="E1523" s="77" t="inlineStr">
        <is>
          <t>Line losses — distribution LLF x transmission TLM gross-up on the energy purchase</t>
        </is>
      </c>
      <c r="F1523" s="77" t="inlineStr">
        <is>
          <t>1 Commodity</t>
        </is>
      </c>
      <c r="G1523" s="77" t="inlineStr">
        <is>
          <t>wholesale market</t>
        </is>
      </c>
      <c r="H1523" s="77" t="inlineStr">
        <is>
          <t>i</t>
        </is>
      </c>
      <c r="I1523" s="77">
        <f>IF(ISNUMBER(N1523),N1523*fx_deflator!$I$9*fx_deflator!$M$9,"")</f>
        <v/>
      </c>
      <c r="J1523" s="77" t="inlineStr">
        <is>
          <t>Elexon BSC Section T (TLM); Northern Powergrid (Yorkshire) Annex 5 (LLF)</t>
        </is>
      </c>
      <c r="K1523" s="77" t="inlineStr">
        <is>
          <t>assumptions r78-80; timeseries r107-110</t>
        </is>
      </c>
      <c r="L1523" s="77" t="inlineStr">
        <is>
          <t>2026-07-24</t>
        </is>
      </c>
      <c r="M1523" s="77" t="inlineStr">
        <is>
          <t>Y</t>
        </is>
      </c>
      <c r="N1523" s="136">
        <f>IF(ISNUMBER(timeseries!H110),timeseries!H110,"")</f>
        <v/>
      </c>
      <c r="O1523" s="77" t="inlineStr">
        <is>
          <t>GBP/MWh nominal</t>
        </is>
      </c>
      <c r="P1523"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24">
      <c r="A1524" s="77" t="inlineStr">
        <is>
          <t>UK</t>
        </is>
      </c>
      <c r="B1524" s="77" t="n">
        <v>2015</v>
      </c>
      <c r="C1524" s="77" t="inlineStr">
        <is>
          <t>large</t>
        </is>
      </c>
      <c r="D1524" s="77" t="inlineStr">
        <is>
          <t>E1</t>
        </is>
      </c>
      <c r="E1524" s="77" t="inlineStr">
        <is>
          <t>Line losses — distribution LLF x transmission TLM gross-up on the energy purchase</t>
        </is>
      </c>
      <c r="F1524" s="77" t="inlineStr">
        <is>
          <t>1 Commodity</t>
        </is>
      </c>
      <c r="G1524" s="77" t="inlineStr">
        <is>
          <t>wholesale market</t>
        </is>
      </c>
      <c r="H1524" s="77" t="inlineStr">
        <is>
          <t>i</t>
        </is>
      </c>
      <c r="I1524" s="77">
        <f>IF(ISNUMBER(N1524),N1524*fx_deflator!$I$10*fx_deflator!$M$10,"")</f>
        <v/>
      </c>
      <c r="J1524" s="77" t="inlineStr">
        <is>
          <t>Elexon BSC Section T (TLM); Northern Powergrid (Yorkshire) Annex 5 (LLF)</t>
        </is>
      </c>
      <c r="K1524" s="77" t="inlineStr">
        <is>
          <t>assumptions r78-80; timeseries r107-110</t>
        </is>
      </c>
      <c r="L1524" s="77" t="inlineStr">
        <is>
          <t>2026-07-24</t>
        </is>
      </c>
      <c r="M1524" s="77" t="inlineStr">
        <is>
          <t>Y</t>
        </is>
      </c>
      <c r="N1524" s="136">
        <f>IF(ISNUMBER(timeseries!I107),timeseries!I107,"")</f>
        <v/>
      </c>
      <c r="O1524" s="77" t="inlineStr">
        <is>
          <t>GBP/MWh nominal</t>
        </is>
      </c>
      <c r="P1524"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25">
      <c r="A1525" s="77" t="inlineStr">
        <is>
          <t>UK</t>
        </is>
      </c>
      <c r="B1525" s="77" t="n">
        <v>2015</v>
      </c>
      <c r="C1525" s="77" t="inlineStr">
        <is>
          <t>large</t>
        </is>
      </c>
      <c r="D1525" s="77" t="inlineStr">
        <is>
          <t>E2</t>
        </is>
      </c>
      <c r="E1525" s="77" t="inlineStr">
        <is>
          <t>Line losses — distribution LLF x transmission TLM gross-up on the energy purchase</t>
        </is>
      </c>
      <c r="F1525" s="77" t="inlineStr">
        <is>
          <t>1 Commodity</t>
        </is>
      </c>
      <c r="G1525" s="77" t="inlineStr">
        <is>
          <t>wholesale market</t>
        </is>
      </c>
      <c r="H1525" s="77" t="inlineStr">
        <is>
          <t>i</t>
        </is>
      </c>
      <c r="I1525" s="77">
        <f>IF(ISNUMBER(N1525),N1525*fx_deflator!$I$10*fx_deflator!$M$10,"")</f>
        <v/>
      </c>
      <c r="J1525" s="77" t="inlineStr">
        <is>
          <t>Elexon BSC Section T (TLM); Northern Powergrid (Yorkshire) Annex 5 (LLF)</t>
        </is>
      </c>
      <c r="K1525" s="77" t="inlineStr">
        <is>
          <t>assumptions r78-80; timeseries r107-110</t>
        </is>
      </c>
      <c r="L1525" s="77" t="inlineStr">
        <is>
          <t>2026-07-24</t>
        </is>
      </c>
      <c r="M1525" s="77" t="inlineStr">
        <is>
          <t>Y</t>
        </is>
      </c>
      <c r="N1525" s="136">
        <f>IF(ISNUMBER(timeseries!I108),timeseries!I108,"")</f>
        <v/>
      </c>
      <c r="O1525" s="77" t="inlineStr">
        <is>
          <t>GBP/MWh nominal</t>
        </is>
      </c>
      <c r="P1525"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26">
      <c r="A1526" s="77" t="inlineStr">
        <is>
          <t>UK</t>
        </is>
      </c>
      <c r="B1526" s="77" t="n">
        <v>2015</v>
      </c>
      <c r="C1526" s="77" t="inlineStr">
        <is>
          <t>medium</t>
        </is>
      </c>
      <c r="D1526" s="77" t="inlineStr">
        <is>
          <t>E1</t>
        </is>
      </c>
      <c r="E1526" s="77" t="inlineStr">
        <is>
          <t>Line losses — distribution LLF x transmission TLM gross-up on the energy purchase</t>
        </is>
      </c>
      <c r="F1526" s="77" t="inlineStr">
        <is>
          <t>1 Commodity</t>
        </is>
      </c>
      <c r="G1526" s="77" t="inlineStr">
        <is>
          <t>wholesale market</t>
        </is>
      </c>
      <c r="H1526" s="77" t="inlineStr">
        <is>
          <t>i</t>
        </is>
      </c>
      <c r="I1526" s="77">
        <f>IF(ISNUMBER(N1526),N1526*fx_deflator!$I$10*fx_deflator!$M$10,"")</f>
        <v/>
      </c>
      <c r="J1526" s="77" t="inlineStr">
        <is>
          <t>Elexon BSC Section T (TLM); Northern Powergrid (Yorkshire) Annex 5 (LLF)</t>
        </is>
      </c>
      <c r="K1526" s="77" t="inlineStr">
        <is>
          <t>assumptions r78-80; timeseries r107-110</t>
        </is>
      </c>
      <c r="L1526" s="77" t="inlineStr">
        <is>
          <t>2026-07-24</t>
        </is>
      </c>
      <c r="M1526" s="77" t="inlineStr">
        <is>
          <t>Y</t>
        </is>
      </c>
      <c r="N1526" s="136">
        <f>IF(ISNUMBER(timeseries!I109),timeseries!I109,"")</f>
        <v/>
      </c>
      <c r="O1526" s="77" t="inlineStr">
        <is>
          <t>GBP/MWh nominal</t>
        </is>
      </c>
      <c r="P1526"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27">
      <c r="A1527" s="77" t="inlineStr">
        <is>
          <t>UK</t>
        </is>
      </c>
      <c r="B1527" s="77" t="n">
        <v>2015</v>
      </c>
      <c r="C1527" s="77" t="inlineStr">
        <is>
          <t>medium</t>
        </is>
      </c>
      <c r="D1527" s="77" t="inlineStr">
        <is>
          <t>E2</t>
        </is>
      </c>
      <c r="E1527" s="77" t="inlineStr">
        <is>
          <t>Line losses — distribution LLF x transmission TLM gross-up on the energy purchase</t>
        </is>
      </c>
      <c r="F1527" s="77" t="inlineStr">
        <is>
          <t>1 Commodity</t>
        </is>
      </c>
      <c r="G1527" s="77" t="inlineStr">
        <is>
          <t>wholesale market</t>
        </is>
      </c>
      <c r="H1527" s="77" t="inlineStr">
        <is>
          <t>i</t>
        </is>
      </c>
      <c r="I1527" s="77">
        <f>IF(ISNUMBER(N1527),N1527*fx_deflator!$I$10*fx_deflator!$M$10,"")</f>
        <v/>
      </c>
      <c r="J1527" s="77" t="inlineStr">
        <is>
          <t>Elexon BSC Section T (TLM); Northern Powergrid (Yorkshire) Annex 5 (LLF)</t>
        </is>
      </c>
      <c r="K1527" s="77" t="inlineStr">
        <is>
          <t>assumptions r78-80; timeseries r107-110</t>
        </is>
      </c>
      <c r="L1527" s="77" t="inlineStr">
        <is>
          <t>2026-07-24</t>
        </is>
      </c>
      <c r="M1527" s="77" t="inlineStr">
        <is>
          <t>Y</t>
        </is>
      </c>
      <c r="N1527" s="136">
        <f>IF(ISNUMBER(timeseries!I110),timeseries!I110,"")</f>
        <v/>
      </c>
      <c r="O1527" s="77" t="inlineStr">
        <is>
          <t>GBP/MWh nominal</t>
        </is>
      </c>
      <c r="P1527"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28">
      <c r="A1528" s="77" t="inlineStr">
        <is>
          <t>UK</t>
        </is>
      </c>
      <c r="B1528" s="77" t="n">
        <v>2016</v>
      </c>
      <c r="C1528" s="77" t="inlineStr">
        <is>
          <t>large</t>
        </is>
      </c>
      <c r="D1528" s="77" t="inlineStr">
        <is>
          <t>E1</t>
        </is>
      </c>
      <c r="E1528" s="77" t="inlineStr">
        <is>
          <t>Line losses — distribution LLF x transmission TLM gross-up on the energy purchase</t>
        </is>
      </c>
      <c r="F1528" s="77" t="inlineStr">
        <is>
          <t>1 Commodity</t>
        </is>
      </c>
      <c r="G1528" s="77" t="inlineStr">
        <is>
          <t>wholesale market</t>
        </is>
      </c>
      <c r="H1528" s="77" t="inlineStr">
        <is>
          <t>i</t>
        </is>
      </c>
      <c r="I1528" s="77">
        <f>IF(ISNUMBER(N1528),N1528*fx_deflator!$I$11*fx_deflator!$M$11,"")</f>
        <v/>
      </c>
      <c r="J1528" s="77" t="inlineStr">
        <is>
          <t>Elexon BSC Section T (TLM); Northern Powergrid (Yorkshire) Annex 5 (LLF)</t>
        </is>
      </c>
      <c r="K1528" s="77" t="inlineStr">
        <is>
          <t>assumptions r78-80; timeseries r107-110</t>
        </is>
      </c>
      <c r="L1528" s="77" t="inlineStr">
        <is>
          <t>2026-07-24</t>
        </is>
      </c>
      <c r="M1528" s="77" t="inlineStr">
        <is>
          <t>Y</t>
        </is>
      </c>
      <c r="N1528" s="136">
        <f>IF(ISNUMBER(timeseries!J107),timeseries!J107,"")</f>
        <v/>
      </c>
      <c r="O1528" s="77" t="inlineStr">
        <is>
          <t>GBP/MWh nominal</t>
        </is>
      </c>
      <c r="P1528"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29">
      <c r="A1529" s="77" t="inlineStr">
        <is>
          <t>UK</t>
        </is>
      </c>
      <c r="B1529" s="77" t="n">
        <v>2016</v>
      </c>
      <c r="C1529" s="77" t="inlineStr">
        <is>
          <t>large</t>
        </is>
      </c>
      <c r="D1529" s="77" t="inlineStr">
        <is>
          <t>E2</t>
        </is>
      </c>
      <c r="E1529" s="77" t="inlineStr">
        <is>
          <t>Line losses — distribution LLF x transmission TLM gross-up on the energy purchase</t>
        </is>
      </c>
      <c r="F1529" s="77" t="inlineStr">
        <is>
          <t>1 Commodity</t>
        </is>
      </c>
      <c r="G1529" s="77" t="inlineStr">
        <is>
          <t>wholesale market</t>
        </is>
      </c>
      <c r="H1529" s="77" t="inlineStr">
        <is>
          <t>i</t>
        </is>
      </c>
      <c r="I1529" s="77">
        <f>IF(ISNUMBER(N1529),N1529*fx_deflator!$I$11*fx_deflator!$M$11,"")</f>
        <v/>
      </c>
      <c r="J1529" s="77" t="inlineStr">
        <is>
          <t>Elexon BSC Section T (TLM); Northern Powergrid (Yorkshire) Annex 5 (LLF)</t>
        </is>
      </c>
      <c r="K1529" s="77" t="inlineStr">
        <is>
          <t>assumptions r78-80; timeseries r107-110</t>
        </is>
      </c>
      <c r="L1529" s="77" t="inlineStr">
        <is>
          <t>2026-07-24</t>
        </is>
      </c>
      <c r="M1529" s="77" t="inlineStr">
        <is>
          <t>Y</t>
        </is>
      </c>
      <c r="N1529" s="136">
        <f>IF(ISNUMBER(timeseries!J108),timeseries!J108,"")</f>
        <v/>
      </c>
      <c r="O1529" s="77" t="inlineStr">
        <is>
          <t>GBP/MWh nominal</t>
        </is>
      </c>
      <c r="P1529"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30">
      <c r="A1530" s="77" t="inlineStr">
        <is>
          <t>UK</t>
        </is>
      </c>
      <c r="B1530" s="77" t="n">
        <v>2016</v>
      </c>
      <c r="C1530" s="77" t="inlineStr">
        <is>
          <t>medium</t>
        </is>
      </c>
      <c r="D1530" s="77" t="inlineStr">
        <is>
          <t>E1</t>
        </is>
      </c>
      <c r="E1530" s="77" t="inlineStr">
        <is>
          <t>Line losses — distribution LLF x transmission TLM gross-up on the energy purchase</t>
        </is>
      </c>
      <c r="F1530" s="77" t="inlineStr">
        <is>
          <t>1 Commodity</t>
        </is>
      </c>
      <c r="G1530" s="77" t="inlineStr">
        <is>
          <t>wholesale market</t>
        </is>
      </c>
      <c r="H1530" s="77" t="inlineStr">
        <is>
          <t>i</t>
        </is>
      </c>
      <c r="I1530" s="77">
        <f>IF(ISNUMBER(N1530),N1530*fx_deflator!$I$11*fx_deflator!$M$11,"")</f>
        <v/>
      </c>
      <c r="J1530" s="77" t="inlineStr">
        <is>
          <t>Elexon BSC Section T (TLM); Northern Powergrid (Yorkshire) Annex 5 (LLF)</t>
        </is>
      </c>
      <c r="K1530" s="77" t="inlineStr">
        <is>
          <t>assumptions r78-80; timeseries r107-110</t>
        </is>
      </c>
      <c r="L1530" s="77" t="inlineStr">
        <is>
          <t>2026-07-24</t>
        </is>
      </c>
      <c r="M1530" s="77" t="inlineStr">
        <is>
          <t>Y</t>
        </is>
      </c>
      <c r="N1530" s="136">
        <f>IF(ISNUMBER(timeseries!J109),timeseries!J109,"")</f>
        <v/>
      </c>
      <c r="O1530" s="77" t="inlineStr">
        <is>
          <t>GBP/MWh nominal</t>
        </is>
      </c>
      <c r="P1530"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31">
      <c r="A1531" s="77" t="inlineStr">
        <is>
          <t>UK</t>
        </is>
      </c>
      <c r="B1531" s="77" t="n">
        <v>2016</v>
      </c>
      <c r="C1531" s="77" t="inlineStr">
        <is>
          <t>medium</t>
        </is>
      </c>
      <c r="D1531" s="77" t="inlineStr">
        <is>
          <t>E2</t>
        </is>
      </c>
      <c r="E1531" s="77" t="inlineStr">
        <is>
          <t>Line losses — distribution LLF x transmission TLM gross-up on the energy purchase</t>
        </is>
      </c>
      <c r="F1531" s="77" t="inlineStr">
        <is>
          <t>1 Commodity</t>
        </is>
      </c>
      <c r="G1531" s="77" t="inlineStr">
        <is>
          <t>wholesale market</t>
        </is>
      </c>
      <c r="H1531" s="77" t="inlineStr">
        <is>
          <t>i</t>
        </is>
      </c>
      <c r="I1531" s="77">
        <f>IF(ISNUMBER(N1531),N1531*fx_deflator!$I$11*fx_deflator!$M$11,"")</f>
        <v/>
      </c>
      <c r="J1531" s="77" t="inlineStr">
        <is>
          <t>Elexon BSC Section T (TLM); Northern Powergrid (Yorkshire) Annex 5 (LLF)</t>
        </is>
      </c>
      <c r="K1531" s="77" t="inlineStr">
        <is>
          <t>assumptions r78-80; timeseries r107-110</t>
        </is>
      </c>
      <c r="L1531" s="77" t="inlineStr">
        <is>
          <t>2026-07-24</t>
        </is>
      </c>
      <c r="M1531" s="77" t="inlineStr">
        <is>
          <t>Y</t>
        </is>
      </c>
      <c r="N1531" s="136">
        <f>IF(ISNUMBER(timeseries!J110),timeseries!J110,"")</f>
        <v/>
      </c>
      <c r="O1531" s="77" t="inlineStr">
        <is>
          <t>GBP/MWh nominal</t>
        </is>
      </c>
      <c r="P1531"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32">
      <c r="A1532" s="77" t="inlineStr">
        <is>
          <t>UK</t>
        </is>
      </c>
      <c r="B1532" s="77" t="n">
        <v>2017</v>
      </c>
      <c r="C1532" s="77" t="inlineStr">
        <is>
          <t>large</t>
        </is>
      </c>
      <c r="D1532" s="77" t="inlineStr">
        <is>
          <t>E1</t>
        </is>
      </c>
      <c r="E1532" s="77" t="inlineStr">
        <is>
          <t>Line losses — distribution LLF x transmission TLM gross-up on the energy purchase</t>
        </is>
      </c>
      <c r="F1532" s="77" t="inlineStr">
        <is>
          <t>1 Commodity</t>
        </is>
      </c>
      <c r="G1532" s="77" t="inlineStr">
        <is>
          <t>wholesale market</t>
        </is>
      </c>
      <c r="H1532" s="77" t="inlineStr">
        <is>
          <t>i</t>
        </is>
      </c>
      <c r="I1532" s="77">
        <f>IF(ISNUMBER(N1532),N1532*fx_deflator!$I$12*fx_deflator!$M$12,"")</f>
        <v/>
      </c>
      <c r="J1532" s="77" t="inlineStr">
        <is>
          <t>Elexon BSC Section T (TLM); Northern Powergrid (Yorkshire) Annex 5 (LLF)</t>
        </is>
      </c>
      <c r="K1532" s="77" t="inlineStr">
        <is>
          <t>assumptions r78-80; timeseries r107-110</t>
        </is>
      </c>
      <c r="L1532" s="77" t="inlineStr">
        <is>
          <t>2026-07-24</t>
        </is>
      </c>
      <c r="M1532" s="77" t="inlineStr">
        <is>
          <t>Y</t>
        </is>
      </c>
      <c r="N1532" s="136">
        <f>IF(ISNUMBER(timeseries!K107),timeseries!K107,"")</f>
        <v/>
      </c>
      <c r="O1532" s="77" t="inlineStr">
        <is>
          <t>GBP/MWh nominal</t>
        </is>
      </c>
      <c r="P1532"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33">
      <c r="A1533" s="77" t="inlineStr">
        <is>
          <t>UK</t>
        </is>
      </c>
      <c r="B1533" s="77" t="n">
        <v>2017</v>
      </c>
      <c r="C1533" s="77" t="inlineStr">
        <is>
          <t>large</t>
        </is>
      </c>
      <c r="D1533" s="77" t="inlineStr">
        <is>
          <t>E2</t>
        </is>
      </c>
      <c r="E1533" s="77" t="inlineStr">
        <is>
          <t>Line losses — distribution LLF x transmission TLM gross-up on the energy purchase</t>
        </is>
      </c>
      <c r="F1533" s="77" t="inlineStr">
        <is>
          <t>1 Commodity</t>
        </is>
      </c>
      <c r="G1533" s="77" t="inlineStr">
        <is>
          <t>wholesale market</t>
        </is>
      </c>
      <c r="H1533" s="77" t="inlineStr">
        <is>
          <t>i</t>
        </is>
      </c>
      <c r="I1533" s="77">
        <f>IF(ISNUMBER(N1533),N1533*fx_deflator!$I$12*fx_deflator!$M$12,"")</f>
        <v/>
      </c>
      <c r="J1533" s="77" t="inlineStr">
        <is>
          <t>Elexon BSC Section T (TLM); Northern Powergrid (Yorkshire) Annex 5 (LLF)</t>
        </is>
      </c>
      <c r="K1533" s="77" t="inlineStr">
        <is>
          <t>assumptions r78-80; timeseries r107-110</t>
        </is>
      </c>
      <c r="L1533" s="77" t="inlineStr">
        <is>
          <t>2026-07-24</t>
        </is>
      </c>
      <c r="M1533" s="77" t="inlineStr">
        <is>
          <t>Y</t>
        </is>
      </c>
      <c r="N1533" s="136">
        <f>IF(ISNUMBER(timeseries!K108),timeseries!K108,"")</f>
        <v/>
      </c>
      <c r="O1533" s="77" t="inlineStr">
        <is>
          <t>GBP/MWh nominal</t>
        </is>
      </c>
      <c r="P1533"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34">
      <c r="A1534" s="77" t="inlineStr">
        <is>
          <t>UK</t>
        </is>
      </c>
      <c r="B1534" s="77" t="n">
        <v>2017</v>
      </c>
      <c r="C1534" s="77" t="inlineStr">
        <is>
          <t>medium</t>
        </is>
      </c>
      <c r="D1534" s="77" t="inlineStr">
        <is>
          <t>E1</t>
        </is>
      </c>
      <c r="E1534" s="77" t="inlineStr">
        <is>
          <t>Line losses — distribution LLF x transmission TLM gross-up on the energy purchase</t>
        </is>
      </c>
      <c r="F1534" s="77" t="inlineStr">
        <is>
          <t>1 Commodity</t>
        </is>
      </c>
      <c r="G1534" s="77" t="inlineStr">
        <is>
          <t>wholesale market</t>
        </is>
      </c>
      <c r="H1534" s="77" t="inlineStr">
        <is>
          <t>i</t>
        </is>
      </c>
      <c r="I1534" s="77">
        <f>IF(ISNUMBER(N1534),N1534*fx_deflator!$I$12*fx_deflator!$M$12,"")</f>
        <v/>
      </c>
      <c r="J1534" s="77" t="inlineStr">
        <is>
          <t>Elexon BSC Section T (TLM); Northern Powergrid (Yorkshire) Annex 5 (LLF)</t>
        </is>
      </c>
      <c r="K1534" s="77" t="inlineStr">
        <is>
          <t>assumptions r78-80; timeseries r107-110</t>
        </is>
      </c>
      <c r="L1534" s="77" t="inlineStr">
        <is>
          <t>2026-07-24</t>
        </is>
      </c>
      <c r="M1534" s="77" t="inlineStr">
        <is>
          <t>Y</t>
        </is>
      </c>
      <c r="N1534" s="136">
        <f>IF(ISNUMBER(timeseries!K109),timeseries!K109,"")</f>
        <v/>
      </c>
      <c r="O1534" s="77" t="inlineStr">
        <is>
          <t>GBP/MWh nominal</t>
        </is>
      </c>
      <c r="P1534"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35">
      <c r="A1535" s="77" t="inlineStr">
        <is>
          <t>UK</t>
        </is>
      </c>
      <c r="B1535" s="77" t="n">
        <v>2017</v>
      </c>
      <c r="C1535" s="77" t="inlineStr">
        <is>
          <t>medium</t>
        </is>
      </c>
      <c r="D1535" s="77" t="inlineStr">
        <is>
          <t>E2</t>
        </is>
      </c>
      <c r="E1535" s="77" t="inlineStr">
        <is>
          <t>Line losses — distribution LLF x transmission TLM gross-up on the energy purchase</t>
        </is>
      </c>
      <c r="F1535" s="77" t="inlineStr">
        <is>
          <t>1 Commodity</t>
        </is>
      </c>
      <c r="G1535" s="77" t="inlineStr">
        <is>
          <t>wholesale market</t>
        </is>
      </c>
      <c r="H1535" s="77" t="inlineStr">
        <is>
          <t>i</t>
        </is>
      </c>
      <c r="I1535" s="77">
        <f>IF(ISNUMBER(N1535),N1535*fx_deflator!$I$12*fx_deflator!$M$12,"")</f>
        <v/>
      </c>
      <c r="J1535" s="77" t="inlineStr">
        <is>
          <t>Elexon BSC Section T (TLM); Northern Powergrid (Yorkshire) Annex 5 (LLF)</t>
        </is>
      </c>
      <c r="K1535" s="77" t="inlineStr">
        <is>
          <t>assumptions r78-80; timeseries r107-110</t>
        </is>
      </c>
      <c r="L1535" s="77" t="inlineStr">
        <is>
          <t>2026-07-24</t>
        </is>
      </c>
      <c r="M1535" s="77" t="inlineStr">
        <is>
          <t>Y</t>
        </is>
      </c>
      <c r="N1535" s="136">
        <f>IF(ISNUMBER(timeseries!K110),timeseries!K110,"")</f>
        <v/>
      </c>
      <c r="O1535" s="77" t="inlineStr">
        <is>
          <t>GBP/MWh nominal</t>
        </is>
      </c>
      <c r="P1535"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36">
      <c r="A1536" s="77" t="inlineStr">
        <is>
          <t>UK</t>
        </is>
      </c>
      <c r="B1536" s="77" t="n">
        <v>2018</v>
      </c>
      <c r="C1536" s="77" t="inlineStr">
        <is>
          <t>large</t>
        </is>
      </c>
      <c r="D1536" s="77" t="inlineStr">
        <is>
          <t>E1</t>
        </is>
      </c>
      <c r="E1536" s="77" t="inlineStr">
        <is>
          <t>Line losses — distribution LLF x transmission TLM gross-up on the energy purchase</t>
        </is>
      </c>
      <c r="F1536" s="77" t="inlineStr">
        <is>
          <t>1 Commodity</t>
        </is>
      </c>
      <c r="G1536" s="77" t="inlineStr">
        <is>
          <t>wholesale market</t>
        </is>
      </c>
      <c r="H1536" s="77" t="inlineStr">
        <is>
          <t>i</t>
        </is>
      </c>
      <c r="I1536" s="77">
        <f>IF(ISNUMBER(N1536),N1536*fx_deflator!$I$13*fx_deflator!$M$13,"")</f>
        <v/>
      </c>
      <c r="J1536" s="77" t="inlineStr">
        <is>
          <t>Elexon BSC Section T (TLM); Northern Powergrid (Yorkshire) Annex 5 (LLF)</t>
        </is>
      </c>
      <c r="K1536" s="77" t="inlineStr">
        <is>
          <t>assumptions r78-80; timeseries r107-110</t>
        </is>
      </c>
      <c r="L1536" s="77" t="inlineStr">
        <is>
          <t>2026-07-24</t>
        </is>
      </c>
      <c r="M1536" s="77" t="inlineStr">
        <is>
          <t>Y</t>
        </is>
      </c>
      <c r="N1536" s="136">
        <f>IF(ISNUMBER(timeseries!L107),timeseries!L107,"")</f>
        <v/>
      </c>
      <c r="O1536" s="77" t="inlineStr">
        <is>
          <t>GBP/MWh nominal</t>
        </is>
      </c>
      <c r="P1536"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37">
      <c r="A1537" s="77" t="inlineStr">
        <is>
          <t>UK</t>
        </is>
      </c>
      <c r="B1537" s="77" t="n">
        <v>2018</v>
      </c>
      <c r="C1537" s="77" t="inlineStr">
        <is>
          <t>large</t>
        </is>
      </c>
      <c r="D1537" s="77" t="inlineStr">
        <is>
          <t>E2</t>
        </is>
      </c>
      <c r="E1537" s="77" t="inlineStr">
        <is>
          <t>Line losses — distribution LLF x transmission TLM gross-up on the energy purchase</t>
        </is>
      </c>
      <c r="F1537" s="77" t="inlineStr">
        <is>
          <t>1 Commodity</t>
        </is>
      </c>
      <c r="G1537" s="77" t="inlineStr">
        <is>
          <t>wholesale market</t>
        </is>
      </c>
      <c r="H1537" s="77" t="inlineStr">
        <is>
          <t>i</t>
        </is>
      </c>
      <c r="I1537" s="77">
        <f>IF(ISNUMBER(N1537),N1537*fx_deflator!$I$13*fx_deflator!$M$13,"")</f>
        <v/>
      </c>
      <c r="J1537" s="77" t="inlineStr">
        <is>
          <t>Elexon BSC Section T (TLM); Northern Powergrid (Yorkshire) Annex 5 (LLF)</t>
        </is>
      </c>
      <c r="K1537" s="77" t="inlineStr">
        <is>
          <t>assumptions r78-80; timeseries r107-110</t>
        </is>
      </c>
      <c r="L1537" s="77" t="inlineStr">
        <is>
          <t>2026-07-24</t>
        </is>
      </c>
      <c r="M1537" s="77" t="inlineStr">
        <is>
          <t>Y</t>
        </is>
      </c>
      <c r="N1537" s="136">
        <f>IF(ISNUMBER(timeseries!L108),timeseries!L108,"")</f>
        <v/>
      </c>
      <c r="O1537" s="77" t="inlineStr">
        <is>
          <t>GBP/MWh nominal</t>
        </is>
      </c>
      <c r="P1537"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38">
      <c r="A1538" s="77" t="inlineStr">
        <is>
          <t>UK</t>
        </is>
      </c>
      <c r="B1538" s="77" t="n">
        <v>2018</v>
      </c>
      <c r="C1538" s="77" t="inlineStr">
        <is>
          <t>medium</t>
        </is>
      </c>
      <c r="D1538" s="77" t="inlineStr">
        <is>
          <t>E1</t>
        </is>
      </c>
      <c r="E1538" s="77" t="inlineStr">
        <is>
          <t>Line losses — distribution LLF x transmission TLM gross-up on the energy purchase</t>
        </is>
      </c>
      <c r="F1538" s="77" t="inlineStr">
        <is>
          <t>1 Commodity</t>
        </is>
      </c>
      <c r="G1538" s="77" t="inlineStr">
        <is>
          <t>wholesale market</t>
        </is>
      </c>
      <c r="H1538" s="77" t="inlineStr">
        <is>
          <t>i</t>
        </is>
      </c>
      <c r="I1538" s="77">
        <f>IF(ISNUMBER(N1538),N1538*fx_deflator!$I$13*fx_deflator!$M$13,"")</f>
        <v/>
      </c>
      <c r="J1538" s="77" t="inlineStr">
        <is>
          <t>Elexon BSC Section T (TLM); Northern Powergrid (Yorkshire) Annex 5 (LLF)</t>
        </is>
      </c>
      <c r="K1538" s="77" t="inlineStr">
        <is>
          <t>assumptions r78-80; timeseries r107-110</t>
        </is>
      </c>
      <c r="L1538" s="77" t="inlineStr">
        <is>
          <t>2026-07-24</t>
        </is>
      </c>
      <c r="M1538" s="77" t="inlineStr">
        <is>
          <t>Y</t>
        </is>
      </c>
      <c r="N1538" s="136">
        <f>IF(ISNUMBER(timeseries!L109),timeseries!L109,"")</f>
        <v/>
      </c>
      <c r="O1538" s="77" t="inlineStr">
        <is>
          <t>GBP/MWh nominal</t>
        </is>
      </c>
      <c r="P1538"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39">
      <c r="A1539" s="77" t="inlineStr">
        <is>
          <t>UK</t>
        </is>
      </c>
      <c r="B1539" s="77" t="n">
        <v>2018</v>
      </c>
      <c r="C1539" s="77" t="inlineStr">
        <is>
          <t>medium</t>
        </is>
      </c>
      <c r="D1539" s="77" t="inlineStr">
        <is>
          <t>E2</t>
        </is>
      </c>
      <c r="E1539" s="77" t="inlineStr">
        <is>
          <t>Line losses — distribution LLF x transmission TLM gross-up on the energy purchase</t>
        </is>
      </c>
      <c r="F1539" s="77" t="inlineStr">
        <is>
          <t>1 Commodity</t>
        </is>
      </c>
      <c r="G1539" s="77" t="inlineStr">
        <is>
          <t>wholesale market</t>
        </is>
      </c>
      <c r="H1539" s="77" t="inlineStr">
        <is>
          <t>i</t>
        </is>
      </c>
      <c r="I1539" s="77">
        <f>IF(ISNUMBER(N1539),N1539*fx_deflator!$I$13*fx_deflator!$M$13,"")</f>
        <v/>
      </c>
      <c r="J1539" s="77" t="inlineStr">
        <is>
          <t>Elexon BSC Section T (TLM); Northern Powergrid (Yorkshire) Annex 5 (LLF)</t>
        </is>
      </c>
      <c r="K1539" s="77" t="inlineStr">
        <is>
          <t>assumptions r78-80; timeseries r107-110</t>
        </is>
      </c>
      <c r="L1539" s="77" t="inlineStr">
        <is>
          <t>2026-07-24</t>
        </is>
      </c>
      <c r="M1539" s="77" t="inlineStr">
        <is>
          <t>Y</t>
        </is>
      </c>
      <c r="N1539" s="136">
        <f>IF(ISNUMBER(timeseries!L110),timeseries!L110,"")</f>
        <v/>
      </c>
      <c r="O1539" s="77" t="inlineStr">
        <is>
          <t>GBP/MWh nominal</t>
        </is>
      </c>
      <c r="P1539"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40">
      <c r="A1540" s="77" t="inlineStr">
        <is>
          <t>UK</t>
        </is>
      </c>
      <c r="B1540" s="77" t="n">
        <v>2019</v>
      </c>
      <c r="C1540" s="77" t="inlineStr">
        <is>
          <t>large</t>
        </is>
      </c>
      <c r="D1540" s="77" t="inlineStr">
        <is>
          <t>E1</t>
        </is>
      </c>
      <c r="E1540" s="77" t="inlineStr">
        <is>
          <t>Line losses — distribution LLF x transmission TLM gross-up on the energy purchase</t>
        </is>
      </c>
      <c r="F1540" s="77" t="inlineStr">
        <is>
          <t>1 Commodity</t>
        </is>
      </c>
      <c r="G1540" s="77" t="inlineStr">
        <is>
          <t>wholesale market</t>
        </is>
      </c>
      <c r="H1540" s="77" t="inlineStr">
        <is>
          <t>i</t>
        </is>
      </c>
      <c r="I1540" s="77">
        <f>IF(ISNUMBER(N1540),N1540*fx_deflator!$I$14*fx_deflator!$M$14,"")</f>
        <v/>
      </c>
      <c r="J1540" s="77" t="inlineStr">
        <is>
          <t>Elexon BSC Section T (TLM); Northern Powergrid (Yorkshire) Annex 5 (LLF)</t>
        </is>
      </c>
      <c r="K1540" s="77" t="inlineStr">
        <is>
          <t>assumptions r78-80; timeseries r107-110</t>
        </is>
      </c>
      <c r="L1540" s="77" t="inlineStr">
        <is>
          <t>2026-07-24</t>
        </is>
      </c>
      <c r="M1540" s="77" t="inlineStr">
        <is>
          <t>Y</t>
        </is>
      </c>
      <c r="N1540" s="136">
        <f>IF(ISNUMBER(timeseries!M107),timeseries!M107,"")</f>
        <v/>
      </c>
      <c r="O1540" s="77" t="inlineStr">
        <is>
          <t>GBP/MWh nominal</t>
        </is>
      </c>
      <c r="P1540"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41">
      <c r="A1541" s="77" t="inlineStr">
        <is>
          <t>UK</t>
        </is>
      </c>
      <c r="B1541" s="77" t="n">
        <v>2019</v>
      </c>
      <c r="C1541" s="77" t="inlineStr">
        <is>
          <t>large</t>
        </is>
      </c>
      <c r="D1541" s="77" t="inlineStr">
        <is>
          <t>E2</t>
        </is>
      </c>
      <c r="E1541" s="77" t="inlineStr">
        <is>
          <t>Line losses — distribution LLF x transmission TLM gross-up on the energy purchase</t>
        </is>
      </c>
      <c r="F1541" s="77" t="inlineStr">
        <is>
          <t>1 Commodity</t>
        </is>
      </c>
      <c r="G1541" s="77" t="inlineStr">
        <is>
          <t>wholesale market</t>
        </is>
      </c>
      <c r="H1541" s="77" t="inlineStr">
        <is>
          <t>i</t>
        </is>
      </c>
      <c r="I1541" s="77">
        <f>IF(ISNUMBER(N1541),N1541*fx_deflator!$I$14*fx_deflator!$M$14,"")</f>
        <v/>
      </c>
      <c r="J1541" s="77" t="inlineStr">
        <is>
          <t>Elexon BSC Section T (TLM); Northern Powergrid (Yorkshire) Annex 5 (LLF)</t>
        </is>
      </c>
      <c r="K1541" s="77" t="inlineStr">
        <is>
          <t>assumptions r78-80; timeseries r107-110</t>
        </is>
      </c>
      <c r="L1541" s="77" t="inlineStr">
        <is>
          <t>2026-07-24</t>
        </is>
      </c>
      <c r="M1541" s="77" t="inlineStr">
        <is>
          <t>Y</t>
        </is>
      </c>
      <c r="N1541" s="136">
        <f>IF(ISNUMBER(timeseries!M108),timeseries!M108,"")</f>
        <v/>
      </c>
      <c r="O1541" s="77" t="inlineStr">
        <is>
          <t>GBP/MWh nominal</t>
        </is>
      </c>
      <c r="P1541"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42">
      <c r="A1542" s="77" t="inlineStr">
        <is>
          <t>UK</t>
        </is>
      </c>
      <c r="B1542" s="77" t="n">
        <v>2019</v>
      </c>
      <c r="C1542" s="77" t="inlineStr">
        <is>
          <t>medium</t>
        </is>
      </c>
      <c r="D1542" s="77" t="inlineStr">
        <is>
          <t>E1</t>
        </is>
      </c>
      <c r="E1542" s="77" t="inlineStr">
        <is>
          <t>Line losses — distribution LLF x transmission TLM gross-up on the energy purchase</t>
        </is>
      </c>
      <c r="F1542" s="77" t="inlineStr">
        <is>
          <t>1 Commodity</t>
        </is>
      </c>
      <c r="G1542" s="77" t="inlineStr">
        <is>
          <t>wholesale market</t>
        </is>
      </c>
      <c r="H1542" s="77" t="inlineStr">
        <is>
          <t>i</t>
        </is>
      </c>
      <c r="I1542" s="77">
        <f>IF(ISNUMBER(N1542),N1542*fx_deflator!$I$14*fx_deflator!$M$14,"")</f>
        <v/>
      </c>
      <c r="J1542" s="77" t="inlineStr">
        <is>
          <t>Elexon BSC Section T (TLM); Northern Powergrid (Yorkshire) Annex 5 (LLF)</t>
        </is>
      </c>
      <c r="K1542" s="77" t="inlineStr">
        <is>
          <t>assumptions r78-80; timeseries r107-110</t>
        </is>
      </c>
      <c r="L1542" s="77" t="inlineStr">
        <is>
          <t>2026-07-24</t>
        </is>
      </c>
      <c r="M1542" s="77" t="inlineStr">
        <is>
          <t>Y</t>
        </is>
      </c>
      <c r="N1542" s="136">
        <f>IF(ISNUMBER(timeseries!M109),timeseries!M109,"")</f>
        <v/>
      </c>
      <c r="O1542" s="77" t="inlineStr">
        <is>
          <t>GBP/MWh nominal</t>
        </is>
      </c>
      <c r="P1542"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43">
      <c r="A1543" s="77" t="inlineStr">
        <is>
          <t>UK</t>
        </is>
      </c>
      <c r="B1543" s="77" t="n">
        <v>2019</v>
      </c>
      <c r="C1543" s="77" t="inlineStr">
        <is>
          <t>medium</t>
        </is>
      </c>
      <c r="D1543" s="77" t="inlineStr">
        <is>
          <t>E2</t>
        </is>
      </c>
      <c r="E1543" s="77" t="inlineStr">
        <is>
          <t>Line losses — distribution LLF x transmission TLM gross-up on the energy purchase</t>
        </is>
      </c>
      <c r="F1543" s="77" t="inlineStr">
        <is>
          <t>1 Commodity</t>
        </is>
      </c>
      <c r="G1543" s="77" t="inlineStr">
        <is>
          <t>wholesale market</t>
        </is>
      </c>
      <c r="H1543" s="77" t="inlineStr">
        <is>
          <t>i</t>
        </is>
      </c>
      <c r="I1543" s="77">
        <f>IF(ISNUMBER(N1543),N1543*fx_deflator!$I$14*fx_deflator!$M$14,"")</f>
        <v/>
      </c>
      <c r="J1543" s="77" t="inlineStr">
        <is>
          <t>Elexon BSC Section T (TLM); Northern Powergrid (Yorkshire) Annex 5 (LLF)</t>
        </is>
      </c>
      <c r="K1543" s="77" t="inlineStr">
        <is>
          <t>assumptions r78-80; timeseries r107-110</t>
        </is>
      </c>
      <c r="L1543" s="77" t="inlineStr">
        <is>
          <t>2026-07-24</t>
        </is>
      </c>
      <c r="M1543" s="77" t="inlineStr">
        <is>
          <t>Y</t>
        </is>
      </c>
      <c r="N1543" s="136">
        <f>IF(ISNUMBER(timeseries!M110),timeseries!M110,"")</f>
        <v/>
      </c>
      <c r="O1543" s="77" t="inlineStr">
        <is>
          <t>GBP/MWh nominal</t>
        </is>
      </c>
      <c r="P1543"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44">
      <c r="A1544" s="77" t="inlineStr">
        <is>
          <t>UK</t>
        </is>
      </c>
      <c r="B1544" s="77" t="n">
        <v>2020</v>
      </c>
      <c r="C1544" s="77" t="inlineStr">
        <is>
          <t>large</t>
        </is>
      </c>
      <c r="D1544" s="77" t="inlineStr">
        <is>
          <t>E1</t>
        </is>
      </c>
      <c r="E1544" s="77" t="inlineStr">
        <is>
          <t>Line losses — distribution LLF x transmission TLM gross-up on the energy purchase</t>
        </is>
      </c>
      <c r="F1544" s="77" t="inlineStr">
        <is>
          <t>1 Commodity</t>
        </is>
      </c>
      <c r="G1544" s="77" t="inlineStr">
        <is>
          <t>wholesale market</t>
        </is>
      </c>
      <c r="H1544" s="77" t="inlineStr">
        <is>
          <t>i</t>
        </is>
      </c>
      <c r="I1544" s="77">
        <f>IF(ISNUMBER(N1544),N1544*fx_deflator!$I$15*fx_deflator!$M$15,"")</f>
        <v/>
      </c>
      <c r="J1544" s="77" t="inlineStr">
        <is>
          <t>Elexon BSC Section T (TLM); Northern Powergrid (Yorkshire) Annex 5 (LLF)</t>
        </is>
      </c>
      <c r="K1544" s="77" t="inlineStr">
        <is>
          <t>assumptions r78-80; timeseries r107-110</t>
        </is>
      </c>
      <c r="L1544" s="77" t="inlineStr">
        <is>
          <t>2026-07-24</t>
        </is>
      </c>
      <c r="M1544" s="77" t="inlineStr">
        <is>
          <t>Y</t>
        </is>
      </c>
      <c r="N1544" s="136">
        <f>IF(ISNUMBER(timeseries!N107),timeseries!N107,"")</f>
        <v/>
      </c>
      <c r="O1544" s="77" t="inlineStr">
        <is>
          <t>GBP/MWh nominal</t>
        </is>
      </c>
      <c r="P1544"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45">
      <c r="A1545" s="77" t="inlineStr">
        <is>
          <t>UK</t>
        </is>
      </c>
      <c r="B1545" s="77" t="n">
        <v>2020</v>
      </c>
      <c r="C1545" s="77" t="inlineStr">
        <is>
          <t>large</t>
        </is>
      </c>
      <c r="D1545" s="77" t="inlineStr">
        <is>
          <t>E2</t>
        </is>
      </c>
      <c r="E1545" s="77" t="inlineStr">
        <is>
          <t>Line losses — distribution LLF x transmission TLM gross-up on the energy purchase</t>
        </is>
      </c>
      <c r="F1545" s="77" t="inlineStr">
        <is>
          <t>1 Commodity</t>
        </is>
      </c>
      <c r="G1545" s="77" t="inlineStr">
        <is>
          <t>wholesale market</t>
        </is>
      </c>
      <c r="H1545" s="77" t="inlineStr">
        <is>
          <t>i</t>
        </is>
      </c>
      <c r="I1545" s="77">
        <f>IF(ISNUMBER(N1545),N1545*fx_deflator!$I$15*fx_deflator!$M$15,"")</f>
        <v/>
      </c>
      <c r="J1545" s="77" t="inlineStr">
        <is>
          <t>Elexon BSC Section T (TLM); Northern Powergrid (Yorkshire) Annex 5 (LLF)</t>
        </is>
      </c>
      <c r="K1545" s="77" t="inlineStr">
        <is>
          <t>assumptions r78-80; timeseries r107-110</t>
        </is>
      </c>
      <c r="L1545" s="77" t="inlineStr">
        <is>
          <t>2026-07-24</t>
        </is>
      </c>
      <c r="M1545" s="77" t="inlineStr">
        <is>
          <t>Y</t>
        </is>
      </c>
      <c r="N1545" s="136">
        <f>IF(ISNUMBER(timeseries!N108),timeseries!N108,"")</f>
        <v/>
      </c>
      <c r="O1545" s="77" t="inlineStr">
        <is>
          <t>GBP/MWh nominal</t>
        </is>
      </c>
      <c r="P1545"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46">
      <c r="A1546" s="77" t="inlineStr">
        <is>
          <t>UK</t>
        </is>
      </c>
      <c r="B1546" s="77" t="n">
        <v>2020</v>
      </c>
      <c r="C1546" s="77" t="inlineStr">
        <is>
          <t>medium</t>
        </is>
      </c>
      <c r="D1546" s="77" t="inlineStr">
        <is>
          <t>E1</t>
        </is>
      </c>
      <c r="E1546" s="77" t="inlineStr">
        <is>
          <t>Line losses — distribution LLF x transmission TLM gross-up on the energy purchase</t>
        </is>
      </c>
      <c r="F1546" s="77" t="inlineStr">
        <is>
          <t>1 Commodity</t>
        </is>
      </c>
      <c r="G1546" s="77" t="inlineStr">
        <is>
          <t>wholesale market</t>
        </is>
      </c>
      <c r="H1546" s="77" t="inlineStr">
        <is>
          <t>i</t>
        </is>
      </c>
      <c r="I1546" s="77">
        <f>IF(ISNUMBER(N1546),N1546*fx_deflator!$I$15*fx_deflator!$M$15,"")</f>
        <v/>
      </c>
      <c r="J1546" s="77" t="inlineStr">
        <is>
          <t>Elexon BSC Section T (TLM); Northern Powergrid (Yorkshire) Annex 5 (LLF)</t>
        </is>
      </c>
      <c r="K1546" s="77" t="inlineStr">
        <is>
          <t>assumptions r78-80; timeseries r107-110</t>
        </is>
      </c>
      <c r="L1546" s="77" t="inlineStr">
        <is>
          <t>2026-07-24</t>
        </is>
      </c>
      <c r="M1546" s="77" t="inlineStr">
        <is>
          <t>Y</t>
        </is>
      </c>
      <c r="N1546" s="136">
        <f>IF(ISNUMBER(timeseries!N109),timeseries!N109,"")</f>
        <v/>
      </c>
      <c r="O1546" s="77" t="inlineStr">
        <is>
          <t>GBP/MWh nominal</t>
        </is>
      </c>
      <c r="P1546"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47">
      <c r="A1547" s="77" t="inlineStr">
        <is>
          <t>UK</t>
        </is>
      </c>
      <c r="B1547" s="77" t="n">
        <v>2020</v>
      </c>
      <c r="C1547" s="77" t="inlineStr">
        <is>
          <t>medium</t>
        </is>
      </c>
      <c r="D1547" s="77" t="inlineStr">
        <is>
          <t>E2</t>
        </is>
      </c>
      <c r="E1547" s="77" t="inlineStr">
        <is>
          <t>Line losses — distribution LLF x transmission TLM gross-up on the energy purchase</t>
        </is>
      </c>
      <c r="F1547" s="77" t="inlineStr">
        <is>
          <t>1 Commodity</t>
        </is>
      </c>
      <c r="G1547" s="77" t="inlineStr">
        <is>
          <t>wholesale market</t>
        </is>
      </c>
      <c r="H1547" s="77" t="inlineStr">
        <is>
          <t>i</t>
        </is>
      </c>
      <c r="I1547" s="77">
        <f>IF(ISNUMBER(N1547),N1547*fx_deflator!$I$15*fx_deflator!$M$15,"")</f>
        <v/>
      </c>
      <c r="J1547" s="77" t="inlineStr">
        <is>
          <t>Elexon BSC Section T (TLM); Northern Powergrid (Yorkshire) Annex 5 (LLF)</t>
        </is>
      </c>
      <c r="K1547" s="77" t="inlineStr">
        <is>
          <t>assumptions r78-80; timeseries r107-110</t>
        </is>
      </c>
      <c r="L1547" s="77" t="inlineStr">
        <is>
          <t>2026-07-24</t>
        </is>
      </c>
      <c r="M1547" s="77" t="inlineStr">
        <is>
          <t>Y</t>
        </is>
      </c>
      <c r="N1547" s="136">
        <f>IF(ISNUMBER(timeseries!N110),timeseries!N110,"")</f>
        <v/>
      </c>
      <c r="O1547" s="77" t="inlineStr">
        <is>
          <t>GBP/MWh nominal</t>
        </is>
      </c>
      <c r="P1547"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48">
      <c r="A1548" s="77" t="inlineStr">
        <is>
          <t>UK</t>
        </is>
      </c>
      <c r="B1548" s="77" t="n">
        <v>2021</v>
      </c>
      <c r="C1548" s="77" t="inlineStr">
        <is>
          <t>large</t>
        </is>
      </c>
      <c r="D1548" s="77" t="inlineStr">
        <is>
          <t>E1</t>
        </is>
      </c>
      <c r="E1548" s="77" t="inlineStr">
        <is>
          <t>Line losses — distribution LLF x transmission TLM gross-up on the energy purchase</t>
        </is>
      </c>
      <c r="F1548" s="77" t="inlineStr">
        <is>
          <t>1 Commodity</t>
        </is>
      </c>
      <c r="G1548" s="77" t="inlineStr">
        <is>
          <t>wholesale market</t>
        </is>
      </c>
      <c r="H1548" s="77" t="inlineStr">
        <is>
          <t>i</t>
        </is>
      </c>
      <c r="I1548" s="77">
        <f>IF(ISNUMBER(N1548),N1548*fx_deflator!$I$16*fx_deflator!$M$16,"")</f>
        <v/>
      </c>
      <c r="J1548" s="77" t="inlineStr">
        <is>
          <t>Elexon BSC Section T (TLM); Northern Powergrid (Yorkshire) Annex 5 (LLF)</t>
        </is>
      </c>
      <c r="K1548" s="77" t="inlineStr">
        <is>
          <t>assumptions r78-80; timeseries r107-110</t>
        </is>
      </c>
      <c r="L1548" s="77" t="inlineStr">
        <is>
          <t>2026-07-24</t>
        </is>
      </c>
      <c r="M1548" s="77" t="inlineStr">
        <is>
          <t>Y</t>
        </is>
      </c>
      <c r="N1548" s="136">
        <f>IF(ISNUMBER(timeseries!O107),timeseries!O107,"")</f>
        <v/>
      </c>
      <c r="O1548" s="77" t="inlineStr">
        <is>
          <t>GBP/MWh nominal</t>
        </is>
      </c>
      <c r="P1548"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49">
      <c r="A1549" s="77" t="inlineStr">
        <is>
          <t>UK</t>
        </is>
      </c>
      <c r="B1549" s="77" t="n">
        <v>2021</v>
      </c>
      <c r="C1549" s="77" t="inlineStr">
        <is>
          <t>large</t>
        </is>
      </c>
      <c r="D1549" s="77" t="inlineStr">
        <is>
          <t>E2</t>
        </is>
      </c>
      <c r="E1549" s="77" t="inlineStr">
        <is>
          <t>Line losses — distribution LLF x transmission TLM gross-up on the energy purchase</t>
        </is>
      </c>
      <c r="F1549" s="77" t="inlineStr">
        <is>
          <t>1 Commodity</t>
        </is>
      </c>
      <c r="G1549" s="77" t="inlineStr">
        <is>
          <t>wholesale market</t>
        </is>
      </c>
      <c r="H1549" s="77" t="inlineStr">
        <is>
          <t>i</t>
        </is>
      </c>
      <c r="I1549" s="77">
        <f>IF(ISNUMBER(N1549),N1549*fx_deflator!$I$16*fx_deflator!$M$16,"")</f>
        <v/>
      </c>
      <c r="J1549" s="77" t="inlineStr">
        <is>
          <t>Elexon BSC Section T (TLM); Northern Powergrid (Yorkshire) Annex 5 (LLF)</t>
        </is>
      </c>
      <c r="K1549" s="77" t="inlineStr">
        <is>
          <t>assumptions r78-80; timeseries r107-110</t>
        </is>
      </c>
      <c r="L1549" s="77" t="inlineStr">
        <is>
          <t>2026-07-24</t>
        </is>
      </c>
      <c r="M1549" s="77" t="inlineStr">
        <is>
          <t>Y</t>
        </is>
      </c>
      <c r="N1549" s="136">
        <f>IF(ISNUMBER(timeseries!O108),timeseries!O108,"")</f>
        <v/>
      </c>
      <c r="O1549" s="77" t="inlineStr">
        <is>
          <t>GBP/MWh nominal</t>
        </is>
      </c>
      <c r="P1549"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50">
      <c r="A1550" s="77" t="inlineStr">
        <is>
          <t>UK</t>
        </is>
      </c>
      <c r="B1550" s="77" t="n">
        <v>2021</v>
      </c>
      <c r="C1550" s="77" t="inlineStr">
        <is>
          <t>medium</t>
        </is>
      </c>
      <c r="D1550" s="77" t="inlineStr">
        <is>
          <t>E1</t>
        </is>
      </c>
      <c r="E1550" s="77" t="inlineStr">
        <is>
          <t>Line losses — distribution LLF x transmission TLM gross-up on the energy purchase</t>
        </is>
      </c>
      <c r="F1550" s="77" t="inlineStr">
        <is>
          <t>1 Commodity</t>
        </is>
      </c>
      <c r="G1550" s="77" t="inlineStr">
        <is>
          <t>wholesale market</t>
        </is>
      </c>
      <c r="H1550" s="77" t="inlineStr">
        <is>
          <t>i</t>
        </is>
      </c>
      <c r="I1550" s="77">
        <f>IF(ISNUMBER(N1550),N1550*fx_deflator!$I$16*fx_deflator!$M$16,"")</f>
        <v/>
      </c>
      <c r="J1550" s="77" t="inlineStr">
        <is>
          <t>Elexon BSC Section T (TLM); Northern Powergrid (Yorkshire) Annex 5 (LLF)</t>
        </is>
      </c>
      <c r="K1550" s="77" t="inlineStr">
        <is>
          <t>assumptions r78-80; timeseries r107-110</t>
        </is>
      </c>
      <c r="L1550" s="77" t="inlineStr">
        <is>
          <t>2026-07-24</t>
        </is>
      </c>
      <c r="M1550" s="77" t="inlineStr">
        <is>
          <t>Y</t>
        </is>
      </c>
      <c r="N1550" s="136">
        <f>IF(ISNUMBER(timeseries!O109),timeseries!O109,"")</f>
        <v/>
      </c>
      <c r="O1550" s="77" t="inlineStr">
        <is>
          <t>GBP/MWh nominal</t>
        </is>
      </c>
      <c r="P1550"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51">
      <c r="A1551" s="77" t="inlineStr">
        <is>
          <t>UK</t>
        </is>
      </c>
      <c r="B1551" s="77" t="n">
        <v>2021</v>
      </c>
      <c r="C1551" s="77" t="inlineStr">
        <is>
          <t>medium</t>
        </is>
      </c>
      <c r="D1551" s="77" t="inlineStr">
        <is>
          <t>E2</t>
        </is>
      </c>
      <c r="E1551" s="77" t="inlineStr">
        <is>
          <t>Line losses — distribution LLF x transmission TLM gross-up on the energy purchase</t>
        </is>
      </c>
      <c r="F1551" s="77" t="inlineStr">
        <is>
          <t>1 Commodity</t>
        </is>
      </c>
      <c r="G1551" s="77" t="inlineStr">
        <is>
          <t>wholesale market</t>
        </is>
      </c>
      <c r="H1551" s="77" t="inlineStr">
        <is>
          <t>i</t>
        </is>
      </c>
      <c r="I1551" s="77">
        <f>IF(ISNUMBER(N1551),N1551*fx_deflator!$I$16*fx_deflator!$M$16,"")</f>
        <v/>
      </c>
      <c r="J1551" s="77" t="inlineStr">
        <is>
          <t>Elexon BSC Section T (TLM); Northern Powergrid (Yorkshire) Annex 5 (LLF)</t>
        </is>
      </c>
      <c r="K1551" s="77" t="inlineStr">
        <is>
          <t>assumptions r78-80; timeseries r107-110</t>
        </is>
      </c>
      <c r="L1551" s="77" t="inlineStr">
        <is>
          <t>2026-07-24</t>
        </is>
      </c>
      <c r="M1551" s="77" t="inlineStr">
        <is>
          <t>Y</t>
        </is>
      </c>
      <c r="N1551" s="136">
        <f>IF(ISNUMBER(timeseries!O110),timeseries!O110,"")</f>
        <v/>
      </c>
      <c r="O1551" s="77" t="inlineStr">
        <is>
          <t>GBP/MWh nominal</t>
        </is>
      </c>
      <c r="P1551"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52">
      <c r="A1552" s="77" t="inlineStr">
        <is>
          <t>UK</t>
        </is>
      </c>
      <c r="B1552" s="77" t="n">
        <v>2022</v>
      </c>
      <c r="C1552" s="77" t="inlineStr">
        <is>
          <t>large</t>
        </is>
      </c>
      <c r="D1552" s="77" t="inlineStr">
        <is>
          <t>E1</t>
        </is>
      </c>
      <c r="E1552" s="77" t="inlineStr">
        <is>
          <t>Line losses — distribution LLF x transmission TLM gross-up on the energy purchase</t>
        </is>
      </c>
      <c r="F1552" s="77" t="inlineStr">
        <is>
          <t>1 Commodity</t>
        </is>
      </c>
      <c r="G1552" s="77" t="inlineStr">
        <is>
          <t>wholesale market</t>
        </is>
      </c>
      <c r="H1552" s="77" t="inlineStr">
        <is>
          <t>i</t>
        </is>
      </c>
      <c r="I1552" s="77">
        <f>IF(ISNUMBER(N1552),N1552*fx_deflator!$I$17*fx_deflator!$M$17,"")</f>
        <v/>
      </c>
      <c r="J1552" s="77" t="inlineStr">
        <is>
          <t>Elexon BSC Section T (TLM); Northern Powergrid (Yorkshire) Annex 5 (LLF)</t>
        </is>
      </c>
      <c r="K1552" s="77" t="inlineStr">
        <is>
          <t>assumptions r78-80; timeseries r107-110</t>
        </is>
      </c>
      <c r="L1552" s="77" t="inlineStr">
        <is>
          <t>2026-07-24</t>
        </is>
      </c>
      <c r="M1552" s="77" t="inlineStr">
        <is>
          <t>Y</t>
        </is>
      </c>
      <c r="N1552" s="136">
        <f>IF(ISNUMBER(timeseries!P107),timeseries!P107,"")</f>
        <v/>
      </c>
      <c r="O1552" s="77" t="inlineStr">
        <is>
          <t>GBP/MWh nominal</t>
        </is>
      </c>
      <c r="P1552"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53">
      <c r="A1553" s="77" t="inlineStr">
        <is>
          <t>UK</t>
        </is>
      </c>
      <c r="B1553" s="77" t="n">
        <v>2022</v>
      </c>
      <c r="C1553" s="77" t="inlineStr">
        <is>
          <t>large</t>
        </is>
      </c>
      <c r="D1553" s="77" t="inlineStr">
        <is>
          <t>E2</t>
        </is>
      </c>
      <c r="E1553" s="77" t="inlineStr">
        <is>
          <t>Line losses — distribution LLF x transmission TLM gross-up on the energy purchase</t>
        </is>
      </c>
      <c r="F1553" s="77" t="inlineStr">
        <is>
          <t>1 Commodity</t>
        </is>
      </c>
      <c r="G1553" s="77" t="inlineStr">
        <is>
          <t>wholesale market</t>
        </is>
      </c>
      <c r="H1553" s="77" t="inlineStr">
        <is>
          <t>i</t>
        </is>
      </c>
      <c r="I1553" s="77">
        <f>IF(ISNUMBER(N1553),N1553*fx_deflator!$I$17*fx_deflator!$M$17,"")</f>
        <v/>
      </c>
      <c r="J1553" s="77" t="inlineStr">
        <is>
          <t>Elexon BSC Section T (TLM); Northern Powergrid (Yorkshire) Annex 5 (LLF)</t>
        </is>
      </c>
      <c r="K1553" s="77" t="inlineStr">
        <is>
          <t>assumptions r78-80; timeseries r107-110</t>
        </is>
      </c>
      <c r="L1553" s="77" t="inlineStr">
        <is>
          <t>2026-07-24</t>
        </is>
      </c>
      <c r="M1553" s="77" t="inlineStr">
        <is>
          <t>Y</t>
        </is>
      </c>
      <c r="N1553" s="136">
        <f>IF(ISNUMBER(timeseries!P108),timeseries!P108,"")</f>
        <v/>
      </c>
      <c r="O1553" s="77" t="inlineStr">
        <is>
          <t>GBP/MWh nominal</t>
        </is>
      </c>
      <c r="P1553"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54">
      <c r="A1554" s="77" t="inlineStr">
        <is>
          <t>UK</t>
        </is>
      </c>
      <c r="B1554" s="77" t="n">
        <v>2022</v>
      </c>
      <c r="C1554" s="77" t="inlineStr">
        <is>
          <t>medium</t>
        </is>
      </c>
      <c r="D1554" s="77" t="inlineStr">
        <is>
          <t>E1</t>
        </is>
      </c>
      <c r="E1554" s="77" t="inlineStr">
        <is>
          <t>Line losses — distribution LLF x transmission TLM gross-up on the energy purchase</t>
        </is>
      </c>
      <c r="F1554" s="77" t="inlineStr">
        <is>
          <t>1 Commodity</t>
        </is>
      </c>
      <c r="G1554" s="77" t="inlineStr">
        <is>
          <t>wholesale market</t>
        </is>
      </c>
      <c r="H1554" s="77" t="inlineStr">
        <is>
          <t>i</t>
        </is>
      </c>
      <c r="I1554" s="77">
        <f>IF(ISNUMBER(N1554),N1554*fx_deflator!$I$17*fx_deflator!$M$17,"")</f>
        <v/>
      </c>
      <c r="J1554" s="77" t="inlineStr">
        <is>
          <t>Elexon BSC Section T (TLM); Northern Powergrid (Yorkshire) Annex 5 (LLF)</t>
        </is>
      </c>
      <c r="K1554" s="77" t="inlineStr">
        <is>
          <t>assumptions r78-80; timeseries r107-110</t>
        </is>
      </c>
      <c r="L1554" s="77" t="inlineStr">
        <is>
          <t>2026-07-24</t>
        </is>
      </c>
      <c r="M1554" s="77" t="inlineStr">
        <is>
          <t>Y</t>
        </is>
      </c>
      <c r="N1554" s="136">
        <f>IF(ISNUMBER(timeseries!P109),timeseries!P109,"")</f>
        <v/>
      </c>
      <c r="O1554" s="77" t="inlineStr">
        <is>
          <t>GBP/MWh nominal</t>
        </is>
      </c>
      <c r="P1554"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55">
      <c r="A1555" s="77" t="inlineStr">
        <is>
          <t>UK</t>
        </is>
      </c>
      <c r="B1555" s="77" t="n">
        <v>2022</v>
      </c>
      <c r="C1555" s="77" t="inlineStr">
        <is>
          <t>medium</t>
        </is>
      </c>
      <c r="D1555" s="77" t="inlineStr">
        <is>
          <t>E2</t>
        </is>
      </c>
      <c r="E1555" s="77" t="inlineStr">
        <is>
          <t>Line losses — distribution LLF x transmission TLM gross-up on the energy purchase</t>
        </is>
      </c>
      <c r="F1555" s="77" t="inlineStr">
        <is>
          <t>1 Commodity</t>
        </is>
      </c>
      <c r="G1555" s="77" t="inlineStr">
        <is>
          <t>wholesale market</t>
        </is>
      </c>
      <c r="H1555" s="77" t="inlineStr">
        <is>
          <t>i</t>
        </is>
      </c>
      <c r="I1555" s="77">
        <f>IF(ISNUMBER(N1555),N1555*fx_deflator!$I$17*fx_deflator!$M$17,"")</f>
        <v/>
      </c>
      <c r="J1555" s="77" t="inlineStr">
        <is>
          <t>Elexon BSC Section T (TLM); Northern Powergrid (Yorkshire) Annex 5 (LLF)</t>
        </is>
      </c>
      <c r="K1555" s="77" t="inlineStr">
        <is>
          <t>assumptions r78-80; timeseries r107-110</t>
        </is>
      </c>
      <c r="L1555" s="77" t="inlineStr">
        <is>
          <t>2026-07-24</t>
        </is>
      </c>
      <c r="M1555" s="77" t="inlineStr">
        <is>
          <t>Y</t>
        </is>
      </c>
      <c r="N1555" s="136">
        <f>IF(ISNUMBER(timeseries!P110),timeseries!P110,"")</f>
        <v/>
      </c>
      <c r="O1555" s="77" t="inlineStr">
        <is>
          <t>GBP/MWh nominal</t>
        </is>
      </c>
      <c r="P1555"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56">
      <c r="A1556" s="77" t="inlineStr">
        <is>
          <t>UK</t>
        </is>
      </c>
      <c r="B1556" s="77" t="n">
        <v>2023</v>
      </c>
      <c r="C1556" s="77" t="inlineStr">
        <is>
          <t>large</t>
        </is>
      </c>
      <c r="D1556" s="77" t="inlineStr">
        <is>
          <t>E1</t>
        </is>
      </c>
      <c r="E1556" s="77" t="inlineStr">
        <is>
          <t>Line losses — distribution LLF x transmission TLM gross-up on the energy purchase</t>
        </is>
      </c>
      <c r="F1556" s="77" t="inlineStr">
        <is>
          <t>1 Commodity</t>
        </is>
      </c>
      <c r="G1556" s="77" t="inlineStr">
        <is>
          <t>wholesale market</t>
        </is>
      </c>
      <c r="H1556" s="77" t="inlineStr">
        <is>
          <t>i</t>
        </is>
      </c>
      <c r="I1556" s="77">
        <f>IF(ISNUMBER(N1556),N1556*fx_deflator!$I$18*fx_deflator!$M$18,"")</f>
        <v/>
      </c>
      <c r="J1556" s="77" t="inlineStr">
        <is>
          <t>Elexon BSC Section T (TLM); Northern Powergrid (Yorkshire) Annex 5 (LLF)</t>
        </is>
      </c>
      <c r="K1556" s="77" t="inlineStr">
        <is>
          <t>assumptions r78-80; timeseries r107-110</t>
        </is>
      </c>
      <c r="L1556" s="77" t="inlineStr">
        <is>
          <t>2026-07-24</t>
        </is>
      </c>
      <c r="M1556" s="77" t="inlineStr">
        <is>
          <t>Y</t>
        </is>
      </c>
      <c r="N1556" s="136">
        <f>IF(ISNUMBER(timeseries!Q107),timeseries!Q107,"")</f>
        <v/>
      </c>
      <c r="O1556" s="77" t="inlineStr">
        <is>
          <t>GBP/MWh nominal</t>
        </is>
      </c>
      <c r="P1556"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57">
      <c r="A1557" s="77" t="inlineStr">
        <is>
          <t>UK</t>
        </is>
      </c>
      <c r="B1557" s="77" t="n">
        <v>2023</v>
      </c>
      <c r="C1557" s="77" t="inlineStr">
        <is>
          <t>large</t>
        </is>
      </c>
      <c r="D1557" s="77" t="inlineStr">
        <is>
          <t>E2</t>
        </is>
      </c>
      <c r="E1557" s="77" t="inlineStr">
        <is>
          <t>Line losses — distribution LLF x transmission TLM gross-up on the energy purchase</t>
        </is>
      </c>
      <c r="F1557" s="77" t="inlineStr">
        <is>
          <t>1 Commodity</t>
        </is>
      </c>
      <c r="G1557" s="77" t="inlineStr">
        <is>
          <t>wholesale market</t>
        </is>
      </c>
      <c r="H1557" s="77" t="inlineStr">
        <is>
          <t>i</t>
        </is>
      </c>
      <c r="I1557" s="77">
        <f>IF(ISNUMBER(N1557),N1557*fx_deflator!$I$18*fx_deflator!$M$18,"")</f>
        <v/>
      </c>
      <c r="J1557" s="77" t="inlineStr">
        <is>
          <t>Elexon BSC Section T (TLM); Northern Powergrid (Yorkshire) Annex 5 (LLF)</t>
        </is>
      </c>
      <c r="K1557" s="77" t="inlineStr">
        <is>
          <t>assumptions r78-80; timeseries r107-110</t>
        </is>
      </c>
      <c r="L1557" s="77" t="inlineStr">
        <is>
          <t>2026-07-24</t>
        </is>
      </c>
      <c r="M1557" s="77" t="inlineStr">
        <is>
          <t>Y</t>
        </is>
      </c>
      <c r="N1557" s="136">
        <f>IF(ISNUMBER(timeseries!Q108),timeseries!Q108,"")</f>
        <v/>
      </c>
      <c r="O1557" s="77" t="inlineStr">
        <is>
          <t>GBP/MWh nominal</t>
        </is>
      </c>
      <c r="P1557"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58">
      <c r="A1558" s="77" t="inlineStr">
        <is>
          <t>UK</t>
        </is>
      </c>
      <c r="B1558" s="77" t="n">
        <v>2023</v>
      </c>
      <c r="C1558" s="77" t="inlineStr">
        <is>
          <t>medium</t>
        </is>
      </c>
      <c r="D1558" s="77" t="inlineStr">
        <is>
          <t>E1</t>
        </is>
      </c>
      <c r="E1558" s="77" t="inlineStr">
        <is>
          <t>Line losses — distribution LLF x transmission TLM gross-up on the energy purchase</t>
        </is>
      </c>
      <c r="F1558" s="77" t="inlineStr">
        <is>
          <t>1 Commodity</t>
        </is>
      </c>
      <c r="G1558" s="77" t="inlineStr">
        <is>
          <t>wholesale market</t>
        </is>
      </c>
      <c r="H1558" s="77" t="inlineStr">
        <is>
          <t>i</t>
        </is>
      </c>
      <c r="I1558" s="77">
        <f>IF(ISNUMBER(N1558),N1558*fx_deflator!$I$18*fx_deflator!$M$18,"")</f>
        <v/>
      </c>
      <c r="J1558" s="77" t="inlineStr">
        <is>
          <t>Elexon BSC Section T (TLM); Northern Powergrid (Yorkshire) Annex 5 (LLF)</t>
        </is>
      </c>
      <c r="K1558" s="77" t="inlineStr">
        <is>
          <t>assumptions r78-80; timeseries r107-110</t>
        </is>
      </c>
      <c r="L1558" s="77" t="inlineStr">
        <is>
          <t>2026-07-24</t>
        </is>
      </c>
      <c r="M1558" s="77" t="inlineStr">
        <is>
          <t>Y</t>
        </is>
      </c>
      <c r="N1558" s="136">
        <f>IF(ISNUMBER(timeseries!Q109),timeseries!Q109,"")</f>
        <v/>
      </c>
      <c r="O1558" s="77" t="inlineStr">
        <is>
          <t>GBP/MWh nominal</t>
        </is>
      </c>
      <c r="P1558"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59">
      <c r="A1559" s="77" t="inlineStr">
        <is>
          <t>UK</t>
        </is>
      </c>
      <c r="B1559" s="77" t="n">
        <v>2023</v>
      </c>
      <c r="C1559" s="77" t="inlineStr">
        <is>
          <t>medium</t>
        </is>
      </c>
      <c r="D1559" s="77" t="inlineStr">
        <is>
          <t>E2</t>
        </is>
      </c>
      <c r="E1559" s="77" t="inlineStr">
        <is>
          <t>Line losses — distribution LLF x transmission TLM gross-up on the energy purchase</t>
        </is>
      </c>
      <c r="F1559" s="77" t="inlineStr">
        <is>
          <t>1 Commodity</t>
        </is>
      </c>
      <c r="G1559" s="77" t="inlineStr">
        <is>
          <t>wholesale market</t>
        </is>
      </c>
      <c r="H1559" s="77" t="inlineStr">
        <is>
          <t>i</t>
        </is>
      </c>
      <c r="I1559" s="77">
        <f>IF(ISNUMBER(N1559),N1559*fx_deflator!$I$18*fx_deflator!$M$18,"")</f>
        <v/>
      </c>
      <c r="J1559" s="77" t="inlineStr">
        <is>
          <t>Elexon BSC Section T (TLM); Northern Powergrid (Yorkshire) Annex 5 (LLF)</t>
        </is>
      </c>
      <c r="K1559" s="77" t="inlineStr">
        <is>
          <t>assumptions r78-80; timeseries r107-110</t>
        </is>
      </c>
      <c r="L1559" s="77" t="inlineStr">
        <is>
          <t>2026-07-24</t>
        </is>
      </c>
      <c r="M1559" s="77" t="inlineStr">
        <is>
          <t>Y</t>
        </is>
      </c>
      <c r="N1559" s="136">
        <f>IF(ISNUMBER(timeseries!Q110),timeseries!Q110,"")</f>
        <v/>
      </c>
      <c r="O1559" s="77" t="inlineStr">
        <is>
          <t>GBP/MWh nominal</t>
        </is>
      </c>
      <c r="P1559"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60">
      <c r="A1560" s="77" t="inlineStr">
        <is>
          <t>UK</t>
        </is>
      </c>
      <c r="B1560" s="77" t="n">
        <v>2024</v>
      </c>
      <c r="C1560" s="77" t="inlineStr">
        <is>
          <t>large</t>
        </is>
      </c>
      <c r="D1560" s="77" t="inlineStr">
        <is>
          <t>E1</t>
        </is>
      </c>
      <c r="E1560" s="77" t="inlineStr">
        <is>
          <t>Line losses — distribution LLF x transmission TLM gross-up on the energy purchase</t>
        </is>
      </c>
      <c r="F1560" s="77" t="inlineStr">
        <is>
          <t>1 Commodity</t>
        </is>
      </c>
      <c r="G1560" s="77" t="inlineStr">
        <is>
          <t>wholesale market</t>
        </is>
      </c>
      <c r="H1560" s="77" t="inlineStr">
        <is>
          <t>i</t>
        </is>
      </c>
      <c r="I1560" s="77">
        <f>IF(ISNUMBER(N1560),N1560*fx_deflator!$I$19*fx_deflator!$M$19,"")</f>
        <v/>
      </c>
      <c r="J1560" s="77" t="inlineStr">
        <is>
          <t>Elexon BSC Section T (TLM); Northern Powergrid (Yorkshire) Annex 5 (LLF)</t>
        </is>
      </c>
      <c r="K1560" s="77" t="inlineStr">
        <is>
          <t>assumptions r78-80; timeseries r107-110</t>
        </is>
      </c>
      <c r="L1560" s="77" t="inlineStr">
        <is>
          <t>2026-07-24</t>
        </is>
      </c>
      <c r="M1560" s="77" t="inlineStr">
        <is>
          <t>Y</t>
        </is>
      </c>
      <c r="N1560" s="136">
        <f>IF(ISNUMBER(timeseries!R107),timeseries!R107,"")</f>
        <v/>
      </c>
      <c r="O1560" s="77" t="inlineStr">
        <is>
          <t>GBP/MWh nominal</t>
        </is>
      </c>
      <c r="P1560"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61">
      <c r="A1561" s="77" t="inlineStr">
        <is>
          <t>UK</t>
        </is>
      </c>
      <c r="B1561" s="77" t="n">
        <v>2024</v>
      </c>
      <c r="C1561" s="77" t="inlineStr">
        <is>
          <t>large</t>
        </is>
      </c>
      <c r="D1561" s="77" t="inlineStr">
        <is>
          <t>E2</t>
        </is>
      </c>
      <c r="E1561" s="77" t="inlineStr">
        <is>
          <t>Line losses — distribution LLF x transmission TLM gross-up on the energy purchase</t>
        </is>
      </c>
      <c r="F1561" s="77" t="inlineStr">
        <is>
          <t>1 Commodity</t>
        </is>
      </c>
      <c r="G1561" s="77" t="inlineStr">
        <is>
          <t>wholesale market</t>
        </is>
      </c>
      <c r="H1561" s="77" t="inlineStr">
        <is>
          <t>i</t>
        </is>
      </c>
      <c r="I1561" s="77">
        <f>IF(ISNUMBER(N1561),N1561*fx_deflator!$I$19*fx_deflator!$M$19,"")</f>
        <v/>
      </c>
      <c r="J1561" s="77" t="inlineStr">
        <is>
          <t>Elexon BSC Section T (TLM); Northern Powergrid (Yorkshire) Annex 5 (LLF)</t>
        </is>
      </c>
      <c r="K1561" s="77" t="inlineStr">
        <is>
          <t>assumptions r78-80; timeseries r107-110</t>
        </is>
      </c>
      <c r="L1561" s="77" t="inlineStr">
        <is>
          <t>2026-07-24</t>
        </is>
      </c>
      <c r="M1561" s="77" t="inlineStr">
        <is>
          <t>Y</t>
        </is>
      </c>
      <c r="N1561" s="136">
        <f>IF(ISNUMBER(timeseries!R108),timeseries!R108,"")</f>
        <v/>
      </c>
      <c r="O1561" s="77" t="inlineStr">
        <is>
          <t>GBP/MWh nominal</t>
        </is>
      </c>
      <c r="P1561"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62">
      <c r="A1562" s="77" t="inlineStr">
        <is>
          <t>UK</t>
        </is>
      </c>
      <c r="B1562" s="77" t="n">
        <v>2024</v>
      </c>
      <c r="C1562" s="77" t="inlineStr">
        <is>
          <t>medium</t>
        </is>
      </c>
      <c r="D1562" s="77" t="inlineStr">
        <is>
          <t>E1</t>
        </is>
      </c>
      <c r="E1562" s="77" t="inlineStr">
        <is>
          <t>Line losses — distribution LLF x transmission TLM gross-up on the energy purchase</t>
        </is>
      </c>
      <c r="F1562" s="77" t="inlineStr">
        <is>
          <t>1 Commodity</t>
        </is>
      </c>
      <c r="G1562" s="77" t="inlineStr">
        <is>
          <t>wholesale market</t>
        </is>
      </c>
      <c r="H1562" s="77" t="inlineStr">
        <is>
          <t>i</t>
        </is>
      </c>
      <c r="I1562" s="77">
        <f>IF(ISNUMBER(N1562),N1562*fx_deflator!$I$19*fx_deflator!$M$19,"")</f>
        <v/>
      </c>
      <c r="J1562" s="77" t="inlineStr">
        <is>
          <t>Elexon BSC Section T (TLM); Northern Powergrid (Yorkshire) Annex 5 (LLF)</t>
        </is>
      </c>
      <c r="K1562" s="77" t="inlineStr">
        <is>
          <t>assumptions r78-80; timeseries r107-110</t>
        </is>
      </c>
      <c r="L1562" s="77" t="inlineStr">
        <is>
          <t>2026-07-24</t>
        </is>
      </c>
      <c r="M1562" s="77" t="inlineStr">
        <is>
          <t>Y</t>
        </is>
      </c>
      <c r="N1562" s="136">
        <f>IF(ISNUMBER(timeseries!R109),timeseries!R109,"")</f>
        <v/>
      </c>
      <c r="O1562" s="77" t="inlineStr">
        <is>
          <t>GBP/MWh nominal</t>
        </is>
      </c>
      <c r="P1562"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63">
      <c r="A1563" s="77" t="inlineStr">
        <is>
          <t>UK</t>
        </is>
      </c>
      <c r="B1563" s="77" t="n">
        <v>2024</v>
      </c>
      <c r="C1563" s="77" t="inlineStr">
        <is>
          <t>medium</t>
        </is>
      </c>
      <c r="D1563" s="77" t="inlineStr">
        <is>
          <t>E2</t>
        </is>
      </c>
      <c r="E1563" s="77" t="inlineStr">
        <is>
          <t>Line losses — distribution LLF x transmission TLM gross-up on the energy purchase</t>
        </is>
      </c>
      <c r="F1563" s="77" t="inlineStr">
        <is>
          <t>1 Commodity</t>
        </is>
      </c>
      <c r="G1563" s="77" t="inlineStr">
        <is>
          <t>wholesale market</t>
        </is>
      </c>
      <c r="H1563" s="77" t="inlineStr">
        <is>
          <t>i</t>
        </is>
      </c>
      <c r="I1563" s="77">
        <f>IF(ISNUMBER(N1563),N1563*fx_deflator!$I$19*fx_deflator!$M$19,"")</f>
        <v/>
      </c>
      <c r="J1563" s="77" t="inlineStr">
        <is>
          <t>Elexon BSC Section T (TLM); Northern Powergrid (Yorkshire) Annex 5 (LLF)</t>
        </is>
      </c>
      <c r="K1563" s="77" t="inlineStr">
        <is>
          <t>assumptions r78-80; timeseries r107-110</t>
        </is>
      </c>
      <c r="L1563" s="77" t="inlineStr">
        <is>
          <t>2026-07-24</t>
        </is>
      </c>
      <c r="M1563" s="77" t="inlineStr">
        <is>
          <t>Y</t>
        </is>
      </c>
      <c r="N1563" s="136">
        <f>IF(ISNUMBER(timeseries!R110),timeseries!R110,"")</f>
        <v/>
      </c>
      <c r="O1563" s="77" t="inlineStr">
        <is>
          <t>GBP/MWh nominal</t>
        </is>
      </c>
      <c r="P1563"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64">
      <c r="A1564" s="77" t="inlineStr">
        <is>
          <t>UK</t>
        </is>
      </c>
      <c r="B1564" s="77" t="n">
        <v>2025</v>
      </c>
      <c r="C1564" s="77" t="inlineStr">
        <is>
          <t>large</t>
        </is>
      </c>
      <c r="D1564" s="77" t="inlineStr">
        <is>
          <t>E1</t>
        </is>
      </c>
      <c r="E1564" s="77" t="inlineStr">
        <is>
          <t>Line losses — distribution LLF x transmission TLM gross-up on the energy purchase</t>
        </is>
      </c>
      <c r="F1564" s="77" t="inlineStr">
        <is>
          <t>1 Commodity</t>
        </is>
      </c>
      <c r="G1564" s="77" t="inlineStr">
        <is>
          <t>wholesale market</t>
        </is>
      </c>
      <c r="H1564" s="77" t="inlineStr">
        <is>
          <t>i</t>
        </is>
      </c>
      <c r="I1564" s="77">
        <f>IF(ISNUMBER(N1564),N1564*fx_deflator!$I$20*fx_deflator!$M$20,"")</f>
        <v/>
      </c>
      <c r="J1564" s="77" t="inlineStr">
        <is>
          <t>Elexon BSC Section T (TLM); Northern Powergrid (Yorkshire) Annex 5 (LLF)</t>
        </is>
      </c>
      <c r="K1564" s="77" t="inlineStr">
        <is>
          <t>assumptions r78-80; timeseries r107-110</t>
        </is>
      </c>
      <c r="L1564" s="77" t="inlineStr">
        <is>
          <t>2026-07-24</t>
        </is>
      </c>
      <c r="M1564" s="77" t="inlineStr">
        <is>
          <t>Y</t>
        </is>
      </c>
      <c r="N1564" s="136">
        <f>IF(ISNUMBER(timeseries!S107),timeseries!S107,"")</f>
        <v/>
      </c>
      <c r="O1564" s="77" t="inlineStr">
        <is>
          <t>GBP/MWh nominal</t>
        </is>
      </c>
      <c r="P1564"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65">
      <c r="A1565" s="77" t="inlineStr">
        <is>
          <t>UK</t>
        </is>
      </c>
      <c r="B1565" s="77" t="n">
        <v>2025</v>
      </c>
      <c r="C1565" s="77" t="inlineStr">
        <is>
          <t>large</t>
        </is>
      </c>
      <c r="D1565" s="77" t="inlineStr">
        <is>
          <t>E2</t>
        </is>
      </c>
      <c r="E1565" s="77" t="inlineStr">
        <is>
          <t>Line losses — distribution LLF x transmission TLM gross-up on the energy purchase</t>
        </is>
      </c>
      <c r="F1565" s="77" t="inlineStr">
        <is>
          <t>1 Commodity</t>
        </is>
      </c>
      <c r="G1565" s="77" t="inlineStr">
        <is>
          <t>wholesale market</t>
        </is>
      </c>
      <c r="H1565" s="77" t="inlineStr">
        <is>
          <t>i</t>
        </is>
      </c>
      <c r="I1565" s="77">
        <f>IF(ISNUMBER(N1565),N1565*fx_deflator!$I$20*fx_deflator!$M$20,"")</f>
        <v/>
      </c>
      <c r="J1565" s="77" t="inlineStr">
        <is>
          <t>Elexon BSC Section T (TLM); Northern Powergrid (Yorkshire) Annex 5 (LLF)</t>
        </is>
      </c>
      <c r="K1565" s="77" t="inlineStr">
        <is>
          <t>assumptions r78-80; timeseries r107-110</t>
        </is>
      </c>
      <c r="L1565" s="77" t="inlineStr">
        <is>
          <t>2026-07-24</t>
        </is>
      </c>
      <c r="M1565" s="77" t="inlineStr">
        <is>
          <t>Y</t>
        </is>
      </c>
      <c r="N1565" s="136">
        <f>IF(ISNUMBER(timeseries!S108),timeseries!S108,"")</f>
        <v/>
      </c>
      <c r="O1565" s="77" t="inlineStr">
        <is>
          <t>GBP/MWh nominal</t>
        </is>
      </c>
      <c r="P1565"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66">
      <c r="A1566" s="77" t="inlineStr">
        <is>
          <t>UK</t>
        </is>
      </c>
      <c r="B1566" s="77" t="n">
        <v>2025</v>
      </c>
      <c r="C1566" s="77" t="inlineStr">
        <is>
          <t>medium</t>
        </is>
      </c>
      <c r="D1566" s="77" t="inlineStr">
        <is>
          <t>E1</t>
        </is>
      </c>
      <c r="E1566" s="77" t="inlineStr">
        <is>
          <t>Line losses — distribution LLF x transmission TLM gross-up on the energy purchase</t>
        </is>
      </c>
      <c r="F1566" s="77" t="inlineStr">
        <is>
          <t>1 Commodity</t>
        </is>
      </c>
      <c r="G1566" s="77" t="inlineStr">
        <is>
          <t>wholesale market</t>
        </is>
      </c>
      <c r="H1566" s="77" t="inlineStr">
        <is>
          <t>i</t>
        </is>
      </c>
      <c r="I1566" s="77">
        <f>IF(ISNUMBER(N1566),N1566*fx_deflator!$I$20*fx_deflator!$M$20,"")</f>
        <v/>
      </c>
      <c r="J1566" s="77" t="inlineStr">
        <is>
          <t>Elexon BSC Section T (TLM); Northern Powergrid (Yorkshire) Annex 5 (LLF)</t>
        </is>
      </c>
      <c r="K1566" s="77" t="inlineStr">
        <is>
          <t>assumptions r78-80; timeseries r107-110</t>
        </is>
      </c>
      <c r="L1566" s="77" t="inlineStr">
        <is>
          <t>2026-07-24</t>
        </is>
      </c>
      <c r="M1566" s="77" t="inlineStr">
        <is>
          <t>Y</t>
        </is>
      </c>
      <c r="N1566" s="136">
        <f>IF(ISNUMBER(timeseries!S109),timeseries!S109,"")</f>
        <v/>
      </c>
      <c r="O1566" s="77" t="inlineStr">
        <is>
          <t>GBP/MWh nominal</t>
        </is>
      </c>
      <c r="P1566"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row r="1567">
      <c r="A1567" s="77" t="inlineStr">
        <is>
          <t>UK</t>
        </is>
      </c>
      <c r="B1567" s="77" t="n">
        <v>2025</v>
      </c>
      <c r="C1567" s="77" t="inlineStr">
        <is>
          <t>medium</t>
        </is>
      </c>
      <c r="D1567" s="77" t="inlineStr">
        <is>
          <t>E2</t>
        </is>
      </c>
      <c r="E1567" s="77" t="inlineStr">
        <is>
          <t>Line losses — distribution LLF x transmission TLM gross-up on the energy purchase</t>
        </is>
      </c>
      <c r="F1567" s="77" t="inlineStr">
        <is>
          <t>1 Commodity</t>
        </is>
      </c>
      <c r="G1567" s="77" t="inlineStr">
        <is>
          <t>wholesale market</t>
        </is>
      </c>
      <c r="H1567" s="77" t="inlineStr">
        <is>
          <t>i</t>
        </is>
      </c>
      <c r="I1567" s="77">
        <f>IF(ISNUMBER(N1567),N1567*fx_deflator!$I$20*fx_deflator!$M$20,"")</f>
        <v/>
      </c>
      <c r="J1567" s="77" t="inlineStr">
        <is>
          <t>Elexon BSC Section T (TLM); Northern Powergrid (Yorkshire) Annex 5 (LLF)</t>
        </is>
      </c>
      <c r="K1567" s="77" t="inlineStr">
        <is>
          <t>assumptions r78-80; timeseries r107-110</t>
        </is>
      </c>
      <c r="L1567" s="77" t="inlineStr">
        <is>
          <t>2026-07-24</t>
        </is>
      </c>
      <c r="M1567" s="77" t="inlineStr">
        <is>
          <t>Y</t>
        </is>
      </c>
      <c r="N1567" s="136">
        <f>IF(ISNUMBER(timeseries!S110),timeseries!S110,"")</f>
        <v/>
      </c>
      <c r="O1567" s="77" t="inlineStr">
        <is>
          <t>GBP/MWh nominal</t>
        </is>
      </c>
      <c r="P1567" s="77" t="inlineStr">
        <is>
          <t>ADDED 2026-07-24 (Q92): losses were absent from the UK build entirely. Applied to wholesale + BSUoS + CfD + CM (all carry TLM); RO, FiT, DUoS and TNUoS are charged on metered volume and are correctly excluded. Germany needs no equivalent — Verlustenergie is procured by the network operator under EnWG §22 and recovered inside the Netzentgelt under StromNEV §10, so it is already in the published tariff.</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2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77" min="1" max="1"/>
    <col width="46" customWidth="1" style="77" min="2" max="2"/>
    <col width="10" customWidth="1" style="77" min="3" max="3"/>
    <col width="78" customWidth="1" style="77" min="4" max="4"/>
    <col width="14" customWidth="1" style="77" min="5" max="5"/>
    <col width="40" customWidth="1" style="77" min="6" max="6"/>
  </cols>
  <sheetData>
    <row r="1" ht="15.75" customHeight="1" s="78">
      <c r="A1" s="93" t="inlineStr">
        <is>
          <t>SOURCES — every source with tier and retrieval date</t>
        </is>
      </c>
    </row>
    <row r="3" ht="15" customHeight="1" s="78">
      <c r="A3" s="97" t="inlineStr">
        <is>
          <t>ID</t>
        </is>
      </c>
      <c r="B3" s="97" t="inlineStr">
        <is>
          <t>Source</t>
        </is>
      </c>
      <c r="C3" s="97" t="inlineStr">
        <is>
          <t>Tier</t>
        </is>
      </c>
      <c r="D3" s="97" t="inlineStr">
        <is>
          <t>URL</t>
        </is>
      </c>
      <c r="E3" s="97" t="inlineStr">
        <is>
          <t>Retrieved</t>
        </is>
      </c>
      <c r="F3" s="97" t="inlineStr">
        <is>
          <t>Used for</t>
        </is>
      </c>
    </row>
    <row r="4" ht="32.25" customHeight="1" s="78">
      <c r="A4" s="98" t="inlineStr">
        <is>
          <t>S1</t>
        </is>
      </c>
      <c r="B4" s="101" t="inlineStr">
        <is>
          <t>NESO, Final TNUoS Tariffs 2025/26 v1.0, Jan 2025 (report + tables wb)</t>
        </is>
      </c>
      <c r="C4" s="98" t="n">
        <v>1</v>
      </c>
      <c r="D4" s="100" t="inlineStr">
        <is>
          <t>https://www.neso.energy/document/353086/download ; tables https://www.neso.energy/document/353061/download</t>
        </is>
      </c>
      <c r="E4" s="98" t="inlineStr">
        <is>
          <t>2026-07-14</t>
        </is>
      </c>
      <c r="F4" s="100" t="inlineStr">
        <is>
          <t>Zone 5, zero floor, T-Demand4 £12,796.715359/site/day, thresholds, App. H map (GN2)</t>
        </is>
      </c>
    </row>
    <row r="5" ht="23.25" customHeight="1" s="78">
      <c r="A5" s="98" t="inlineStr">
        <is>
          <t>S2</t>
        </is>
      </c>
      <c r="B5" s="101" t="inlineStr">
        <is>
          <t>NESO, Final TNUoS Tariffs 2026/27 v1.0, Jan 2026 (report + tables wb)</t>
        </is>
      </c>
      <c r="C5" s="98" t="n">
        <v>1</v>
      </c>
      <c r="D5" s="100" t="inlineStr">
        <is>
          <t>https://www.neso.energy/document/376336/download ; tables https://www.neso.energy/document/376341/download</t>
        </is>
      </c>
      <c r="E5" s="98" t="inlineStr">
        <is>
          <t>2026-07-14</t>
        </is>
      </c>
      <c r="F5" s="100" t="inlineStr">
        <is>
          <t>2026/27 T-Demand4 £20,829.236682/site/day; re-set thresholds (&gt;163,880 MWh)</t>
        </is>
      </c>
    </row>
    <row r="6" ht="23.25" customHeight="1" s="78">
      <c r="A6" s="98" t="inlineStr">
        <is>
          <t>S3</t>
        </is>
      </c>
      <c r="B6" s="101" t="inlineStr">
        <is>
          <t>NESO, Transmission Connected Sites Residual Charging Bands (23.05.2025)</t>
        </is>
      </c>
      <c r="C6" s="98" t="n">
        <v>1</v>
      </c>
      <c r="D6" s="100" t="inlineStr">
        <is>
          <t>https://www.neso.energy/document/361646/download</t>
        </is>
      </c>
      <c r="E6" s="98" t="inlineStr">
        <is>
          <t>2026-07-14</t>
        </is>
      </c>
      <c r="F6" s="100" t="inlineStr">
        <is>
          <t>Per-site band allocations TRN1–TRN4</t>
        </is>
      </c>
    </row>
    <row r="7" ht="23.25" customHeight="1" s="78">
      <c r="A7" s="98" t="inlineStr">
        <is>
          <t>S4</t>
        </is>
      </c>
      <c r="B7" s="101" t="inlineStr">
        <is>
          <t>DESNZ, QEP tables 3.4.1/3.4.2 (table_341.xlsx, pub. 30.06.2026)</t>
        </is>
      </c>
      <c r="C7" s="98" t="n">
        <v>1</v>
      </c>
      <c r="D7" s="100" t="inlineStr">
        <is>
          <t>https://assets.publishing.service.gov.uk/media/6942bd3536f089d38be1f246/table_341.xlsx</t>
        </is>
      </c>
      <c r="E7" s="98" t="inlineStr">
        <is>
          <t>2026-07-14</t>
        </is>
      </c>
      <c r="F7" s="100" t="inlineStr">
        <is>
          <t>GN1: Extra Large 2024 = 21.697864840 p/kWh excl CCL; 22.146381945 incl CCL</t>
        </is>
      </c>
    </row>
    <row r="8" ht="32.25" customHeight="1" s="78">
      <c r="A8" s="98" t="inlineStr">
        <is>
          <t>S5</t>
        </is>
      </c>
      <c r="B8" s="101" t="inlineStr">
        <is>
          <t>DBT, NCC uplift consultation response (upd. 31.10.2025)</t>
        </is>
      </c>
      <c r="C8" s="98" t="n">
        <v>1</v>
      </c>
      <c r="D8" s="100" t="inlineStr">
        <is>
          <t>https://www.gov.uk/government/consultations/network-charging-compensation-scheme-uplift-for-energy-intensive-industries/outcome/proposed-uplift-to-the-network-charging-compensation-scheme-for-energy-intensive-industries-eiis-government-consultation-response</t>
        </is>
      </c>
      <c r="E8" s="98" t="inlineStr">
        <is>
          <t>2026-07-14</t>
        </is>
      </c>
      <c r="F8" s="100" t="inlineStr">
        <is>
          <t>BIS: 100% CfD/RO/FiT (04/2024), 100% CM (10/2024), NCC 60%→90% from 01.04.2026; ESL recovery</t>
        </is>
      </c>
    </row>
    <row r="9" ht="23.25" customHeight="1" s="78">
      <c r="A9" s="98" t="inlineStr">
        <is>
          <t>S6</t>
        </is>
      </c>
      <c r="B9" s="101" t="inlineStr">
        <is>
          <t>UK legislation: SI 2024/409; SI 2026/243; Electricity Act 1989 ss.4, 64</t>
        </is>
      </c>
      <c r="C9" s="98" t="n">
        <v>1</v>
      </c>
      <c r="D9" s="100" t="inlineStr">
        <is>
          <t>https://www.legislation.gov.uk/</t>
        </is>
      </c>
      <c r="E9" s="98" t="inlineStr">
        <is>
          <t>2026-07-14</t>
        </is>
      </c>
      <c r="F9" s="100" t="inlineStr">
        <is>
          <t>EII regs; 132kV transmission/distribution split</t>
        </is>
      </c>
    </row>
    <row r="10" ht="23.25" customHeight="1" s="78">
      <c r="A10" s="98" t="inlineStr">
        <is>
          <t>S7</t>
        </is>
      </c>
      <c r="B10" s="101" t="inlineStr">
        <is>
          <t>National Grid, Grimsby-Walpole 'Need for project'; Northern Powergrid about-us</t>
        </is>
      </c>
      <c r="C10" s="98" t="n">
        <v>1</v>
      </c>
      <c r="D10" s="100" t="inlineStr">
        <is>
          <t>https://www.nationalgrid.com/electricity-transmission/network-and-infrastructure/infrastructure-projects/grimsby-to-walpole/need-for-project ; https://www.northernpowergrid.com/about-us</t>
        </is>
      </c>
      <c r="E10" s="98" t="inlineStr">
        <is>
          <t>2026-07-14</t>
        </is>
      </c>
      <c r="F10" s="100" t="inlineStr">
        <is>
          <t>DNO attribution: both Humber banks = Northern Powergrid</t>
        </is>
      </c>
    </row>
    <row r="11" ht="23.25" customHeight="1" s="78">
      <c r="A11" s="98" t="inlineStr">
        <is>
          <t>S8</t>
        </is>
      </c>
      <c r="B11" s="101" t="inlineStr">
        <is>
          <t>StromNEV consolidated text (gesetze-im-internet.de): §3, §14a–d, §19</t>
        </is>
      </c>
      <c r="C11" s="98" t="n">
        <v>1</v>
      </c>
      <c r="D11" s="100" t="inlineStr">
        <is>
          <t>https://www.gesetze-im-internet.de/stromnev/</t>
        </is>
      </c>
      <c r="E11" s="98" t="inlineStr">
        <is>
          <t>2026-07-14</t>
        </is>
      </c>
      <c r="F11" s="100" t="inlineStr">
        <is>
          <t>Harmonised ÜNB charges since 01.01.2023; §19(2) floors 20/15/10% verbatim</t>
        </is>
      </c>
    </row>
    <row r="12" ht="32.25" customHeight="1" s="78">
      <c r="A12" s="98" t="inlineStr">
        <is>
          <t>S9</t>
        </is>
      </c>
      <c r="B12" s="101" t="inlineStr">
        <is>
          <t>BNetzA GBK, AgNes Orientierungspunkte Industrienetzentgelte, 22.04.2026 (GBK-25-01-1#3)</t>
        </is>
      </c>
      <c r="C12" s="98" t="n">
        <v>1</v>
      </c>
      <c r="D12" s="100" t="inlineStr">
        <is>
          <t>https://www.bundesnetzagentur.de/DE/Beschlusskammern/1_GZ/GBK-GZ/2025/GBK-25-01-1x3_AgNes/Downloads/Orientierungspunkte_Industr_NetzE.pdf</t>
        </is>
      </c>
      <c r="E12" s="98" t="inlineStr">
        <is>
          <t>2026-07-14</t>
        </is>
      </c>
      <c r="F12" s="100" t="inlineStr">
        <is>
          <t>§19 reform path (StromNEV expiry end-2028; Bandlast transition to 2031); 555 sites; 68 HS sites avg rebate ≈76% (€242m of €317.36m)</t>
        </is>
      </c>
    </row>
    <row r="13" ht="23.25" customHeight="1" s="78">
      <c r="A13" s="98" t="inlineStr">
        <is>
          <t>S10</t>
        </is>
      </c>
      <c r="B13" s="101" t="inlineStr">
        <is>
          <t>§24c EnWG; Bundesregierung 'Niedrigere Stromkosten' 22.12.2025</t>
        </is>
      </c>
      <c r="C13" s="98" t="n">
        <v>1</v>
      </c>
      <c r="D13" s="100" t="inlineStr">
        <is>
          <t>https://www.gesetze-im-internet.de/enwg_2005/__24c.html ; https://www.bundesregierung.de/breg-de/aktuelles/niedrigere-netzentgelte-2382396</t>
        </is>
      </c>
      <c r="E13" s="98" t="inlineStr">
        <is>
          <t>2026-07-14</t>
        </is>
      </c>
      <c r="F13" s="100" t="inlineStr">
        <is>
          <t>€6.5bn 2026 transmission subsidy (KTF), 10× €650m instalments, 2026 only</t>
        </is>
      </c>
    </row>
    <row r="14" ht="42.75" customHeight="1" s="78">
      <c r="A14" s="98" t="inlineStr">
        <is>
          <t>S11</t>
        </is>
      </c>
      <c r="B14" s="101" t="inlineStr">
        <is>
          <t>netztransparenz.de: Aufschlag besondere Netznutzung 2025/2026 + Datenbasis; KWKG-, Offshore-Umlage 2025/2026; ÜNB-Preisblatt 2026 (05.12.2025)</t>
        </is>
      </c>
      <c r="C14" s="98" t="n">
        <v>1</v>
      </c>
      <c r="D14" s="100" t="inlineStr">
        <is>
          <t>https://www.netztransparenz.de/</t>
        </is>
      </c>
      <c r="E14" s="98" t="inlineStr">
        <is>
          <t>2026-07-14</t>
        </is>
      </c>
      <c r="F14" s="100" t="inlineStr">
        <is>
          <t>Levy values (A' 1.558/1.559; B' 0.050; C' 0.025 ct/kWh); §19 foregone revenue by limb (2026: atypical €379.48m; Bandlast €905.10m); NO privileged volumes published</t>
        </is>
      </c>
    </row>
    <row r="15" ht="42.75" customHeight="1" s="78">
      <c r="A15" s="98" t="inlineStr">
        <is>
          <t>S12</t>
        </is>
      </c>
      <c r="B15" s="101" t="inlineStr">
        <is>
          <t>StromStG §3, §9b (as amended by BGBl. 2025 I Nr. 340); KAV §2</t>
        </is>
      </c>
      <c r="C15" s="98" t="n">
        <v>1</v>
      </c>
      <c r="D15" s="100" t="inlineStr">
        <is>
          <t>https://www.gesetze-im-internet.de/stromstg/ ; https://www.gesetze-im-internet.de/kav/</t>
        </is>
      </c>
      <c r="E15" s="98" t="inlineStr">
        <is>
          <t>2026-07-14</t>
        </is>
      </c>
      <c r="F15" s="100" t="inlineStr">
        <is>
          <t>Stromsteuer 20.50 €/MWh, manufacturing relief 20 €/MWh → effective 0.50 (permanent from 2026); Konzessionsabgabe max 0.11 ct/kWh, Grenzpreis rule</t>
        </is>
      </c>
    </row>
    <row r="16" ht="21.75" customHeight="1" s="78">
      <c r="A16" s="98" t="inlineStr">
        <is>
          <t>S13</t>
        </is>
      </c>
      <c r="B16" s="101" t="inlineStr">
        <is>
          <t>BDEW-Strompreisanalyse April 2026 (15.04.2026)</t>
        </is>
      </c>
      <c r="C16" s="98" t="n">
        <v>1</v>
      </c>
      <c r="D16" s="100" t="inlineStr">
        <is>
          <t>https://www.bdew.de/media/documents/BDEW_Strompreisanalyse_042026.pdf</t>
        </is>
      </c>
      <c r="E16" s="98" t="inlineStr">
        <is>
          <t>2026-07-14</t>
        </is>
      </c>
      <c r="F16" s="100" t="inlineStr">
        <is>
          <t>GN3: 2025 = 17.6 ct/kWh; 2026 = 16.7; Musterkunde definition Folie 2; Eurostat-band figures Folie 16</t>
        </is>
      </c>
    </row>
    <row r="17" ht="23.25" customHeight="1" s="78">
      <c r="A17" s="98" t="inlineStr">
        <is>
          <t>S14</t>
        </is>
      </c>
      <c r="B17" s="101" t="inlineStr">
        <is>
          <t>Eurostat nrg_pc_205 (dissemination API; update 2026-05-19)</t>
        </is>
      </c>
      <c r="C17" s="98" t="n">
        <v>1</v>
      </c>
      <c r="D17" s="100" t="inlineStr">
        <is>
          <t>https://ec.europa.eu/eurostat/api/dissemination/statistics/1.0/data/nrg_pc_205</t>
        </is>
      </c>
      <c r="E17" s="98" t="inlineStr">
        <is>
          <t>2026-07-14</t>
        </is>
      </c>
      <c r="F17" s="100" t="inlineStr">
        <is>
          <t>GN4: DE band IF 2024 X_VAT 0.1394/0.1430 EUR/kWh (X_TAX 0.1276/0.1313)</t>
        </is>
      </c>
    </row>
    <row r="18" ht="36.75" customHeight="1" s="78">
      <c r="A18" s="98" t="inlineStr">
        <is>
          <t>S15</t>
        </is>
      </c>
      <c r="B18" s="101" t="inlineStr">
        <is>
          <t>NDRC 发改价格〔2023〕526号 + annex 省级电网输配电价表</t>
        </is>
      </c>
      <c r="C18" s="98" t="n">
        <v>1</v>
      </c>
      <c r="D18" s="100" t="inlineStr">
        <is>
          <t>https://www.ndrc.gov.cn/xxgk/zcfb/tz/202305/t20230515_1355747.html ; annex https://www.ndrc.gov.cn/xxgk/zcfb/tz/202305/P020230515609052875117.pdf</t>
        </is>
      </c>
      <c r="E18" s="98" t="inlineStr">
        <is>
          <t>2026-07-14</t>
        </is>
      </c>
      <c r="F18" s="100" t="inlineStr">
        <is>
          <t>GN5: Jiangsu 220kV 两部制 0.0597 元/kWh; 需量 41.6 元/kW·月; 容量 26.0 元/kVA·月; line-loss rate 3.18%</t>
        </is>
      </c>
    </row>
    <row r="19" ht="36.75" customHeight="1" s="78">
      <c r="A19" s="98" t="inlineStr">
        <is>
          <t>S16</t>
        </is>
      </c>
      <c r="B19" s="101" t="inlineStr">
        <is>
          <t>SGCC Jiangsu, 2026年3月代理购电工商业用户电价公告 (附件6)</t>
        </is>
      </c>
      <c r="C19" s="98" t="n">
        <v>1</v>
      </c>
      <c r="D19" s="100" t="inlineStr">
        <is>
          <t>http://www.js.sgcc.com.cn/images/xxgk/gwczgdgs/djhsfbz/2026/02/26/1476497683668692992.pdf</t>
        </is>
      </c>
      <c r="E19" s="98" t="inlineStr">
        <is>
          <t>2026-07-14</t>
        </is>
      </c>
      <c r="F19" s="100" t="inlineStr">
        <is>
          <t>Cross-check GN5 still applied 03/2026; 1.5× 高耗能 penalty verbatim; 煤电容量电费 0.0350 元/kWh pass-through</t>
        </is>
      </c>
    </row>
    <row r="20" ht="29.25" customHeight="1" s="78">
      <c r="A20" s="98" t="inlineStr">
        <is>
          <t>S17</t>
        </is>
      </c>
      <c r="B20" s="101" t="inlineStr">
        <is>
          <t>NDRC 发改价格〔2025〕136号 (新能源上网电价市场化改革)</t>
        </is>
      </c>
      <c r="C20" s="98" t="n">
        <v>1</v>
      </c>
      <c r="D20" s="100" t="inlineStr">
        <is>
          <t>https://www.ndrc.gov.cn/xxgk/zcfb/tz/202502/t20250209_1396066.html</t>
        </is>
      </c>
      <c r="E20" s="98" t="inlineStr">
        <is>
          <t>2026-07-14</t>
        </is>
      </c>
      <c r="F20" s="100" t="inlineStr">
        <is>
          <t>2026 structural break; 存量/增量 cutoff 01.06.2025</t>
        </is>
      </c>
    </row>
    <row r="21" ht="29.25" customHeight="1" s="78">
      <c r="A21" s="98" t="inlineStr">
        <is>
          <t>S18</t>
        </is>
      </c>
      <c r="B21" s="101" t="inlineStr">
        <is>
          <t>NDRC 发改价格〔2023〕1501号 (煤电容量电价) + 发改价格〔2026〕114号</t>
        </is>
      </c>
      <c r="C21" s="98" t="n">
        <v>1</v>
      </c>
      <c r="D21" s="100" t="inlineStr">
        <is>
          <t>https://www.ndrc.gov.cn/xxgk/zcfb/tz/202311/t20231110_1361897.html ; https://www.ndrc.gov.cn/xxgk/zcfb/tz/202601/t20260130_1403524.html</t>
        </is>
      </c>
      <c r="E21" s="98" t="inlineStr">
        <is>
          <t>2026-07-14</t>
        </is>
      </c>
      <c r="F21" s="122" t="inlineStr">
        <is>
          <t>容量电价 330 元/kW·yr benchmark; recovery ≥50% from 2026</t>
        </is>
      </c>
    </row>
    <row r="22" ht="48.75" customHeight="1" s="78">
      <c r="A22" s="98" t="inlineStr">
        <is>
          <t>S19</t>
        </is>
      </c>
      <c r="B22" s="101" t="inlineStr">
        <is>
          <t>Provincial 2024 consumption sources (7): GD bulletin PDF; SD stats bureau; NEA Henan; jiangsu.gov.cn (SGCC CSR); 新华网/国网浙江; 内蒙古太阳能行业协会; Sichuan Energy Bureau director article</t>
        </is>
      </c>
      <c r="C22" s="98" t="inlineStr">
        <is>
          <t>1/2 mixed</t>
        </is>
      </c>
      <c r="D22" s="100" t="inlineStr">
        <is>
          <t>see assumptions tab C-section notes</t>
        </is>
      </c>
      <c r="E22" s="98" t="inlineStr">
        <is>
          <t>2026-07-14</t>
        </is>
      </c>
      <c r="F22" s="100" t="inlineStr">
        <is>
          <t>Basket weights — category flags per province in assumptions tab</t>
        </is>
      </c>
    </row>
    <row r="23" ht="23.25" customHeight="1" s="78">
      <c r="A23" s="98" t="inlineStr">
        <is>
          <t>S20</t>
        </is>
      </c>
      <c r="B23" s="101" t="inlineStr">
        <is>
          <t>FRED/Fed H.10-G.5A (DEXUSUK, DEXUSEU, DEXCHUS); G.5A release 05.01.2026</t>
        </is>
      </c>
      <c r="C23" s="98" t="n">
        <v>1</v>
      </c>
      <c r="D23" s="100" t="inlineStr">
        <is>
          <t>https://www.federalreserve.gov/releases/g5a/current/ ; https://fred.stlouisfed.org/</t>
        </is>
      </c>
      <c r="E23" s="98" t="inlineStr">
        <is>
          <t>2026-07-14</t>
        </is>
      </c>
      <c r="F23" s="100" t="inlineStr">
        <is>
          <t>FX annual averages 2020–2025</t>
        </is>
      </c>
    </row>
    <row r="24" ht="21.75" customHeight="1" s="78">
      <c r="A24" s="98" t="inlineStr">
        <is>
          <t>S21</t>
        </is>
      </c>
      <c r="B24" s="101" t="inlineStr">
        <is>
          <t>BLS Public Data API v2, CUUR0000SA0 M13</t>
        </is>
      </c>
      <c r="C24" s="98" t="n">
        <v>1</v>
      </c>
      <c r="D24" s="100" t="inlineStr">
        <is>
          <t>https://api.bls.gov/publicAPI/v2/timeseries/data/</t>
        </is>
      </c>
      <c r="E24" s="98" t="inlineStr">
        <is>
          <t>2026-07-14</t>
        </is>
      </c>
      <c r="F24" s="100" t="inlineStr">
        <is>
          <t>CPI-U annual averages 2020–2025 (2025 = 321.943, final)</t>
        </is>
      </c>
    </row>
    <row r="25" ht="26.25" customHeight="1" s="78">
      <c r="A25" s="98" t="inlineStr">
        <is>
          <t>S22</t>
        </is>
      </c>
      <c r="B25" s="101" t="inlineStr">
        <is>
          <t>NDRC 发改价格规〔2025〕1490号 (4th-period pricing methods, 27.11.2025)</t>
        </is>
      </c>
      <c r="C25" s="98" t="n">
        <v>1</v>
      </c>
      <c r="D25" s="100" t="inlineStr">
        <is>
          <t>https://www.ndrc.gov.cn/xxgk/zcfb/ghxwj/202511/t20251127_1401964.html</t>
        </is>
      </c>
      <c r="E25" s="98" t="inlineStr">
        <is>
          <t>2026-07-14</t>
        </is>
      </c>
      <c r="F25" s="100" t="inlineStr">
        <is>
          <t>4th regulatory period preparation — context for qc item Q1</t>
        </is>
      </c>
    </row>
    <row r="26" ht="32.25" customHeight="1" s="78">
      <c r="A26" s="121" t="inlineStr">
        <is>
          <t>S23</t>
        </is>
      </c>
      <c r="B26" s="139" t="inlineStr">
        <is>
          <t>163.com/预见能源 report on 发改价格〔2026〕1077号 (4th-period T&amp;D prices, reported 10.07.2026)</t>
        </is>
      </c>
      <c r="C26" s="121" t="n">
        <v>3</v>
      </c>
      <c r="D26" s="140" t="inlineStr">
        <is>
          <t>https://www.163.com/dy/article/L1NFPL6D05118O92.html</t>
        </is>
      </c>
      <c r="E26" s="121" t="inlineStr">
        <is>
          <t>2026-07-14</t>
        </is>
      </c>
      <c r="F26" s="140" t="inlineStr">
        <is>
          <t>TIER 3 — locator only. NO figure enters any chart/table from this source. Third period retained per decision D13.</t>
        </is>
      </c>
    </row>
    <row r="27" ht="39" customHeight="1" s="78">
      <c r="A27" s="98" t="inlineStr">
        <is>
          <t>S24</t>
        </is>
      </c>
      <c r="B27" s="141" t="inlineStr">
        <is>
          <t>广东统计年鉴2025, 表7-6 分行业能源消费总量和原煤、电力消费量 (2024年)</t>
        </is>
      </c>
      <c r="C27" s="98" t="n">
        <v>1</v>
      </c>
      <c r="D27" s="100" t="inlineStr">
        <is>
          <t>http://stats.gd.gov.cn/gdtjnj/content/post_4810393.html (ZIP: .../615394/4810393.zip)</t>
        </is>
      </c>
      <c r="E27" s="98" t="inlineStr">
        <is>
          <t>2026-07-14</t>
        </is>
      </c>
      <c r="F27" s="100" t="inlineStr">
        <is>
          <t>GD 2024: 消费总量 9121.03; 工业合计 5217.39; 建筑业 102.68 (NBS energy classification). Confirms no 第二产业 aggregate published.</t>
        </is>
      </c>
    </row>
    <row r="28" ht="40.5" customHeight="1" s="78">
      <c r="A28" s="98" t="inlineStr">
        <is>
          <t>S25</t>
        </is>
      </c>
      <c r="B28" s="141" t="inlineStr">
        <is>
          <t>国网浙江省电力 via 新华网浙江 (2025-01-20); NEA Henan 12月通报 表2; Shandong stats bureau note (2025-01-22)</t>
        </is>
      </c>
      <c r="C28" s="98" t="n">
        <v>1</v>
      </c>
      <c r="D28" s="100" t="inlineStr">
        <is>
          <t>http://zj.news.cn/20250120/eafe98e109de4e9f9f6d5af0ccafb248/c.html ; https://henb.nea.gov.cn/dtyw/sjfd/202501/t20250120_275548.html ; http://tjj.shandong.gov.cn/art/2025/1/22/art_6227_10316253.html</t>
        </is>
      </c>
      <c r="E28" s="98" t="inlineStr">
        <is>
          <t>2026-07-14</t>
        </is>
      </c>
      <c r="F28" s="100" t="inlineStr">
        <is>
          <t>Set C 第二产业 2024: ZJ 4515.5; HN 2330.71 (row sum check ✓); SD 6071.1</t>
        </is>
      </c>
    </row>
    <row r="29" ht="34.5" customHeight="1" s="78">
      <c r="A29" s="98" t="inlineStr">
        <is>
          <t>S26</t>
        </is>
      </c>
      <c r="B29" s="141" t="inlineStr">
        <is>
          <t>川投能源 2024年年度报告摘要 via 上海证券报 (2025-04-12)</t>
        </is>
      </c>
      <c r="C29" s="98" t="n">
        <v>2</v>
      </c>
      <c r="D29" s="100" t="inlineStr">
        <is>
          <t>https://paper.cnstock.com/html/2025-04/12/content_2048342.htm</t>
        </is>
      </c>
      <c r="E29" s="98" t="inlineStr">
        <is>
          <t>2026-07-14</t>
        </is>
      </c>
      <c r="F29" s="100" t="inlineStr">
        <is>
          <t>SC 2024 全社会用电量 3999.69 亿千瓦时 (+7.77%) — Tier 2, corroborates official rounded 4000 (Sichuan Energy Bureau director article)</t>
        </is>
      </c>
    </row>
    <row r="30" ht="32.25" customHeight="1" s="78">
      <c r="A30" s="98" t="inlineStr">
        <is>
          <t>S27</t>
        </is>
      </c>
      <c r="B30" s="101" t="inlineStr">
        <is>
          <t>DESNZ, Electricity Generation Costs 2023 (Nov 2023) + Annex A 2023</t>
        </is>
      </c>
      <c r="C30" s="98" t="n">
        <v>1</v>
      </c>
      <c r="D30" s="100" t="inlineStr">
        <is>
          <t>https://www.gov.uk/government/publications/electricity-generation-costs-2023</t>
        </is>
      </c>
      <c r="E30" s="98" t="inlineStr">
        <is>
          <t>2026-07-14</t>
        </is>
      </c>
      <c r="F30" s="100" t="inlineStr">
        <is>
          <t>UK LCOE 2025 commissioning, real 2021 £ (Table 10 p.24; Annex A assumptions incl. hurdle rates 5.0–7.5%) — headline UK leg per decision D16</t>
        </is>
      </c>
    </row>
    <row r="31" ht="42.75" customHeight="1" s="78">
      <c r="A31" s="98" t="inlineStr">
        <is>
          <t>S28</t>
        </is>
      </c>
      <c r="B31" s="101" t="inlineStr">
        <is>
          <t>DESNZ, Electricity Generation Costs 2025 (14.01.2026, upd. 18.03.2026) + Annexes A/B; CEPA hurdle-rate study (06.10.2025)</t>
        </is>
      </c>
      <c r="C31" s="98" t="n">
        <v>1</v>
      </c>
      <c r="D31" s="100" t="inlineStr">
        <is>
          <t>https://www.gov.uk/government/publications/electricity-generation-costs-2025 ; https://assets.publishing.service.gov.uk/media/68cd1d818c44a661b4995d9f/cepa-desnz-hurdle-rates-electricity.pdf</t>
        </is>
      </c>
      <c r="E31" s="98" t="inlineStr">
        <is>
          <t>2026-07-14</t>
        </is>
      </c>
      <c r="F31" s="100" t="inlineStr">
        <is>
          <t>Newer edition: starts 2030 commissioning, real 2024 £; no coal, no nuclear (commercially sensitive); new carbon methodology — NOT headline (D16), cited as context</t>
        </is>
      </c>
    </row>
    <row r="32" ht="42.75" customHeight="1" s="78">
      <c r="A32" s="98" t="inlineStr">
        <is>
          <t>S29</t>
        </is>
      </c>
      <c r="B32" s="101" t="inlineStr">
        <is>
          <t>Fraunhofer ISE, Stromgestehungskosten Erneuerbare Energien, Juli 2024</t>
        </is>
      </c>
      <c r="C32" s="98" t="n">
        <v>1</v>
      </c>
      <c r="D32" s="100" t="inlineStr">
        <is>
          <t>https://www.ise.fraunhofer.de/content/dam/ise/de/documents/publications/studies/DE2024_ISE_Studie_Stromgestehungskosten_Erneuerbare_Energien.pdf</t>
        </is>
      </c>
      <c r="E32" s="98" t="inlineStr">
        <is>
          <t>2026-07-14</t>
        </is>
      </c>
      <c r="F32" s="100" t="inlineStr">
        <is>
          <t>DE LCOE bands, real 2024 EUR, all 7 techs incl. new-build coal &amp; nuclear (excl. back-end); tech-specific real WACC 3.2–7.8% (Tab. 2); no 2025/26 edition exists</t>
        </is>
      </c>
    </row>
    <row r="33" ht="42.75" customHeight="1" s="78">
      <c r="A33" s="98" t="inlineStr">
        <is>
          <t>S30</t>
        </is>
      </c>
      <c r="B33" s="101" t="inlineStr">
        <is>
          <t>IEA, World Energy Outlook 2025 (12.11.2025), Annex B Tables B.4a–c</t>
        </is>
      </c>
      <c r="C33" s="98" t="n">
        <v>1</v>
      </c>
      <c r="D33" s="100" t="inlineStr">
        <is>
          <t>https://iea.blob.core.windows.net/assets/9753df19-0a71-422a-b725-012c555763b3/WorldEnergyOutlook2025.pdf</t>
        </is>
      </c>
      <c r="E33" s="98" t="inlineStr">
        <is>
          <t>2026-07-14</t>
        </is>
      </c>
      <c r="F33" s="100" t="inlineStr">
        <is>
          <t>CN LCOE 2024 (2024 USD): coal 65 / CCGT 100 / nuclear 70 / PV 45 / onshore 40 / offshore 60; WACC 8–9% thermal-nuclear, 4–7% PV/onshore, 5–8% offshore (p.453–455)</t>
        </is>
      </c>
    </row>
    <row r="34" ht="42.75" customHeight="1" s="78">
      <c r="A34" s="98" t="inlineStr">
        <is>
          <t>S31</t>
        </is>
      </c>
      <c r="B34" s="101" t="inlineStr">
        <is>
          <t>IEA/NEA, Projected Costs of Generating Electricity 2020 (9th ed.; latest as of 2026-07-14)</t>
        </is>
      </c>
      <c r="C34" s="98" t="n">
        <v>1</v>
      </c>
      <c r="D34" s="100" t="inlineStr">
        <is>
          <t>https://www.oecd-nea.org/upload/docs/application/pdf/2020-12/egc-2020_2020-12-09_18-26-46_781.pdf</t>
        </is>
      </c>
      <c r="E34" s="98" t="inlineStr">
        <is>
          <t>2026-07-14</t>
        </is>
      </c>
      <c r="F34" s="100" t="inlineStr">
        <is>
          <t>Published harmonised @3/7/10% real, 2018 USD; CN full set (coal 74.66 / CCGT 84.00 / nuclear 66.01 @7%); DE hydro only; UK absent; CN data Secretariat-compiled</t>
        </is>
      </c>
    </row>
    <row r="35" ht="49.5" customHeight="1" s="78">
      <c r="A35" s="98" t="inlineStr">
        <is>
          <t>S32</t>
        </is>
      </c>
      <c r="B35" s="101" t="inlineStr">
        <is>
          <t>CREEI 水电水利规划设计总院, 中国可再生能源工程造价管理报告2024年度 (28.05.2025), via CPEM + 光伏們/Sina reproductions</t>
        </is>
      </c>
      <c r="C35" s="98" t="n">
        <v>1</v>
      </c>
      <c r="D35" s="100" t="inlineStr">
        <is>
          <t>http://www.cpem.org.cn/list68/108339.html ; https://finance.sina.com.cn/stock/relnews/cn/2025-05-28/doc-ineycrwx0433267.shtml</t>
        </is>
      </c>
      <c r="E35" s="98" t="inlineStr">
        <is>
          <t>2026-07-14</t>
        </is>
      </c>
      <c r="F35" s="100" t="inlineStr">
        <is>
          <t>CN renewables LCOE @5% 折现率: PV ~0.20 / onshore ~0.18 / offshore 0.25–0.33 元/kWh; capex 3450/4200/9680 元/kW. Primary PDF not retrievable — verified via 2 independent reproductions (qc Q13)</t>
        </is>
      </c>
    </row>
    <row r="36" ht="32.25" customHeight="1" s="78">
      <c r="A36" s="98" t="inlineStr">
        <is>
          <t>S33</t>
        </is>
      </c>
      <c r="B36" s="101" t="inlineStr">
        <is>
          <t>IRENA, Renewable Power Generation Costs in 2024 (Jul 2025)</t>
        </is>
      </c>
      <c r="C36" s="98" t="n">
        <v>1</v>
      </c>
      <c r="D36" s="100" t="inlineStr">
        <is>
          <t>https://www.irena.org/-/media/Files/IRENA/Agency/Publication/2025/Jul/IRENA_TEC_RPGC_in_2024_2025.pdf</t>
        </is>
      </c>
      <c r="E36" s="98" t="inlineStr">
        <is>
          <t>2026-07-14</t>
        </is>
      </c>
      <c r="F36" s="100" t="inlineStr">
        <is>
          <t>CN cross-check (2024 USD): PV $0.033 / onshore $0.029 / offshore $0.056 per kWh; offshore TIC $1,520/kW, CF 37%</t>
        </is>
      </c>
    </row>
    <row r="37" ht="42.75" customHeight="1" s="78">
      <c r="A37" s="98" t="inlineStr">
        <is>
          <t>S34</t>
        </is>
      </c>
      <c r="B37" s="101" t="inlineStr">
        <is>
          <t>BloombergNEF LCOE press releases (06.02.2025; 18.02.2026); RMI Decoding the Coal Power Transition in China (2025); Lazard LCOE+ 2025</t>
        </is>
      </c>
      <c r="C37" s="98" t="n">
        <v>2</v>
      </c>
      <c r="D37" s="100" t="inlineStr">
        <is>
          <t>https://about.bnef.com/ ; https://rmi.org/download/45924/</t>
        </is>
      </c>
      <c r="E37" s="98" t="inlineStr">
        <is>
          <t>2026-07-14</t>
        </is>
      </c>
      <c r="F37" s="100" t="inlineStr">
        <is>
          <t>Checked per user direction (D17): BNEF China absolutes paywalled (global benchmarks only); RMI has NO quantitative China LCOE; Lazard US-only. Context citations only — no figures enter charts</t>
        </is>
      </c>
    </row>
    <row r="38" ht="23.25" customHeight="1" s="78">
      <c r="A38" s="98" t="inlineStr">
        <is>
          <t>S35</t>
        </is>
      </c>
      <c r="B38" s="101" t="inlineStr">
        <is>
          <t>BLS CPI-U CUUR0000SA0 M13 annual averages 2010–2019</t>
        </is>
      </c>
      <c r="C38" s="98" t="n">
        <v>1</v>
      </c>
      <c r="D38" s="100" t="inlineStr">
        <is>
          <t>https://api.bls.gov/publicAPI/v2/timeseries/data/</t>
        </is>
      </c>
      <c r="E38" s="98" t="inlineStr">
        <is>
          <t>2026-07-14</t>
        </is>
      </c>
      <c r="F38" s="100" t="inlineStr">
        <is>
          <t>Deflators for older price bases (2018 USD EGC: CPI 251.107)</t>
        </is>
      </c>
    </row>
    <row r="39" ht="57.75" customHeight="1" s="78">
      <c r="A39" s="98" t="inlineStr">
        <is>
          <t>S36</t>
        </is>
      </c>
      <c r="B39" s="101" t="inlineStr">
        <is>
          <t>NDRC 发改价格〔2026〕1077号 (第四监管周期省级电网输配电价, signed 08.07.2026, published 10.07.2026) + Annex 1 省级电网输配电价表 (PDF 34pp) + Annex 2</t>
        </is>
      </c>
      <c r="C39" s="98" t="n">
        <v>1</v>
      </c>
      <c r="D39" s="100" t="inlineStr">
        <is>
          <t>https://www.ndrc.gov.cn/xxgk/zcfb/tz/202607/t20260710_1406431.html ; annex https://www.ndrc.gov.cn/xxgk/zcfb/tz/202607/P020260710613207914509.pdf</t>
        </is>
      </c>
      <c r="E39" s="98" t="inlineStr">
        <is>
          <t>2026-07-14</t>
        </is>
      </c>
      <c r="F39" s="100" t="inlineStr">
        <is>
          <t>4th-period T&amp;D, effective 01.08.2026. All 7 basket provinces extracted (cn_td tab). Jiangsu 220kV volumetric −13.2%; new 单一制 110/220kV classes; per-province 省内 line-loss rates restated. Resolves qc Q1 (D13-R)</t>
        </is>
      </c>
    </row>
    <row r="40" ht="68.25" customHeight="1" s="78">
      <c r="A40" s="98" t="inlineStr">
        <is>
          <t>S37</t>
        </is>
      </c>
      <c r="B40" s="101" t="inlineStr">
        <is>
          <t>UK series scoping archives: NESO TNUoS per-year sections + pre-2021/22 archive + Triad data (2010-11+); DESNZ QEP table 3.4.1 quarterly 2004Q1–2026Q1 / annual 2004–2025 (verified in-file); Ofgem RO/FiT/CfD-ILR/CM scheme archives; CCL via National Archives (gov.uk page prunes old years)</t>
        </is>
      </c>
      <c r="C40" s="98" t="n">
        <v>1</v>
      </c>
      <c r="D40" s="100" t="inlineStr">
        <is>
          <t>https://www.neso.energy/industry-information/charging/tnuos-charges ; https://www.gov.uk/government/statistical-data-sets/gas-and-electricity-prices-in-the-non-domestic-sector</t>
        </is>
      </c>
      <c r="E40" s="98" t="inlineStr">
        <is>
          <t>2026-07-14</t>
        </is>
      </c>
      <c r="F40" s="100" t="inlineStr">
        <is>
          <t>Stage-4 UK retrieval map. Binding constraint: free year-ahead wholesale from ~2010 (Ofgem forward indicator; pre-2010 = paywalled ICIS/ICE). NPg CDCM archive verified only to ~2017 online (qc Q19)</t>
        </is>
      </c>
    </row>
    <row r="41" ht="90.75" customHeight="1" s="78">
      <c r="A41" s="98" t="inlineStr">
        <is>
          <t>S38</t>
        </is>
      </c>
      <c r="B41" s="101" t="inlineStr">
        <is>
          <t>DE series scoping archives: Amprion Netzentgelte archive complete to 01.10.2000 incl. RWE/VEW predecessors; netztransparenz.de single archive for all Umlagen (EEG/KWKG/§19/Offshore/AbLaV); BNetzA Monitoringberichte 2006–2025 (direct PDF links verified); DEHSt SPK Auswertungsberichte 2013+; Eurostat nrg_pc_205 DE from 2007-S1 (SDMX-verified), predecessor nrg_pc_205_h DE weak pre-2004</t>
        </is>
      </c>
      <c r="C41" s="98" t="n">
        <v>1</v>
      </c>
      <c r="D41" s="100" t="inlineStr">
        <is>
          <t>https://www.amprion.net/Strommarkt/Netzkunde/Netzentgelte/Bisherige-Nutzungsentgelte-(informell).html ; https://www.netztransparenz.de/ ; https://www.bundesnetzagentur.de/DE/Fachthemen/ElektrizitaetundGas/Monitoringberichte/Monitoringberichte_table.html</t>
        </is>
      </c>
      <c r="E41" s="98" t="inlineStr">
        <is>
          <t>2026-07-14</t>
        </is>
      </c>
      <c r="F41" s="100" t="inlineStr">
        <is>
          <t>Stage-4 DE retrieval map. EEX Cal-Y paywalled → BNetzA MB annual Cal-Y values are the free backbone (2006-07+). Westnetz MS sheets on-site ~2020+ only (D20, qc Q20). 2026: Westnetz publishes 'ohne Bundeszuschuss' variant sheet — carry both</t>
        </is>
      </c>
    </row>
    <row r="42" ht="125.25" customHeight="1" s="78">
      <c r="A42" s="98" t="inlineStr">
        <is>
          <t>S39</t>
        </is>
      </c>
      <c r="B42" s="101" t="inlineStr">
        <is>
          <t>CN series scoping archives: catalogue-tariff adjustment notices on ndrc.gov.cn from ~2004 (dense 2009+); provincial DRC tables (GD 2004+, JS 2015/2018, SD 2018 verified); 代理购电 monthly archives complete to 12/2021 (SGCC Jiangsu 109 items verified); T&amp;D periods 2017/2020/2023/2026 all retrievable; renewable-surcharge step history 2006→2016 (NDRC notices); NEA 电价监管通报 per-province validation anchors 2013–2017 (2017 PDF verified: national 大工业 avg 597.85 元/MWh)</t>
        </is>
      </c>
      <c r="C42" s="98" t="n">
        <v>1</v>
      </c>
      <c r="D42" s="100" t="inlineStr">
        <is>
          <t>see qc/decisions for URLs; NEA 2017 通报: http://www.nea.gov.cn/137519800_15390499899481n.pdf</t>
        </is>
      </c>
      <c r="E42" s="98" t="inlineStr">
        <is>
          <t>2026-07-14</t>
        </is>
      </c>
      <c r="F42" s="100" t="inlineStr">
        <is>
          <t>Stage-4 CN retrieval map. Pre-2004 not reconstructible from online primary sources; pre-2021 market prices often 价差-based (qc Q22). No IEA China industrial end-use price series exists</t>
        </is>
      </c>
    </row>
    <row r="43" ht="74.25" customHeight="1" s="78">
      <c r="A43" s="98" t="inlineStr">
        <is>
          <t>S40</t>
        </is>
      </c>
      <c r="B43" s="101" t="inlineStr">
        <is>
          <t>Ofgem data portal wholesale charts (everviz embeds): 'Electricity Prices: Forward Delivery Contracts – Weekly Average (GB)' (0eDBSsofl, weekly, from 01.02.2021) and 'Day Ahead Baseload Contracts – Monthly Average (GB)' (n9WSDfgxc, monthly, from 06/2010)</t>
        </is>
      </c>
      <c r="C43" s="98" t="n">
        <v>1</v>
      </c>
      <c r="D43" s="100" t="inlineStr">
        <is>
          <t>https://cloud.highcharts.com/embed/0eDBSsofl ; https://cloud.highcharts.com/embed/n9WSDfgxc (inline chart CSV extracted in-browser)</t>
        </is>
      </c>
      <c r="E43" s="98" t="inlineStr">
        <is>
          <t>2026-07-15</t>
        </is>
      </c>
      <c r="F43" s="100" t="inlineStr">
        <is>
          <t>UK wholesale legs (D21/D22). Annual averages computed (estimated=Y): YA obs-yr 2021: 89.49 (Feb–Dec) / 2022: 273.71 / 2023: 127.45 / 2024: 79.70 / 2025: 81.21 £/MWh; DA 2010 (Jun–Dec): 44.96 … 2025: 83.93 (full series in staging file). Underlying assessments third-party, republished by Ofgem</t>
        </is>
      </c>
    </row>
    <row r="44" ht="15" customHeight="1" s="78">
      <c r="A44" s="77" t="inlineStr">
        <is>
          <t>S41</t>
        </is>
      </c>
      <c r="B44" s="77" t="inlineStr">
        <is>
          <t>NESO Final TNUoS Tariffs tables workbooks 2023/24–2026/27 (docs 275726, 301731, 353061, 376341), sheet T10 Non-locational banded charges</t>
        </is>
      </c>
      <c r="C44" s="77" t="inlineStr">
        <is>
          <t>1</t>
        </is>
      </c>
      <c r="D44" s="77" t="inlineStr">
        <is>
          <t>https://www.neso.energy/document/275726/download ; /301731/ ; /353061/ ; /376341/</t>
        </is>
      </c>
      <c r="E44" s="77" t="inlineStr">
        <is>
          <t>2026-07-15</t>
        </is>
      </c>
      <c r="F44" s="77" t="inlineStr">
        <is>
          <t>HV4 residual (medium archetype TNUoS, TCR era): 276.988323 / 243.634626 / 317.597969 / 528.912335 £/site/day; T-Demand cross-checks</t>
        </is>
      </c>
    </row>
    <row r="45" ht="15" customHeight="1" s="78">
      <c r="A45" s="77" t="inlineStr">
        <is>
          <t>S42</t>
        </is>
      </c>
      <c r="B45" s="77" t="inlineStr">
        <is>
          <t>NPg (Yorkshire) LC14 CDCM statement 2019/20 via Wayback (20221130063623/…/2022-05/4821.pdf)</t>
        </is>
      </c>
      <c r="C45" s="77" t="inlineStr">
        <is>
          <t>1</t>
        </is>
      </c>
      <c r="D45" s="77" t="inlineStr">
        <is>
          <t>https://web.archive.org/web/20221130063623/https://www.northernpowergrid.com/sites/default/files/2022-05/4821.pdf</t>
        </is>
      </c>
      <c r="E45" s="77" t="inlineStr">
        <is>
          <t>2026-07-15</t>
        </is>
      </c>
      <c r="F45" s="77" t="inlineStr">
        <is>
          <t>DUoS time-band hour definitions (red 16:00–19:30 etc.) for TOU weighting; direct NPg asset URLs now geo-blocked from sandbox (browser route in staging log)</t>
        </is>
      </c>
    </row>
    <row r="46" ht="15" customHeight="1" s="78">
      <c r="A46" s="77" t="inlineStr">
        <is>
          <t>S43</t>
        </is>
      </c>
      <c r="B46" s="77" t="inlineStr">
        <is>
          <t>DESNZ QEP table_341.xlsx — full annual band series 2004–2025 (sheets 3.4.1 Annual excl CCL; Notes band definitions)</t>
        </is>
      </c>
      <c r="C46" s="77" t="inlineStr">
        <is>
          <t>1</t>
        </is>
      </c>
      <c r="D46" s="77" t="inlineStr">
        <is>
          <t>https://assets.publishing.service.gov.uk/media/6942bd3536f089d38be1f246/table_341.xlsx</t>
        </is>
      </c>
      <c r="E46" s="77" t="inlineStr">
        <is>
          <t>2026-07-15</t>
        </is>
      </c>
      <c r="F46" s="77" t="inlineStr">
        <is>
          <t>UK validation overlay: Extra Large (large archetype), Large 20,000–69,999 MWh (medium archetype — 20 GWh at band lower edge, flagged). GN1 cross-check 2024 XL = 21.6979 ✓</t>
        </is>
      </c>
    </row>
    <row r="47" ht="16.5" customHeight="1" s="78">
      <c r="A47" s="77" t="inlineStr">
        <is>
          <t>S44</t>
        </is>
      </c>
      <c r="B47" s="142" t="inlineStr">
        <is>
          <t>发改价格〔2023〕526号 annex — P3 T&amp;D for GD/SD/ZJ/HN/蒙西/SC (in-session extraction of 两部制 rows)</t>
        </is>
      </c>
      <c r="C47" s="77" t="inlineStr">
        <is>
          <t>1</t>
        </is>
      </c>
      <c r="D47" s="77" t="inlineStr">
        <is>
          <t>https://www.ndrc.gov.cn/xxgk/zcfb/tz/202305/P020230515609052875117.pdf</t>
        </is>
      </c>
      <c r="E47" s="77" t="inlineStr">
        <is>
          <t>2026-07-15</t>
        </is>
      </c>
      <c r="F47" s="77" t="inlineStr">
        <is>
          <t>cn_td B/C/F filled; cross-checks vs SD Oct-2025 (输配 0.1491) and HN May-2025 (0.168) bills ✓</t>
        </is>
      </c>
    </row>
    <row r="48" ht="15" customHeight="1" s="78">
      <c r="A48" s="77" t="inlineStr">
        <is>
          <t>S45</t>
        </is>
      </c>
      <c r="B48" s="77" t="inlineStr">
        <is>
          <t>Stage-4 staging files (six retrieval legs, primary citations inside): stage4_staging_{uk_wholesale_levies, uk_network, de_wholesale_levies, de_network, cn_catalogue, cn_market}.md</t>
        </is>
      </c>
      <c r="C48" s="77" t="inlineStr">
        <is>
          <t>1</t>
        </is>
      </c>
      <c r="D48" s="77" t="inlineStr">
        <is>
          <t>project folder UK Energy Prices/</t>
        </is>
      </c>
      <c r="E48" s="77" t="inlineStr">
        <is>
          <t>2026-07-15</t>
        </is>
      </c>
      <c r="F48" s="77" t="inlineStr">
        <is>
          <t>All stage4_uk / stage4_de / stage4_cn raw values; per-series primary sources cited in tab column U</t>
        </is>
      </c>
    </row>
    <row r="49" ht="15" customHeight="1" s="78">
      <c r="A49" s="77" t="inlineStr">
        <is>
          <t>S46</t>
        </is>
      </c>
      <c r="B49" s="77" t="inlineStr">
        <is>
          <t>Ofgem Feed-in Tariffs Annual Reports SY1–SY15 (levelisation fund, relevant supply, EII/GoO exemption mechanics)</t>
        </is>
      </c>
      <c r="C49" s="77" t="inlineStr">
        <is>
          <t>1</t>
        </is>
      </c>
      <c r="D49" s="77" t="inlineStr">
        <is>
          <t>ofgem.gov.uk — 15 PDFs, e.g. /sites/default/files/2025-12/feed_in_tariff_annual_report_sy15_20251210120852.pdf</t>
        </is>
      </c>
      <c r="E49" s="77" t="inlineStr">
        <is>
          <t>2026-07-15</t>
        </is>
      </c>
      <c r="F49" s="77" t="inlineStr">
        <is>
          <t>stage4_uk r20; FiT £/MWh 2015–24 computed fund÷relevant supply; 2010–14 per D27</t>
        </is>
      </c>
    </row>
    <row r="50" ht="15" customHeight="1" s="78">
      <c r="A50" s="77" t="inlineStr">
        <is>
          <t>S47</t>
        </is>
      </c>
      <c r="B50" s="77" t="inlineStr">
        <is>
          <t>EMRS "Key Figures for Payments" DY2018/19–2025/26 + ESC/LCCC annual reports + DESNZ CM scheme updates</t>
        </is>
      </c>
      <c r="C50" s="77" t="inlineStr">
        <is>
          <t>1</t>
        </is>
      </c>
      <c r="D50" s="77" t="inlineStr">
        <is>
          <t>emrsettlement.co.uk via Wayback (incl. SPN 20260715211143 / 20260715212444); lowcarboncontracts.uk</t>
        </is>
      </c>
      <c r="E50" s="77" t="inlineStr">
        <is>
          <t>2026-07-15</t>
        </is>
      </c>
      <c r="F50" s="77" t="inlineStr">
        <is>
          <t>stage4_uk r21; CM settled payments &amp; window demand; DY22/23 pre-final flagged</t>
        </is>
      </c>
    </row>
    <row r="51" ht="15" customHeight="1" s="78">
      <c r="A51" s="77" t="inlineStr">
        <is>
          <t>S48</t>
        </is>
      </c>
      <c r="B51" s="77" t="inlineStr">
        <is>
          <t>NESO half-hourly RF BSUoS settlement files 2010/11–2022/23 + BSUoS fixed-tariff CSV (FT1–FT8 Final)</t>
        </is>
      </c>
      <c r="C51" s="77" t="inlineStr">
        <is>
          <t>1</t>
        </is>
      </c>
      <c r="D51" s="77" t="inlineStr">
        <is>
          <t>neso.energy docs 47481/47476/47471/47466/47461/104301 + api.neso.energy 2016-2023-rf.csv + bsuos-fixed-tariffs.csv</t>
        </is>
      </c>
      <c r="E51" s="77" t="inlineStr">
        <is>
          <t>2026-07-15</t>
        </is>
      </c>
      <c r="F51" s="77" t="inlineStr">
        <is>
          <t>stage4_uk r28–30; own computation (unweighted), x-check CMP250 FMR Table 2 exact</t>
        </is>
      </c>
    </row>
    <row r="52" ht="15" customHeight="1" s="78">
      <c r="A52" s="77" t="inlineStr">
        <is>
          <t>S49</t>
        </is>
      </c>
      <c r="B52" s="77" t="inlineStr">
        <is>
          <t>National Grid (ESO) AAHEDC charging statements / final tariff letters 2010/11–2020/21</t>
        </is>
      </c>
      <c r="C52" s="77" t="inlineStr">
        <is>
          <t>1</t>
        </is>
      </c>
      <c r="D52" s="77" t="inlineStr">
        <is>
          <t>neso.energy docs 47306/47316/47301/47271/47261/47236/47226/101676/119396/148076/173046</t>
        </is>
      </c>
      <c r="E52" s="77" t="inlineStr">
        <is>
          <t>2026-07-15</t>
        </is>
      </c>
      <c r="F52" s="77" t="inlineStr">
        <is>
          <t>stage4_uk r31</t>
        </is>
      </c>
    </row>
    <row r="53" ht="15" customHeight="1" s="78">
      <c r="A53" s="77" t="inlineStr">
        <is>
          <t>S50</t>
        </is>
      </c>
      <c r="B53" s="77" t="inlineStr">
        <is>
          <t>SI 2024/409 + SI 2026/243 + both IAs + Elexon NCC levy pages (actual monthly levy totals; estimated levy fund) + DBT consultation response 31.10.2025 + Hansard 04.02.2026</t>
        </is>
      </c>
      <c r="C53" s="77" t="inlineStr">
        <is>
          <t>1</t>
        </is>
      </c>
      <c r="D53" s="77" t="inlineStr">
        <is>
          <t>legislation.gov.uk; elexon.co.uk NCC supplier &amp; estimated-levy-fund pages; gov.uk</t>
        </is>
      </c>
      <c r="E53" s="77" t="inlineStr">
        <is>
          <t>2026-07-15</t>
        </is>
      </c>
      <c r="F53" s="77" t="inlineStr">
        <is>
          <t>stage4_uk r53 ESL; E2 carve-out reg 18(4)(a); levy timing (90% from levy yr 2027/28)</t>
        </is>
      </c>
    </row>
    <row r="54" ht="15" customHeight="1" s="78">
      <c r="A54" s="77" t="inlineStr">
        <is>
          <t>S51</t>
        </is>
      </c>
      <c r="B54" s="77" t="inlineStr">
        <is>
          <t>NPg (Yorkshire) LC14 statements 2012/13 (Common Crawl WARC), 2015/16 + 2016/17 (Wayback)</t>
        </is>
      </c>
      <c r="C54" s="77" t="inlineStr">
        <is>
          <t>1</t>
        </is>
      </c>
      <c r="D54" s="77" t="inlineStr">
        <is>
          <t>CC-MAIN-2013-20 offset 639035092; web.archive.org 20160530004600/downloads/1481; 20170719052401/downloads/2466</t>
        </is>
      </c>
      <c r="E54" s="77" t="inlineStr">
        <is>
          <t>2026-07-15</t>
        </is>
      </c>
      <c r="F54" s="77" t="inlineStr">
        <is>
          <t>stage4_uk r34–38 anchor years; sha256 in /tmp/npg_legacy + staging file</t>
        </is>
      </c>
    </row>
    <row r="55" ht="15" customHeight="1" s="78">
      <c r="A55" s="77" t="inlineStr">
        <is>
          <t>S52</t>
        </is>
      </c>
      <c r="B55" s="77" t="inlineStr">
        <is>
          <t>EEX Phelix DE Base Cal-26 daily settlements Oct-24–Sep-25 (Stadtwerke Hamm transparency sheet) + BNetzA press 05.01.2026 + MB 2025 Abb. 78 (front-year averages 2020–24)</t>
        </is>
      </c>
      <c r="C55" s="77" t="inlineStr">
        <is>
          <t>4/1</t>
        </is>
      </c>
      <c r="D55" s="77" t="inlineStr">
        <is>
          <t>stadtwerke-hamm.de …/Strompreis_Phelix_Baseload_Year_Future_Lfj_2026.pdf; bundesnetzagentur.de/1087156</t>
        </is>
      </c>
      <c r="E55" s="77" t="inlineStr">
        <is>
          <t>2026-07-15</t>
        </is>
      </c>
      <c r="F55" s="77" t="inlineStr">
        <is>
          <t>stage4_de r7 trading-2025 = 87.57 provisional (D29); cross-checks Tier 1</t>
        </is>
      </c>
    </row>
    <row r="56" ht="15" customHeight="1" s="78">
      <c r="A56" s="77" t="inlineStr">
        <is>
          <t>S53</t>
        </is>
      </c>
      <c r="B56" s="77" t="inlineStr">
        <is>
          <t>BGBl chain: StromStG 2010 rates (BGBl I 2002/87 + amendments 2003–09) + HBeglG 2011; StromNEV §19 era (BGBl I 2011/41; 2013/50) + OLG Düsseldorf VI-3 Kart 178/12 (V) + BGH EnVR 32/13 + BNetzA BK4-13-739</t>
        </is>
      </c>
      <c r="C56" s="77" t="inlineStr">
        <is>
          <t>1</t>
        </is>
      </c>
      <c r="D56" s="77" t="inlineStr">
        <is>
          <t>offenegesetze.de BGBl scans; nrwe.justiz.nrw.de; bundesnetzagentur.de</t>
        </is>
      </c>
      <c r="E56" s="77" t="inlineStr">
        <is>
          <t>2026-07-15</t>
        </is>
      </c>
      <c r="F56" s="77" t="inlineStr">
        <is>
          <t>stage4_de r35 2010; timeseries E2 network 2011–13 (D32)</t>
        </is>
      </c>
    </row>
    <row r="57" ht="16.5" customHeight="1" s="78">
      <c r="A57" s="77" t="inlineStr">
        <is>
          <t>S54</t>
        </is>
      </c>
      <c r="B57" s="142" t="inlineStr">
        <is>
          <t>国网江苏 monthly 代理购电价格公告 archive, 42 months 2023-01–2026-06 (系统运行费 components verified by sum)</t>
        </is>
      </c>
      <c r="C57" s="77" t="inlineStr">
        <is>
          <t>1</t>
        </is>
      </c>
      <c r="D57" s="77" t="inlineStr">
        <is>
          <t>js.sgcc.com.cn/xxgk/gwjssdlyxgs/djhsfbz ids 10316–12987 (+2 北极星 mirrors for site attachment errors; Suzhou branch for 2025-06)</t>
        </is>
      </c>
      <c r="E57" s="77" t="inlineStr">
        <is>
          <t>2026-07-15</t>
        </is>
      </c>
      <c r="F57" s="77" t="inlineStr">
        <is>
          <t>stage4_cn r81 JS true annuals; supersedes snapshot proxy; monthly table in gapfill staging</t>
        </is>
      </c>
    </row>
    <row r="58" ht="15" customHeight="1" s="78">
      <c r="A58" s="77" t="inlineStr">
        <is>
          <t>S55</t>
        </is>
      </c>
      <c r="B58" s="77" t="inlineStr">
        <is>
          <t>DUKES 5.1.2 electricity supply/availability/consumption 1970–2024</t>
        </is>
      </c>
      <c r="C58" s="77" t="inlineStr">
        <is>
          <t>1</t>
        </is>
      </c>
      <c r="D58" s="77" t="inlineStr">
        <is>
          <t>assets.publishing.service.gov.uk/media/688a29846478525675739056/DUKES_5.1.2.xlsx</t>
        </is>
      </c>
      <c r="E58" s="77" t="inlineStr">
        <is>
          <t>2026-07-15</t>
        </is>
      </c>
      <c r="F58" s="77" t="inlineStr">
        <is>
          <t>FiT 2010–14 denominator (D27)</t>
        </is>
      </c>
    </row>
    <row r="59" ht="15" customHeight="1" s="78">
      <c r="A59" s="77" t="inlineStr">
        <is>
          <t>S56</t>
        </is>
      </c>
      <c r="B59" s="77" t="inlineStr">
        <is>
          <t>SI 2024/434 Electricity Capacity (Supplier Payment etc.) (Amendment and Excluded Electricity) Regs 2024</t>
        </is>
      </c>
      <c r="C59" s="77" t="inlineStr">
        <is>
          <t>1</t>
        </is>
      </c>
      <c r="D59" s="77" t="inlineStr">
        <is>
          <t>legislation.gov.uk/uksi/2024/434/made</t>
        </is>
      </c>
      <c r="E59" s="77" t="inlineStr">
        <is>
          <t>2026-07-15</t>
        </is>
      </c>
      <c r="F59" s="77" t="inlineStr">
        <is>
          <t>CM EII exclusion from DY2024/25; distinct from SI 2024/409</t>
        </is>
      </c>
    </row>
    <row r="60" ht="16.5" customHeight="1" s="78">
      <c r="A60" s="77" t="inlineStr">
        <is>
          <t>S57</t>
        </is>
      </c>
      <c r="B60" s="77" t="inlineStr">
        <is>
          <t>SC 2024 consumption split — 硕电汇 2024年四川电力生产消费年终大总结 (北极星 mirror, chart images)</t>
        </is>
      </c>
      <c r="C60" s="77" t="inlineStr">
        <is>
          <t>2-3</t>
        </is>
      </c>
      <c r="D60" s="77" t="inlineStr">
        <is>
          <t>news.bjx.com.cn/html/20250123/1424280.shtml (img01.mybjx.net PNGs)</t>
        </is>
      </c>
      <c r="E60" s="77" t="inlineStr">
        <is>
          <t>2026-07-15</t>
        </is>
      </c>
      <c r="F60" s="77" t="inlineStr">
        <is>
          <t>assumptions D42 Set-C SC weight = 第二产业 2404.56; split sums to 全社会 exactly</t>
        </is>
      </c>
    </row>
    <row r="61" ht="16.5" customHeight="1" s="78">
      <c r="A61" s="77" t="inlineStr">
        <is>
          <t>S58</t>
        </is>
      </c>
      <c r="B61" s="77" t="inlineStr">
        <is>
          <t>SD 山东省电网销售电价表 consolidated PDF (post-2017-07 state + 2017 step enumeration off 131号 base)</t>
        </is>
      </c>
      <c r="C61" s="77" t="inlineStr">
        <is>
          <t>1</t>
        </is>
      </c>
      <c r="D61" s="77" t="inlineStr">
        <is>
          <t>fgw.shandong.gov.cn/attach/-1/1812201446176826520.pdf (browser-extracted via in-page pdf.js; geo-blocked to sandbox)</t>
        </is>
      </c>
      <c r="E61" s="77" t="inlineStr">
        <is>
          <t>2026-07-15</t>
        </is>
      </c>
      <c r="F61" s="77" t="inlineStr">
        <is>
          <t>stage4_cn SD 2017–19</t>
        </is>
      </c>
    </row>
    <row r="62" ht="16.5" customHeight="1" s="78">
      <c r="A62" s="77" t="inlineStr">
        <is>
          <t>S59</t>
        </is>
      </c>
      <c r="B62" s="77" t="inlineStr">
        <is>
          <t>ZJ 浙发改价格〔2020〕364号 (eff. 2021-01-01) + 377号 (catalogue abolition 2021-10) + NDRC summary</t>
        </is>
      </c>
      <c r="C62" s="77" t="inlineStr">
        <is>
          <t>1</t>
        </is>
      </c>
      <c r="D62" s="77" t="inlineStr">
        <is>
          <t>fzggw.zj.gov.cn art_1229123366_2370711; bjx 1118439 (annex images); ndrc.gov.cn t20201228_1260545</t>
        </is>
      </c>
      <c r="E62" s="77" t="inlineStr">
        <is>
          <t>2026-07-15</t>
        </is>
      </c>
      <c r="F62" s="77" t="inlineStr">
        <is>
          <t>stage4_cn ZJ 2021</t>
        </is>
      </c>
    </row>
    <row r="63" ht="16.5" customHeight="1" s="78">
      <c r="A63" s="77" t="inlineStr">
        <is>
          <t>S60</t>
        </is>
      </c>
      <c r="B63" s="77" t="inlineStr">
        <is>
          <t>HN chain: 湘价电〔2011〕187号; 湘发改价商〔2015〕263号 (sealed PDF); 〔2016〕1号 (NDRC); 478号; 704号; 〔2017〕711号 + annex image; 654号-era republications</t>
        </is>
      </c>
      <c r="C63" s="77" t="inlineStr">
        <is>
          <t>1</t>
        </is>
      </c>
      <c r="D63" s="77" t="inlineStr">
        <is>
          <t>hunan.gov.cn gazette; yyx.gov.cn PDF; ndrc.gov.cn; fgw.hunan.gov.cn; rednet image</t>
        </is>
      </c>
      <c r="E63" s="77" t="inlineStr">
        <is>
          <t>2026-07-15</t>
        </is>
      </c>
      <c r="F63" s="77" t="inlineStr">
        <is>
          <t>stage4_cn HN 2012–2021 rebuild + Q34 correction</t>
        </is>
      </c>
    </row>
    <row r="64" ht="16.5" customHeight="1" s="78">
      <c r="A64" s="77" t="inlineStr">
        <is>
          <t>S61</t>
        </is>
      </c>
      <c r="B64" s="77" t="inlineStr">
        <is>
          <t>SC chain: 发改价格〔2011〕2623号 附件6-1; 川发改价格〔2015〕228号; 〔2016〕129/272号; 〔2017〕379号; 2018-05 table; 〔2019〕257号; 〔2020〕629号 (scan PDF)</t>
        </is>
      </c>
      <c r="C64" s="77" t="inlineStr">
        <is>
          <t>1</t>
        </is>
      </c>
      <c r="D64" s="77" t="inlineStr">
        <is>
          <t>nea.gov.cn; chinaenergyportal.org; shoudian.bjx.com.cn 610414/743702/838664/898716/984007; jingyan.gov.cn PDF</t>
        </is>
      </c>
      <c r="E64" s="77" t="inlineStr">
        <is>
          <t>2026-07-15</t>
        </is>
      </c>
      <c r="F64" s="77" t="inlineStr">
        <is>
          <t>stage4_cn SC 2012–2020</t>
        </is>
      </c>
    </row>
    <row r="65" ht="16.5" customHeight="1" s="78">
      <c r="A65" s="77" t="inlineStr">
        <is>
          <t>S62</t>
        </is>
      </c>
      <c r="B65" s="77" t="inlineStr">
        <is>
          <t>IM (蒙西) chain: 内发改价字〔2015〕431号; 1299号; 2016 notice; 〔2017〕954号 + annex image; 〔2018〕950号 + table; 〔2019〕465号; 〔2020〕1290号</t>
        </is>
      </c>
      <c r="C65" s="77" t="inlineStr">
        <is>
          <t>1</t>
        </is>
      </c>
      <c r="D65" s="77" t="inlineStr">
        <is>
          <t>fgw.xlgl.gov.cn (4 docs); bjx 821314/845065/929194/1126322; cspplaza</t>
        </is>
      </c>
      <c r="E65" s="77" t="inlineStr">
        <is>
          <t>2026-07-15</t>
        </is>
      </c>
      <c r="F65" s="77" t="inlineStr">
        <is>
          <t>stage4_cn IM 2015–19 + 2020 correction</t>
        </is>
      </c>
    </row>
    <row r="66" ht="16.5" customHeight="1" s="78">
      <c r="A66" s="77" t="inlineStr">
        <is>
          <t>S63</t>
        </is>
      </c>
      <c r="B66" s="77" t="inlineStr">
        <is>
          <t>GD chain: 发改价格〔2011〕2618号 + 价目表 xls (增城区); 粤发改价格〔2015〕179号 + zip; 〔2016〕372号 + zip; 〔2017〕498号 (heyuan scan + NDRC + bjx images)</t>
        </is>
      </c>
      <c r="C66" s="77" t="inlineStr">
        <is>
          <t>1</t>
        </is>
      </c>
      <c r="D66" s="77" t="inlineStr">
        <is>
          <t>zc.gov.cn xls; drc.gd.gov.cn ×3; heyuan.gov.cn PDF; ndrc.gov.cn; shoudian.bjx.com.cn 838589</t>
        </is>
      </c>
      <c r="E66" s="77" t="inlineStr">
        <is>
          <t>2026-07-15</t>
        </is>
      </c>
      <c r="F66" s="77" t="inlineStr">
        <is>
          <t>stage4_cn GD 2012–2018 五市 到户</t>
        </is>
      </c>
    </row>
    <row r="67" ht="15" customHeight="1" s="78">
      <c r="A67" s="77" t="inlineStr">
        <is>
          <t>S64</t>
        </is>
      </c>
      <c r="B67" s="77" t="inlineStr">
        <is>
          <t>ONS Index of Production time series (DIOP): K222, K22A, K22V, K232, K23D, K23H, K23I, K23J, K22Y (div 19), weights KM2P/KM2R/KM2S/KM33/KM36 — CVMSA annual, 2023=100</t>
        </is>
      </c>
      <c r="C67" s="77" t="inlineStr">
        <is>
          <t>1</t>
        </is>
      </c>
      <c r="D67" s="77" t="inlineStr">
        <is>
          <t>ons.gov.uk/economy/economicoutputandproductivity/output/timeseries/{cdid}/diop/data (JSON API)</t>
        </is>
      </c>
      <c r="E67" s="77" t="inlineStr">
        <is>
          <t>2026-07-16</t>
        </is>
      </c>
      <c r="F67" s="77" t="inlineStr">
        <is>
          <t>stage5 UK indices</t>
        </is>
      </c>
    </row>
    <row r="68" ht="15" customHeight="1" s="78">
      <c r="A68" s="77" t="inlineStr">
        <is>
          <t>S65</t>
        </is>
      </c>
      <c r="B68" s="77" t="inlineStr">
        <is>
          <t>Eurostat sts_inpr_a (annual production index), DE: C, C17, C20, C23, C231, C2351, C24, C241, C244; I21, NSA+CA</t>
        </is>
      </c>
      <c r="C68" s="77" t="inlineStr">
        <is>
          <t>1</t>
        </is>
      </c>
      <c r="D68" s="77" t="inlineStr">
        <is>
          <t>ec.europa.eu/eurostat/api/dissemination/statistics/1.0/data/sts_inpr_a</t>
        </is>
      </c>
      <c r="E68" s="77" t="inlineStr">
        <is>
          <t>2026-07-16</t>
        </is>
      </c>
      <c r="F68" s="77" t="inlineStr">
        <is>
          <t>stage5 DE indices</t>
        </is>
      </c>
    </row>
    <row r="69" ht="15" customHeight="1" s="78">
      <c r="A69" s="77" t="inlineStr">
        <is>
          <t>S66</t>
        </is>
      </c>
      <c r="B69" s="77" t="inlineStr">
        <is>
          <t>Destatis GENESIS 42153-0001 (Produktionsindex, monthly, WERTORG) + WZ08V1 value list — Energieintensive Industriezweige = WZ08-B-10 (WZ 17,19,20,23,24)</t>
        </is>
      </c>
      <c r="C69" s="77" t="inlineStr">
        <is>
          <t>1</t>
        </is>
      </c>
      <c r="D69" s="77" t="inlineStr">
        <is>
          <t>genesis.destatis.de/genesis/api/rest/tables/42153-0001/data; …/variables/WZ08V1/values</t>
        </is>
      </c>
      <c r="E69" s="77" t="inlineStr">
        <is>
          <t>2026-07-16</t>
        </is>
      </c>
      <c r="F69" s="77" t="inlineStr">
        <is>
          <t>stage5 DE EI aggregate (annual mean estimated=Y)</t>
        </is>
      </c>
    </row>
    <row r="70" ht="16.5" customHeight="1" s="78">
      <c r="A70" s="77" t="inlineStr">
        <is>
          <t>S67</t>
        </is>
      </c>
      <c r="B70" s="77" t="inlineStr">
        <is>
          <t>NBS December industrial releases 2011–2025 (规模以上工业增加值增长… / 工业生产运行情况), table 规模以上工业生产主要数据 — 15 documents, URLs in staging file</t>
        </is>
      </c>
      <c r="C70" s="77" t="inlineStr">
        <is>
          <t>1</t>
        </is>
      </c>
      <c r="D70" s="77" t="inlineStr">
        <is>
          <t>stats.gov.cn/sj/zxfb/ (per-year URLs in stage5_output_staging.md)</t>
        </is>
      </c>
      <c r="E70" s="77" t="inlineStr">
        <is>
          <t>2026-07-16</t>
        </is>
      </c>
      <c r="F70" s="77" t="inlineStr">
        <is>
          <t>stage5 CN sector VA growth 2011-2025; 2025 product output first-release</t>
        </is>
      </c>
    </row>
    <row r="71" ht="16.5" customHeight="1" s="78">
      <c r="A71" s="77" t="inlineStr">
        <is>
          <t>S68</t>
        </is>
      </c>
      <c r="B71" s="77" t="inlineStr">
        <is>
          <t>NBS 国民经济和社会发展统计公报 2010–2025 (16 communiqués) — sector growth x-check (zero discrepancies) + product output first-release</t>
        </is>
      </c>
      <c r="C71" s="77" t="inlineStr">
        <is>
          <t>1</t>
        </is>
      </c>
      <c r="D71" s="77" t="inlineStr">
        <is>
          <t>stats.gov.cn/sj/tjgb/ + /sj/zxfb/ (per-year URLs in staging)</t>
        </is>
      </c>
      <c r="E71" s="77" t="inlineStr">
        <is>
          <t>2026-07-16</t>
        </is>
      </c>
      <c r="F71" s="77" t="inlineStr">
        <is>
          <t>stage5 CN x-check + 有色金属 2011-13 + tonnage first-release</t>
        </is>
      </c>
    </row>
    <row r="72" ht="16.5" customHeight="1" s="78">
      <c r="A72" s="77" t="inlineStr">
        <is>
          <t>S69</t>
        </is>
      </c>
      <c r="B72" s="142" t="inlineStr">
        <is>
          <t>中国统计年鉴 2011–2025 editions, table 工业产品产量 (13-12/14-22) — revised product output series incl. census revisions</t>
        </is>
      </c>
      <c r="C72" s="77" t="inlineStr">
        <is>
          <t>1</t>
        </is>
      </c>
      <c r="D72" s="77" t="inlineStr">
        <is>
          <t>stats.gov.cn/sj/ndsj/ — per-cell locators (edition/table/row/column URLs), first-release panel and revision reconciliation banked in stage5_cn_locator_annex.md (2026-07-19; closes Q81). JPG tables read visually, machine-parsed where XLS/HTM exists; adjacent-edition overlap validated.</t>
        </is>
      </c>
      <c r="E72" s="77" t="inlineStr">
        <is>
          <t>2026-07-16; re-verified 2026-07-19</t>
        </is>
      </c>
      <c r="F72" s="77" t="inlineStr">
        <is>
          <t>stage5 CN tonnages 2010-2024 (revised)</t>
        </is>
      </c>
    </row>
    <row r="73" ht="16.5" customHeight="1" s="78">
      <c r="A73" s="77" t="inlineStr">
        <is>
          <t>S70</t>
        </is>
      </c>
      <c r="B73" s="77" t="inlineStr">
        <is>
          <t>NDRC 造纸行业运行简要情况 2021 &amp; 2022 (source-attributed 国家统计局)</t>
        </is>
      </c>
      <c r="C73" s="77" t="inlineStr">
        <is>
          <t>1</t>
        </is>
      </c>
      <c r="D73" s="77" t="inlineStr">
        <is>
          <t>ndrc.gov.cn/fgsj/tjsj/cyfz/zzyfz/ (2 docs)</t>
        </is>
      </c>
      <c r="E73" s="77" t="inlineStr">
        <is>
          <t>2026-07-16</t>
        </is>
      </c>
      <c r="F73" s="77" t="inlineStr">
        <is>
          <t>stage5 CN paper VA growth 2021/2022 (only official cells)</t>
        </is>
      </c>
    </row>
    <row r="74" ht="16.5" customHeight="1" s="78">
      <c r="A74" s="77" t="inlineStr">
        <is>
          <t>S71</t>
        </is>
      </c>
      <c r="B74" s="142" t="inlineStr">
        <is>
          <t>中商产业研究院 askci database — CN paper VA growth 2018-2025 — TIER 3: locator only, NOT entered in workbook, NOT charted (Q37)</t>
        </is>
      </c>
      <c r="C74" s="77" t="inlineStr">
        <is>
          <t>3</t>
        </is>
      </c>
      <c r="D74" s="77" t="inlineStr">
        <is>
          <t>s.askci.com/data/economy/00017/1/</t>
        </is>
      </c>
      <c r="E74" s="77" t="inlineStr">
        <is>
          <t>2026-07-16</t>
        </is>
      </c>
      <c r="F74" s="77" t="inlineStr">
        <is>
          <t>Q37 locator only</t>
        </is>
      </c>
    </row>
    <row r="75" ht="15" customHeight="1" s="78">
      <c r="A75" s="77" t="inlineStr">
        <is>
          <t>S72</t>
        </is>
      </c>
      <c r="B75" s="77" t="inlineStr">
        <is>
          <t>worldsteel: Steel Statistical Yearbook 2020 (T1, kt); World Steel in Figures 2022/2024/2025 (Mt); Jan-2026 press release (2025 + DE restatement 37.3)</t>
        </is>
      </c>
      <c r="C75" s="77" t="inlineStr">
        <is>
          <t>2</t>
        </is>
      </c>
      <c r="D75" s="77" t="inlineStr">
        <is>
          <t>worldsteel.org (5 docs, URLs in staging)</t>
        </is>
      </c>
      <c r="E75" s="77" t="inlineStr">
        <is>
          <t>2026-07-16</t>
        </is>
      </c>
      <c r="F75" s="77" t="inlineStr">
        <is>
          <t>stage5 crude steel UK/DE 2010-2025</t>
        </is>
      </c>
    </row>
    <row r="76" ht="15" customHeight="1" s="78">
      <c r="A76" s="77" t="inlineStr">
        <is>
          <t>S73</t>
        </is>
      </c>
      <c r="B76" s="77" t="inlineStr">
        <is>
          <t>USGS Minerals Yearbook: Cement 2014/2019/2023 (T22 world production); Aluminum 2014/2018/2022 (T13)</t>
        </is>
      </c>
      <c r="C76" s="77" t="inlineStr">
        <is>
          <t>1</t>
        </is>
      </c>
      <c r="D76" s="77" t="inlineStr">
        <is>
          <t>usgs.gov / d9-wret.s3 assets (6 docs, URLs in staging)</t>
        </is>
      </c>
      <c r="E76" s="77" t="inlineStr">
        <is>
          <t>2026-07-16</t>
        </is>
      </c>
      <c r="F76" s="77" t="inlineStr">
        <is>
          <t>stage5 cement 2010-13 (+x-check); aluminium x-check</t>
        </is>
      </c>
    </row>
    <row r="77" ht="15" customHeight="1" s="78">
      <c r="A77" s="77" t="inlineStr">
        <is>
          <t>S74</t>
        </is>
      </c>
      <c r="B77" s="77" t="inlineStr">
        <is>
          <t>BGS World Mineral Production volumes 2010-14, 2014-18, 2019-23, 2020-24: primary aluminium; finished cement</t>
        </is>
      </c>
      <c r="C77" s="77" t="inlineStr">
        <is>
          <t>1</t>
        </is>
      </c>
      <c r="D77" s="77" t="inlineStr">
        <is>
          <t>nora.nerc.ac.uk (4 PDFs, URLs in staging)</t>
        </is>
      </c>
      <c r="E77" s="77" t="inlineStr">
        <is>
          <t>2026-07-16</t>
        </is>
      </c>
      <c r="F77" s="77" t="inlineStr">
        <is>
          <t>stage5 aluminium UK/DE 2010-24; cement UK/DE 2014-24</t>
        </is>
      </c>
    </row>
    <row r="78" ht="15" customHeight="1" s="78">
      <c r="A78" s="77" t="inlineStr">
        <is>
          <t>S75</t>
        </is>
      </c>
      <c r="B78" s="77" t="inlineStr">
        <is>
          <t>VDZ Zementindustrie im Überblick 2023/2024 (Zementproduktion 2018-22); MPA news release 2025 (UK 2024 = 7.3 Mt)</t>
        </is>
      </c>
      <c r="C78" s="77" t="inlineStr">
        <is>
          <t>2</t>
        </is>
      </c>
      <c r="D78" s="77" t="inlineStr">
        <is>
          <t>vdz-online.de; mpa-cement.uk</t>
        </is>
      </c>
      <c r="E78" s="77" t="inlineStr">
        <is>
          <t>2026-07-16</t>
        </is>
      </c>
      <c r="F78" s="77" t="inlineStr">
        <is>
          <t>stage5 cement x-checks (BGS=VDZ 2018-22; MPA consistent)</t>
        </is>
      </c>
    </row>
    <row r="79" ht="15" customHeight="1" s="78">
      <c r="A79" s="77" t="inlineStr">
        <is>
          <t>S76</t>
        </is>
      </c>
      <c r="B79" s="77" t="inlineStr">
        <is>
          <t>FAOSTAT Forestry Production &amp; Trade bulk CSV (Forestry_E_Europe.zip, file date 2025-04-01), item 1876 Paper and paperboard, element 5510</t>
        </is>
      </c>
      <c r="C79" s="77" t="inlineStr">
        <is>
          <t>1</t>
        </is>
      </c>
      <c r="D79" s="77" t="inlineStr">
        <is>
          <t>bulks-faostat.fao.org/production/Forestry_E_Europe.zip (REST API now auth-walled)</t>
        </is>
      </c>
      <c r="E79" s="77" t="inlineStr">
        <is>
          <t>2026-07-16</t>
        </is>
      </c>
      <c r="F79" s="77" t="inlineStr">
        <is>
          <t>stage5 paper UK/DE 2010-2024 (UK all flag E; DE 2016-22 flag E)</t>
        </is>
      </c>
    </row>
    <row r="80" ht="15" customHeight="1" s="78">
      <c r="A80" s="77" t="inlineStr">
        <is>
          <t>S77</t>
        </is>
      </c>
      <c r="B80" s="77" t="inlineStr">
        <is>
          <t>VDP/DIE PAPIERINDUSTRIE: PAPIER 2025 Leistungsbericht (Zahlenreihen p.45, N16A p.33); PR 03.03.2026 (2025 = 18.7 Mt prov.)</t>
        </is>
      </c>
      <c r="C80" s="77" t="inlineStr">
        <is>
          <t>2</t>
        </is>
      </c>
      <c r="D80" s="77" t="inlineStr">
        <is>
          <t>papierindustrie.de (2 docs)</t>
        </is>
      </c>
      <c r="E80" s="77" t="inlineStr">
        <is>
          <t>2026-07-16</t>
        </is>
      </c>
      <c r="F80" s="77" t="inlineStr">
        <is>
          <t>stage5 DE paper x-check (matches FAO exc. 2010 26kt diff) + 2025 provisional</t>
        </is>
      </c>
    </row>
    <row r="81" ht="15" customHeight="1" s="78">
      <c r="A81" s="77" t="inlineStr">
        <is>
          <t>S78</t>
        </is>
      </c>
      <c r="B81" s="77" t="inlineStr">
        <is>
          <t>BV Glas Jahresbericht tables Produktion von Glas 2023/24 &amp; 2024/25 — row Herstellung von Flachglas (cites Destatis)</t>
        </is>
      </c>
      <c r="C81" s="77" t="inlineStr">
        <is>
          <t>2</t>
        </is>
      </c>
      <c r="D81" s="77" t="inlineStr">
        <is>
          <t>bvglas.de (2 PDFs, URLs in staging)</t>
        </is>
      </c>
      <c r="E81" s="77" t="inlineStr">
        <is>
          <t>2026-07-16</t>
        </is>
      </c>
      <c r="F81" s="77" t="inlineStr">
        <is>
          <t>stage5 DE flat glass 2022-2025</t>
        </is>
      </c>
    </row>
    <row r="82" ht="15" customHeight="1" s="78">
      <c r="A82" s="77" t="inlineStr">
        <is>
          <t>S79</t>
        </is>
      </c>
      <c r="B82" s="77" t="inlineStr">
        <is>
          <t>Eurostat PRODCOM DS-059358 (DE+GB, codes 23111xxx, PRODQNT m²) + ONS ProdCom 2024 edition Table 5 — suppression documented</t>
        </is>
      </c>
      <c r="C82" s="77" t="inlineStr">
        <is>
          <t>1</t>
        </is>
      </c>
      <c r="D82" s="77" t="inlineStr">
        <is>
          <t>ec.europa.eu/eurostat/api/comext/…/DS-059358; ons.gov.uk ProdCom</t>
        </is>
      </c>
      <c r="E82" s="77" t="inlineStr">
        <is>
          <t>2026-07-16</t>
        </is>
      </c>
      <c r="F82" s="77" t="inlineStr">
        <is>
          <t>Q36 documentation (UK flat glass unpublishable); DE m² context</t>
        </is>
      </c>
    </row>
    <row r="83" ht="15" customHeight="1" s="78">
      <c r="A83" s="77" t="inlineStr">
        <is>
          <t>S80</t>
        </is>
      </c>
      <c r="B83" s="77" t="inlineStr">
        <is>
          <t>Electricity-intensity coefficients: IAI Primary Aluminium Smelting Energy Intensity (2024, World AC 13,990/DC 13,208); worldsteel Sustainability Indicators 2024 (route GJ/t 2023) + Energy fact sheet (electricity shares) + WSIF 2025 (route mix); IEA cement tracking page (~100 kWh/t, 2022); CEPI Key Statistics 2024 (0.88 GWh/kt p.30; components pp.15/29)</t>
        </is>
      </c>
      <c r="C83" s="77" t="inlineStr">
        <is>
          <t>2 (IEA leg: 1)</t>
        </is>
      </c>
      <c r="D83" s="77" t="inlineStr">
        <is>
          <t>international-aluminium.org/statistics/primary-aluminium-smelting-energy-intensity/; worldsteel.org (3 docs); iea.org/energy-system/industry/cement; cepi.org Key Statistics 2024</t>
        </is>
      </c>
      <c r="E83" s="77" t="inlineStr">
        <is>
          <t>2026-07-16</t>
        </is>
      </c>
      <c r="F83" s="77" t="inlineStr">
        <is>
          <t>stage5 D37 composite coefficients (Q40 provenance notes)</t>
        </is>
      </c>
    </row>
    <row r="84" ht="16.5" customHeight="1" s="78">
      <c r="A84" s="77" t="inlineStr">
        <is>
          <t>S81</t>
        </is>
      </c>
      <c r="B84" s="142" t="inlineStr">
        <is>
          <t>中国统计年鉴2008 tbl 13-2 按行业分规模以上工业企业主要指标(2007年) — 工业增加值 column (LAST official sector VA levels; internal x-check vs 13-1 passed); 中国统计年鉴2011 tbl 14-2 (2010年) — 主营业务收入 column</t>
        </is>
      </c>
      <c r="C84" s="77" t="inlineStr">
        <is>
          <t>1</t>
        </is>
      </c>
      <c r="D84" s="77" t="inlineStr">
        <is>
          <t>stats.gov.cn/sj/ndsj/2008/html/N1302C.HTM; /2011/html/N1402C.HTM</t>
        </is>
      </c>
      <c r="E84" s="77" t="inlineStr">
        <is>
          <t>2026-07-16</t>
        </is>
      </c>
      <c r="F84" s="77" t="inlineStr">
        <is>
          <t>stage5 D38 CN EI aggregate weights (+ Q41 absence verification across S67 releases)</t>
        </is>
      </c>
    </row>
    <row r="85" ht="15" customHeight="1" s="78">
      <c r="A85" s="77" t="inlineStr">
        <is>
          <t>S82</t>
        </is>
      </c>
      <c r="B85" s="77" t="inlineStr">
        <is>
          <t>DEHSt, Auktionierung von Emissionsberechtigungen in Deutschland: Jahresbericht 2024, Tabelle 2 p.7</t>
        </is>
      </c>
      <c r="C85" s="77" t="inlineStr">
        <is>
          <t>1</t>
        </is>
      </c>
      <c r="D85" s="77" t="inlineStr">
        <is>
          <t>dehst.de /versteigerung/2024/2024_Jahresbericht.pdf</t>
        </is>
      </c>
      <c r="E85" s="77" t="inlineStr">
        <is>
          <t>2026-07-16</t>
        </is>
      </c>
      <c r="F85" s="77" t="inlineStr">
        <is>
          <t>EUA auction VWA 2012-2024 (2018=14.90); carbon tab r5</t>
        </is>
      </c>
    </row>
    <row r="86" ht="15" customHeight="1" s="78">
      <c r="A86" s="77" t="inlineStr">
        <is>
          <t>S83</t>
        </is>
      </c>
      <c r="B86" s="77" t="inlineStr">
        <is>
          <t>ESMA, EU Carbon Markets Report 2026 (09.07.2026), Essential Statistics p.5</t>
        </is>
      </c>
      <c r="C86" s="77" t="inlineStr">
        <is>
          <t>1</t>
        </is>
      </c>
      <c r="D86" s="77" t="inlineStr">
        <is>
          <t>esma.europa.eu ESMA50-481369926-34622</t>
        </is>
      </c>
      <c r="E86" s="77" t="inlineStr">
        <is>
          <t>2026-07-16</t>
        </is>
      </c>
      <c r="F86" s="77" t="inlineStr">
        <is>
          <t>EUA 2025 annual avg EUR 74</t>
        </is>
      </c>
    </row>
    <row r="87" ht="15" customHeight="1" s="78">
      <c r="A87" s="77" t="inlineStr">
        <is>
          <t>S84</t>
        </is>
      </c>
      <c r="B87" s="77" t="inlineStr">
        <is>
          <t>UK ETS Authority, Report on the functioning of the UK carbon market: 2021-22 (pp.10,12), 2023 (T1 p.10), 2024 (T1 p.11); NAO UK ETS report 06/2025 p.4</t>
        </is>
      </c>
      <c r="C87" s="77" t="inlineStr">
        <is>
          <t>1</t>
        </is>
      </c>
      <c r="D87" s="77" t="inlineStr">
        <is>
          <t>gov.uk assets 64c251a8.../673b8ccf.../68ee0df1...; nao.org.uk</t>
        </is>
      </c>
      <c r="E87" s="77" t="inlineStr">
        <is>
          <t>2026-07-16</t>
        </is>
      </c>
      <c r="F87" s="77" t="inlineStr">
        <is>
          <t>UKA VWA computed from per-auction tables: 51.41/75.42/53.38/37.18 (2021-24); NAO corroborates ~GBP 37 (2024)</t>
        </is>
      </c>
    </row>
    <row r="88" ht="15" customHeight="1" s="78">
      <c r="A88" s="77" t="inlineStr">
        <is>
          <t>S85</t>
        </is>
      </c>
      <c r="B88" s="77" t="inlineStr">
        <is>
          <t>ICAP ETS profiles (UK/EU/CN) + Allowance Price Explorer</t>
        </is>
      </c>
      <c r="C88" s="77" t="inlineStr">
        <is>
          <t>2</t>
        </is>
      </c>
      <c r="D88" s="77" t="inlineStr">
        <is>
          <t>icapcarbonaction.com</t>
        </is>
      </c>
      <c r="E88" s="77" t="inlineStr">
        <is>
          <t>2026-07-16</t>
        </is>
      </c>
      <c r="F88" s="77" t="inlineStr">
        <is>
          <t>UKA 2025 avg GBP 47.36 (placeholder, Q42); secondary cross-checks</t>
        </is>
      </c>
    </row>
    <row r="89" ht="15" customHeight="1" s="78">
      <c r="A89" s="77" t="inlineStr">
        <is>
          <t>S86</t>
        </is>
      </c>
      <c r="B89" s="77" t="inlineStr">
        <is>
          <t>HoC Library briefing SN05927 (Carbon Price Floor) pp.9-11; Autumn Budget 2024 CPS announcement (Deloitte relay)</t>
        </is>
      </c>
      <c r="C89" s="77" t="inlineStr">
        <is>
          <t>1 (relay: 2)</t>
        </is>
      </c>
      <c r="D89" s="77" t="inlineStr">
        <is>
          <t>researchbriefings.files.parliament.uk SN05927</t>
        </is>
      </c>
      <c r="E89" s="77" t="inlineStr">
        <is>
          <t>2026-07-16</t>
        </is>
      </c>
      <c r="F89" s="77" t="inlineStr">
        <is>
          <t>CPS rates 4.94/9.55/18.08/18.00 frozen through 2026-27</t>
        </is>
      </c>
    </row>
    <row r="90" ht="15" customHeight="1" s="78">
      <c r="A90" s="77" t="inlineStr">
        <is>
          <t>S87</t>
        </is>
      </c>
      <c r="B90" s="77" t="inlineStr">
        <is>
          <t>BEIS, EII compensation for indirect costs of EU ETS and CPS — guidance, Dec 2019, sec.2.3 p.9; EU 2012 State-aid GL (2012/C 158/04) Annex IV</t>
        </is>
      </c>
      <c r="C90" s="77" t="inlineStr">
        <is>
          <t>1</t>
        </is>
      </c>
      <c r="D90" s="77" t="inlineStr">
        <is>
          <t>gov.uk assets 62a7074c...; eur-lex OJ C158/2012</t>
        </is>
      </c>
      <c r="E90" s="77" t="inlineStr">
        <is>
          <t>2026-07-16</t>
        </is>
      </c>
      <c r="F90" s="77" t="inlineStr">
        <is>
          <t>UK MEF 0.58 (2013-2020) — "United Kingdom 0,58"</t>
        </is>
      </c>
    </row>
    <row r="91" ht="15" customHeight="1" s="78">
      <c r="A91" s="77" t="inlineStr">
        <is>
          <t>S88</t>
        </is>
      </c>
      <c r="B91" s="77" t="inlineStr">
        <is>
          <t>DBT/BEIS UK ETS+CPS compensation guidance, dated versions 2021-2026 (UKGWA/Wayback); BEIS EII schemes review response Apr 2022 pp.24-25</t>
        </is>
      </c>
      <c r="C91" s="77" t="inlineStr">
        <is>
          <t>1</t>
        </is>
      </c>
      <c r="D91" s="77" t="inlineStr">
        <is>
          <t>gov.uk guidance + webarchive.nationalarchives.gov.uk snapshots</t>
        </is>
      </c>
      <c r="E91" s="77" t="inlineStr">
        <is>
          <t>2026-07-16</t>
        </is>
      </c>
      <c r="F91" s="77" t="inlineStr">
        <is>
          <t>UK MEF series 0.45/0.44/0.4344/0.42/0.44/0.45 (2021-2026); t-2 DUKES rule; DBT worked cross-check GBP 32.04/MWh (2026-27, real 2025)</t>
        </is>
      </c>
    </row>
    <row r="92" ht="15" customHeight="1" s="78">
      <c r="A92" s="77" t="inlineStr">
        <is>
          <t>S89</t>
        </is>
      </c>
      <c r="B92" s="77" t="inlineStr">
        <is>
          <t>DEHSt, SPK-Bericht 2024 (fn.8-9, p.13); Commission Communication 2021/C 528/01 (Annex III factors)</t>
        </is>
      </c>
      <c r="C92" s="77" t="inlineStr">
        <is>
          <t>1</t>
        </is>
      </c>
      <c r="D92" s="77" t="inlineStr">
        <is>
          <t>dehst.de /spk/Auswertungsbericht_2024.pdf</t>
        </is>
      </c>
      <c r="E92" s="77" t="inlineStr">
        <is>
          <t>2026-07-16</t>
        </is>
      </c>
      <c r="F92" s="77" t="inlineStr">
        <is>
          <t>DE MEF 0.72 (Mittelwesteuropa, 2021+), 0.76 (third period); aid intensity 0.75</t>
        </is>
      </c>
    </row>
    <row r="93" ht="15" customHeight="1" s="78">
      <c r="A93" s="77" t="inlineStr">
        <is>
          <t>S90</t>
        </is>
      </c>
      <c r="B93" s="77" t="inlineStr">
        <is>
          <t>SEEE year reviews (31.12.2024; 01.01.2026); MEE announcements/progress reports; IIGF via Sina (2021-22); CBNRI (2023)</t>
        </is>
      </c>
      <c r="C93" s="77" t="inlineStr">
        <is>
          <t>1 (avgs 2021-23: 2)</t>
        </is>
      </c>
      <c r="D93" s="77" t="inlineStr">
        <is>
          <t>overview.cneeex.com; mee.gov.cn</t>
        </is>
      </c>
      <c r="E93" s="77" t="inlineStr">
        <is>
          <t>2026-07-16</t>
        </is>
      </c>
      <c r="F93" s="77" t="inlineStr">
        <is>
          <t>CEA annual avgs 42.85/55.30/68.15/95.84 (computed)/62.36; context only (D40)</t>
        </is>
      </c>
    </row>
    <row r="94" ht="15" customHeight="1" s="78">
      <c r="A94" s="77" t="inlineStr">
        <is>
          <t>S91</t>
        </is>
      </c>
      <c r="B94" s="77" t="inlineStr">
        <is>
          <t>Zakeri, Staffell et al. 2023, Energy Reports 10:2778-2792, Table 2; INET WP207 p.2; UCL Green Power Pools WP4 p.12</t>
        </is>
      </c>
      <c r="C94" s="77" t="inlineStr">
        <is>
          <t>2</t>
        </is>
      </c>
      <c r="D94" s="77" t="inlineStr">
        <is>
          <t>discovery.ucl.ac.uk; ineteconomics.org; ucl.ac.uk</t>
        </is>
      </c>
      <c r="E94" s="77" t="inlineStr">
        <is>
          <t>2026-07-16</t>
        </is>
      </c>
      <c r="F94" s="77" t="inlineStr">
        <is>
          <t>Price-setting shares: GB fossil 88 (2015) -&gt; 97 pct (2021), gas 98 pct 2021, 84 pct 2019; DE 92 -&gt; 72 pct</t>
        </is>
      </c>
    </row>
    <row r="95" ht="15" customHeight="1" s="78">
      <c r="A95" s="77" t="inlineStr">
        <is>
          <t>S92</t>
        </is>
      </c>
      <c r="B95" s="77" t="inlineStr">
        <is>
          <t>NESO Clean Power 2030, Annex 1 p.36; DESNZ news 21.04.2026</t>
        </is>
      </c>
      <c r="C95" s="77" t="inlineStr">
        <is>
          <t>1</t>
        </is>
      </c>
      <c r="D95" s="77" t="inlineStr">
        <is>
          <t>neso.energy doc 346791; gov.uk news</t>
        </is>
      </c>
      <c r="E95" s="77" t="inlineStr">
        <is>
          <t>2026-07-16</t>
        </is>
      </c>
      <c r="F95" s="77" t="inlineStr">
        <is>
          <t>GB: unabated gas set price 97 pct of time (2023); ~90 pct early 2020s, ~60 pct 2026</t>
        </is>
      </c>
    </row>
    <row r="96" ht="15" customHeight="1" s="78">
      <c r="A96" s="77" t="inlineStr">
        <is>
          <t>S93</t>
        </is>
      </c>
      <c r="B96" s="77" t="inlineStr">
        <is>
          <t>Blume-Werry, Faber, Hirth, Huber, Everts 2021, Economics of Energy &amp; Environmental Policy 10(1), Fig.3</t>
        </is>
      </c>
      <c r="C96" s="77" t="inlineStr">
        <is>
          <t>2</t>
        </is>
      </c>
      <c r="D96" s="77" t="inlineStr">
        <is>
          <t>neon.energy PDF</t>
        </is>
      </c>
      <c r="E96" s="77" t="inlineStr">
        <is>
          <t>2026-07-16</t>
        </is>
      </c>
      <c r="F96" s="77" t="inlineStr">
        <is>
          <t>DE 2020 price-setting hours: gas 2,536 / lignite 1,509 / hard coal 1,213 (59.9 pct fossil)</t>
        </is>
      </c>
    </row>
    <row r="97" ht="15" customHeight="1" s="78">
      <c r="A97" s="77" t="inlineStr">
        <is>
          <t>S94</t>
        </is>
      </c>
      <c r="B97" s="77" t="inlineStr">
        <is>
          <t>UBA Climate Change 23/2024, Tab.4 p.20; NESO Carbon Intensity Forecast Methodology Table 1</t>
        </is>
      </c>
      <c r="C97" s="77" t="inlineStr">
        <is>
          <t>1</t>
        </is>
      </c>
      <c r="D97" s="77" t="inlineStr">
        <is>
          <t>umweltbundesamt.de; carbon-intensity methodology (GitHub-hosted official doc)</t>
        </is>
      </c>
      <c r="E97" s="77" t="inlineStr">
        <is>
          <t>2026-07-16</t>
        </is>
      </c>
      <c r="F97" s="77" t="inlineStr">
        <is>
          <t>Intensities: DE gas 0.392 / hard coal 0.860 / lignite 1.120; GB CCGT 0.394 tCO2/MWh</t>
        </is>
      </c>
    </row>
    <row r="98" ht="15" customHeight="1" s="78">
      <c r="A98" s="77" t="inlineStr">
        <is>
          <t>S95</t>
        </is>
      </c>
      <c r="B98" s="77" t="inlineStr">
        <is>
          <t>ADB 2024 (Ewing), PRC ETS background paper pp.13-14; IEA-Tsinghua 2021 (China ETS &amp; power decarbonisation); Pizer &amp; Zhang 2018 (Duke WP 18-01)</t>
        </is>
      </c>
      <c r="C98" s="77" t="inlineStr">
        <is>
          <t>2</t>
        </is>
      </c>
      <c r="D98" s="77" t="inlineStr">
        <is>
          <t>adb.org; iea.org; nicholasinstitute.duke.edu</t>
        </is>
      </c>
      <c r="E98" s="77" t="inlineStr">
        <is>
          <t>2026-07-16</t>
        </is>
      </c>
      <c r="F98" s="77" t="inlineStr">
        <is>
          <t>CN carbon pass-through prevented/muted (basis of D40 CN=0)</t>
        </is>
      </c>
    </row>
    <row r="99" ht="15" customHeight="1" s="78">
      <c r="A99" s="77" t="inlineStr">
        <is>
          <t>S96</t>
        </is>
      </c>
      <c r="B99" s="77" t="inlineStr">
        <is>
          <t>netztransparenz.de, EEG-Finanzierungsbedarf 2023/2024/2025/2026 publications (2026 PDF: 14,566,680,395.35 EUR); Bundestag Drs. 20/14522 (hib); BMF 30. Subventionsbericht; BMWE Haushalt 2026</t>
        </is>
      </c>
      <c r="C99" s="77" t="inlineStr">
        <is>
          <t>1</t>
        </is>
      </c>
      <c r="D99" s="77" t="inlineStr">
        <is>
          <t>netztransparenz.de; bundestag.de; bundesfinanzministerium.de</t>
        </is>
      </c>
      <c r="E99" s="77" t="inlineStr">
        <is>
          <t>2026-07-16</t>
        </is>
      </c>
      <c r="F99" s="77" t="inlineStr">
        <is>
          <t>EEG taxpayer transfers: 2023 = 0; 2024 = 18.489bn; 2025 ~16.5bn; 2026 budget 16.2bn EUR (T3/HATCH iii rows)</t>
        </is>
      </c>
    </row>
    <row r="100" ht="15" customHeight="1" s="78">
      <c r="A100" s="77" t="inlineStr">
        <is>
          <t>S97</t>
        </is>
      </c>
      <c r="B100" s="77" t="inlineStr">
        <is>
          <t>netztransparenz.de, Datenbasis zum Aufschlag fuer besondere Netznutzung 2026 (24.10.2025)</t>
        </is>
      </c>
      <c r="C100" s="77" t="inlineStr">
        <is>
          <t>1</t>
        </is>
      </c>
      <c r="D100" s="77" t="inlineStr">
        <is>
          <t>netztransparenz.de staticfiles</t>
        </is>
      </c>
      <c r="E100" s="77" t="inlineStr">
        <is>
          <t>2026-07-16</t>
        </is>
      </c>
      <c r="F100" s="77" t="inlineStr">
        <is>
          <t>Levy base 440,703,363,472 kWh (A-prime 250.3 TWh) — Q44 denominator</t>
        </is>
      </c>
    </row>
    <row r="101" ht="15" customHeight="1" s="78">
      <c r="A101" s="77" t="inlineStr">
        <is>
          <t>S98</t>
        </is>
      </c>
      <c r="B101" s="77" t="inlineStr">
        <is>
          <t>NDRC reply to NPC suggestions 3785/4366 (26.07.2018); Zhongguo Nengyuan Bao 01.06.2020 (State Grid chairmen: &gt;CNY 270bn 2019; -7.6 fen removal counterfactual); Nengyuan Yanjiu Julebu 2018 (~CNY 207bn, 2016)</t>
        </is>
      </c>
      <c r="C101" s="77" t="inlineStr">
        <is>
          <t>1-adj / 2</t>
        </is>
      </c>
      <c r="D101" s="77" t="inlineStr">
        <is>
          <t>zfxxgk.ndrc.gov.cn id=15560; paper.people.com.cn; energytrend.cn</t>
        </is>
      </c>
      <c r="E101" s="77" t="inlineStr">
        <is>
          <t>2026-07-16</t>
        </is>
      </c>
      <c r="F101" s="77" t="inlineStr">
        <is>
          <t>CN cross-subsidy scale (T3 note; never added to stack)</t>
        </is>
      </c>
    </row>
    <row r="102" ht="15" customHeight="1" s="78">
      <c r="A102" s="77" t="inlineStr">
        <is>
          <t>S99</t>
        </is>
      </c>
      <c r="B102" s="77" t="inlineStr">
        <is>
          <t>Ofgem, GB electricity prices for EIIs (07/2021); Guo &amp; Newbery 2023 (Energy Journal 44(1)); Guo &amp; Castagneto Gissey (EPRG WP1937); Hintermann 2016</t>
        </is>
      </c>
      <c r="C102" s="77" t="inlineStr">
        <is>
          <t>1 / 2</t>
        </is>
      </c>
      <c r="D102" s="77" t="inlineStr">
        <is>
          <t>ofgem.gov.uk; repository.cam.ac.uk; jbs.cam.ac.uk</t>
        </is>
      </c>
      <c r="E102" s="77" t="inlineStr">
        <is>
          <t>2026-07-16</t>
        </is>
      </c>
      <c r="F102" s="77" t="inlineStr">
        <is>
          <t>Carbon-cost cross-checks: CPS ~GBP 10-11/MWh; GB EUA pass-through 75-100 pct; DE 84-104 pct</t>
        </is>
      </c>
    </row>
    <row r="103" ht="15" customHeight="1" s="78">
      <c r="A103" s="77" t="inlineStr">
        <is>
          <t>S100</t>
        </is>
      </c>
      <c r="B103" s="77" t="inlineStr">
        <is>
          <t>EU ETS State-aid guidelines 2020/C 317/04 para 28(a) (Amax formula); JRC/DG COMP case SA.100559</t>
        </is>
      </c>
      <c r="C103" s="77" t="inlineStr">
        <is>
          <t>1</t>
        </is>
      </c>
      <c r="D103" s="77" t="inlineStr">
        <is>
          <t>eur-lex.europa.eu 52020XC0925(01)</t>
        </is>
      </c>
      <c r="E103" s="77" t="inlineStr">
        <is>
          <t>2026-07-16</t>
        </is>
      </c>
      <c r="F103" s="77" t="inlineStr">
        <is>
          <t>Compensation formula structure (context for D40)</t>
        </is>
      </c>
    </row>
    <row r="104" ht="15" customHeight="1" s="78">
      <c r="A104" s="77" t="inlineStr">
        <is>
          <t>S107</t>
        </is>
      </c>
      <c r="B104" s="77" t="inlineStr">
        <is>
          <t>NESO, Five-Year View of TNUoS Tariffs 2026/27-2030/31, v3.0 (18.09.2025), Tables 14-15 pp.31-32</t>
        </is>
      </c>
      <c r="C104" s="77" t="inlineStr">
        <is>
          <t>1</t>
        </is>
      </c>
      <c r="D104" s="77" t="inlineStr">
        <is>
          <t>neso.energy/document/367801/download</t>
        </is>
      </c>
      <c r="E104" s="77" t="inlineStr">
        <is>
          <t>2026-07-16</t>
        </is>
      </c>
      <c r="F104" s="77" t="inlineStr">
        <is>
          <t>T-D4/HV4 residual paths (DD basis, nominal); residual revenue 7.52-&gt;11.76bn; basis stmt p. (RIIO-ET3 draft determinations 01.07.2025)</t>
        </is>
      </c>
    </row>
    <row r="105" ht="15" customHeight="1" s="78">
      <c r="A105" s="77" t="inlineStr">
        <is>
          <t>S108</t>
        </is>
      </c>
      <c r="B105" s="77" t="inlineStr">
        <is>
          <t>NESO, Initial Forecast of TNUoS Tariffs 2027/28 (11.05.2026) + forecast timetable letter (29.01/30.04.2026)</t>
        </is>
      </c>
      <c r="C105" s="77" t="inlineStr">
        <is>
          <t>1</t>
        </is>
      </c>
      <c r="D105" s="77" t="inlineStr">
        <is>
          <t>neso.energy/document/380281 + /376486</t>
        </is>
      </c>
      <c r="E105" s="77" t="inlineStr">
        <is>
          <t>2026-07-16</t>
        </is>
      </c>
      <c r="F105" s="77" t="inlineStr">
        <is>
          <t>27/28 T-D4 25,716.52 / HV4 654.73 on 26/27-Final basis; next FYV moves to Sep-2026</t>
        </is>
      </c>
    </row>
    <row r="106" ht="15" customHeight="1" s="78">
      <c r="A106" s="77" t="inlineStr">
        <is>
          <t>S109</t>
        </is>
      </c>
      <c r="B106" s="77" t="inlineStr">
        <is>
          <t>Ofgem, RIIO-3 Final Determinations - Electricity Transmission (04.12.2025) + press release</t>
        </is>
      </c>
      <c r="C106" s="77" t="inlineStr">
        <is>
          <t>1</t>
        </is>
      </c>
      <c r="D106" s="77" t="inlineStr">
        <is>
          <t>ofgem.gov.uk /sites/default/files/2025-12/RIIO-3-Final-Determinations-ET.pdf</t>
        </is>
      </c>
      <c r="E106" s="77" t="inlineStr">
        <is>
          <t>2026-07-16</t>
        </is>
      </c>
      <c r="F106" s="77" t="inlineStr">
        <is>
          <t>Baseline totex GBP 10.7bn (submitted 15.8bn), para 2.8; PR: GBP 28bn cross-sector</t>
        </is>
      </c>
    </row>
    <row r="107" ht="15" customHeight="1" s="78">
      <c r="A107" s="77" t="inlineStr">
        <is>
          <t>S110</t>
        </is>
      </c>
      <c r="B107" s="77" t="inlineStr">
        <is>
          <t>BNetzA, AgNes Orientierungspunkte Industrienetzentgelte (22.04.2026, GBK-25-01-1#3)</t>
        </is>
      </c>
      <c r="C107" s="77" t="inlineStr">
        <is>
          <t>1</t>
        </is>
      </c>
      <c r="D107" s="77" t="inlineStr">
        <is>
          <t>bundesnetzagentur.de .../Orientierungspunkte_Industr_NetzE.pdf</t>
        </is>
      </c>
      <c r="E107" s="77" t="inlineStr">
        <is>
          <t>2026-07-16</t>
        </is>
      </c>
      <c r="F107" s="77" t="inlineStr">
        <is>
          <t>Successor Sondernetzentgelt: discounts of similar heights (atypical &lt;=80%, Bandlast &lt;=90%); dynamic component fruehestens 2029, eher 2030 (extensions 2033-35); EII decision fruehestens 2031; new cascading relieves HoeS Bandlast users 20-80% on general charges</t>
        </is>
      </c>
    </row>
    <row r="108" ht="15" customHeight="1" s="78">
      <c r="A108" s="77" t="inlineStr">
        <is>
          <t>S111</t>
        </is>
      </c>
      <c r="B108" s="77" t="inlineStr">
        <is>
          <t>BDEW/Consentec, Prognose und Analyse der Netzentgeltentwicklung Strom (06.12.2024)</t>
        </is>
      </c>
      <c r="C108" s="77" t="inlineStr">
        <is>
          <t>2 (association-commissioned)</t>
        </is>
      </c>
      <c r="D108" s="77" t="inlineStr">
        <is>
          <t>bdew.de/media/documents/Studie_Prognose_und_Analyse_der_Netzentgeltentwicklung_Strom.pdf</t>
        </is>
      </c>
      <c r="E108" s="77" t="inlineStr">
        <is>
          <t>2026-07-16</t>
        </is>
      </c>
      <c r="F108" s="77" t="inlineStr">
        <is>
          <t>Real-2023 paths: HoeS +10% to 2030, -10..-15% by 2045; HS/MS +30%; NS ~x2; 19.2-Umlage 0.4-&gt;0.8 ct/kWh; HoeS costs x1.5 to 2045; basis Szenariorahmen B</t>
        </is>
      </c>
    </row>
    <row r="109" ht="15" customHeight="1" s="78">
      <c r="A109" s="77" t="inlineStr">
        <is>
          <t>S112</t>
        </is>
      </c>
      <c r="B109" s="77" t="inlineStr">
        <is>
          <t>UeNB, NEP Strom 2037/2045 Version 2025, 1. Entwurf (Dec 2025), Vorwort</t>
        </is>
      </c>
      <c r="C109" s="77" t="inlineStr">
        <is>
          <t>1 (draft)</t>
        </is>
      </c>
      <c r="D109" s="77" t="inlineStr">
        <is>
          <t>netzentwicklungsplan.de/.../NEP_2037_2045_V2025_1_Entwurf_0.pdf</t>
        </is>
      </c>
      <c r="E109" s="77" t="inlineStr">
        <is>
          <t>2026-07-16</t>
        </is>
      </c>
      <c r="F109" s="77" t="inlineStr">
        <is>
          <t>Investment path A to 2045 ~EUR 360bn</t>
        </is>
      </c>
    </row>
    <row r="110" ht="16.5" customHeight="1" s="78">
      <c r="A110" s="77" t="inlineStr">
        <is>
          <t>S113</t>
        </is>
      </c>
      <c r="B110" s="77" t="inlineStr">
        <is>
          <t>NDRC 发改价格〔2026〕1077号 (08.07.2026, eff. 01.08.2026) + annex 1 (parsed); 〔2025〕1490号 办法 (21.11.2025)</t>
        </is>
      </c>
      <c r="C110" s="77" t="inlineStr">
        <is>
          <t>1</t>
        </is>
      </c>
      <c r="D110" s="77" t="inlineStr">
        <is>
          <t>ndrc.gov.cn /xxgk/zcfb/tz/202607/t20260710_1406431.html + P020260710613207914509.pdf</t>
        </is>
      </c>
      <c r="E110" s="77" t="inlineStr">
        <is>
          <t>2026-07-16</t>
        </is>
      </c>
      <c r="F110" s="77" t="inlineStr">
        <is>
          <t>P4 T&amp;D: 220kV volumetric down (JS 0.0518), demand flat (41.6); new 220kV single-part band; per-province line-loss rates (JS 2.83%); equity return re-anchored 10Y CGB +4pp</t>
        </is>
      </c>
    </row>
    <row r="111" ht="16.5" customHeight="1" s="78">
      <c r="A111" s="77" t="inlineStr">
        <is>
          <t>S114</t>
        </is>
      </c>
      <c r="B111" s="77" t="inlineStr">
        <is>
          <t>JS 代理购电 notices (S106) + 发改价格〔2023〕1501号 + 〔2026〕114号 + 〔2025〕136号 + 鲁/粤 mechanism auctions</t>
        </is>
      </c>
      <c r="C111" s="77" t="inlineStr">
        <is>
          <t>1</t>
        </is>
      </c>
      <c r="D111" s="77" t="inlineStr">
        <is>
          <t>ndrc.gov.cn; gov.cn; nyj.shandong.gov.cn</t>
        </is>
      </c>
      <c r="E111" s="77" t="inlineStr">
        <is>
          <t>2026-07-16</t>
        </is>
      </c>
      <c r="F111" s="142" t="inlineStr">
        <is>
          <t>系统运行费 drivers: coal capacity recovery &gt;=50% from 2026; capacity pricing extended to gas/PSH/storage; 136号 auctions (SD wind 0.319/PV 0.225); JS mechanism line 0.0118-&gt;0.0186</t>
        </is>
      </c>
    </row>
    <row r="112" ht="16.5" customHeight="1" s="78">
      <c r="A112" s="77" t="inlineStr">
        <is>
          <t>S115</t>
        </is>
      </c>
      <c r="B112" s="77" t="inlineStr">
        <is>
          <t>NEA annual consumption releases 2010-2025; CEC 供需报告 (01/2025, 02/2026); NEA peak-load release 10.07.2026; 国网能源院 (03/2026); grid-investment: NEA/CEC/yicai</t>
        </is>
      </c>
      <c r="C112" s="77" t="inlineStr">
        <is>
          <t>1 (SGERI/yicai relay: 2)</t>
        </is>
      </c>
      <c r="D112" s="77" t="inlineStr">
        <is>
          <t>nea.gov.cn; cpnn.com.cn; yicai.com</t>
        </is>
      </c>
      <c r="E112" s="77" t="inlineStr">
        <is>
          <t>2026-07-16</t>
        </is>
      </c>
      <c r="F112" s="142" t="inlineStr">
        <is>
          <t>全社会用电量 series (2025: 103,682亿kWh +5.0%); peaks 2024 14.5 / 2025 15.08 / 2026YTD 15.18亿kW; CEC 2026 10.9-11万亿; SGERI 2030 13.5 / 2035 16.7万亿; SGCC 十五五 4tn</t>
        </is>
      </c>
    </row>
    <row r="113" ht="15" customHeight="1" s="78">
      <c r="A113" s="77" t="inlineStr">
        <is>
          <t>S116</t>
        </is>
      </c>
      <c r="B113" s="77" t="inlineStr">
        <is>
          <t>DESNZ DUKES 5.1.2 (electricity supplied) + 5.10.A (simultaneous maximum load), July 2025 edition</t>
        </is>
      </c>
      <c r="C113" s="77" t="inlineStr">
        <is>
          <t>1</t>
        </is>
      </c>
      <c r="D113" s="77" t="inlineStr">
        <is>
          <t>assets.publishing.service.gov.uk DUKES_5.1.2.xlsx / DUKES_5.10.xlsx</t>
        </is>
      </c>
      <c r="E113" s="77" t="inlineStr">
        <is>
          <t>2026-07-16</t>
        </is>
      </c>
      <c r="F113" s="77" t="inlineStr">
        <is>
          <t>UK supplied 361.7 (2010) -&gt; 270.9 TWh (2024); GB peak 59.1 -&gt; 46.0 GW</t>
        </is>
      </c>
    </row>
    <row r="114" ht="15" customHeight="1" s="78">
      <c r="A114" s="77" t="inlineStr">
        <is>
          <t>S117</t>
        </is>
      </c>
      <c r="B114" s="77" t="inlineStr">
        <is>
          <t>SMARD (BNetzA) Netzlast series 410, quarterhour, own annual sum and max</t>
        </is>
      </c>
      <c r="C114" s="77" t="inlineStr">
        <is>
          <t>1 (own aggregation, estimated=Y)</t>
        </is>
      </c>
      <c r="D114" s="77" t="inlineStr">
        <is>
          <t>smard.de/app/chart_data/410/DE/</t>
        </is>
      </c>
      <c r="E114" s="77" t="inlineStr">
        <is>
          <t>2026-07-16</t>
        </is>
      </c>
      <c r="F114" s="77" t="inlineStr">
        <is>
          <t>DE energy 502-&gt;466 TWh, peak 78.1-&gt;76.0 GW (2015-2025); 2024 peak cross-checks MB (75.8)</t>
        </is>
      </c>
    </row>
    <row r="115" ht="15" customHeight="1" s="78">
      <c r="A115" s="77" t="inlineStr">
        <is>
          <t>S118</t>
        </is>
      </c>
      <c r="B115" s="77" t="inlineStr">
        <is>
          <t>NSTA UK Oil &amp; Gas Reserves &amp; Resources reports (end-2016..end-2024), central 1P; App.D metric</t>
        </is>
      </c>
      <c r="C115" s="77" t="inlineStr">
        <is>
          <t>1</t>
        </is>
      </c>
      <c r="D115" s="77" t="inlineStr">
        <is>
          <t>nsta.gov.uk</t>
        </is>
      </c>
      <c r="E115" s="77" t="inlineStr">
        <is>
          <t>2026-07-18</t>
        </is>
      </c>
      <c r="F115" s="77" t="inlineStr">
        <is>
          <t>8.1A reserves (2010-14 not published)</t>
        </is>
      </c>
    </row>
    <row r="116" ht="15" customHeight="1" s="78">
      <c r="A116" s="77" t="inlineStr">
        <is>
          <t>S119</t>
        </is>
      </c>
      <c r="B116" s="77" t="inlineStr">
        <is>
          <t>OEUK Business Outlook 2025 (p.9); NSTA Projections of UK O&amp;G Production &amp; Expenditure Mar-2018/2019</t>
        </is>
      </c>
      <c r="C116" s="77" t="inlineStr">
        <is>
          <t>1</t>
        </is>
      </c>
      <c r="D116" s="77" t="inlineStr">
        <is>
          <t>oeuk.org.uk; nsta.gov.uk</t>
        </is>
      </c>
      <c r="E116" s="77" t="inlineStr">
        <is>
          <t>2026-07-18</t>
        </is>
      </c>
      <c r="F116" s="77" t="inlineStr">
        <is>
          <t>8.1A E&amp;P capex (real-price; 2024 nominal ~£6bn; series otherwise GAP)</t>
        </is>
      </c>
    </row>
    <row r="117" ht="15" customHeight="1" s="78">
      <c r="A117" s="77" t="inlineStr">
        <is>
          <t>S120</t>
        </is>
      </c>
      <c r="B117" s="77" t="inlineStr">
        <is>
          <t>HM Treasury GDP deflators at market prices, June 2026 (L8GG, FY, 2025-26=100)</t>
        </is>
      </c>
      <c r="C117" s="77" t="inlineStr">
        <is>
          <t>1</t>
        </is>
      </c>
      <c r="D117" s="77" t="inlineStr">
        <is>
          <t>gov.uk/government/statistics/gdp-deflators-at-market-prices-and-money-gdp</t>
        </is>
      </c>
      <c r="E117" s="77" t="inlineStr">
        <is>
          <t>2026-07-18</t>
        </is>
      </c>
      <c r="F117" s="77" t="inlineStr">
        <is>
          <t>real-2025-GBP deflation (calendar/FY mismatch flagged)</t>
        </is>
      </c>
    </row>
    <row r="118" ht="15" customHeight="1" s="78">
      <c r="A118" s="77" t="inlineStr">
        <is>
          <t>S121</t>
        </is>
      </c>
      <c r="B118" s="77" t="inlineStr">
        <is>
          <t>OGA Analysis of UKCS Operating Costs 2016; NSTA UKCS Operating Costs 2018; NSTA Benchmarking Dashboards 2022-24</t>
        </is>
      </c>
      <c r="C118" s="77" t="inlineStr">
        <is>
          <t>1</t>
        </is>
      </c>
      <c r="D118" s="77" t="inlineStr">
        <is>
          <t>nsta.gov.uk</t>
        </is>
      </c>
      <c r="E118" s="77" t="inlineStr">
        <is>
          <t>2026-07-18</t>
        </is>
      </c>
      <c r="F118" s="77" t="inlineStr">
        <is>
          <t>8.1B mixed £/boe unit opex (2019-21 GAP)</t>
        </is>
      </c>
    </row>
    <row r="119" ht="15" customHeight="1" s="78">
      <c r="A119" s="77" t="inlineStr">
        <is>
          <t>S122</t>
        </is>
      </c>
      <c r="B119" s="77" t="inlineStr">
        <is>
          <t>Rystad via OGJ 08.01.2020 (UK opex &gt;$30/bbl 2014 -&gt; $16/bbl 2019); EIA Today-in-Energy (US $32/boe 2019, $28.06/boe Q1-22); BEIS/Rystad Fossil Fuel Supply Curves 2019/2023</t>
        </is>
      </c>
      <c r="C119" s="77" t="inlineStr">
        <is>
          <t>2 (Rystad relay) / 1 (EIA, BEIS)</t>
        </is>
      </c>
      <c r="D119" s="77" t="inlineStr">
        <is>
          <t>ogj.com; eia.gov; gov.uk</t>
        </is>
      </c>
      <c r="E119" s="77" t="inlineStr">
        <is>
          <t>2026-07-18</t>
        </is>
      </c>
      <c r="F119" s="77" t="inlineStr">
        <is>
          <t>8.1B oil-relevant opex anchors; global production-weighted oil USD/bbl = GAP</t>
        </is>
      </c>
    </row>
    <row r="120" ht="15" customHeight="1" s="78">
      <c r="A120" s="77" t="inlineStr">
        <is>
          <t>S123</t>
        </is>
      </c>
      <c r="B120" s="77" t="inlineStr">
        <is>
          <t>S&amp;P Global Upstream Operating Costs Index (UOCI), 2000=100</t>
        </is>
      </c>
      <c r="C120" s="77" t="inlineStr">
        <is>
          <t>2</t>
        </is>
      </c>
      <c r="D120" s="77" t="inlineStr">
        <is>
          <t>spglobal.com (levels via OGJ/IHS releases)</t>
        </is>
      </c>
      <c r="E120" s="77" t="inlineStr">
        <is>
          <t>2026-07-18</t>
        </is>
      </c>
      <c r="F120" s="77" t="inlineStr">
        <is>
          <t>8.1B index to evolve oil opex anchors (sparse; 2014 peak level undisclosed)</t>
        </is>
      </c>
    </row>
    <row r="121" ht="15" customHeight="1" s="78">
      <c r="A121" s="77" t="inlineStr">
        <is>
          <t>S124</t>
        </is>
      </c>
      <c r="B121" s="77" t="inlineStr">
        <is>
          <t>DUKES 2025 — T4.1.1 (methane GWh), T1.1 (energy balance ktoe), T1.1.1.B (primary energy mtoe)</t>
        </is>
      </c>
      <c r="C121" s="77" t="inlineStr">
        <is>
          <t>1</t>
        </is>
      </c>
      <c r="D121" s="77" t="inlineStr">
        <is>
          <t>gov.uk/government/statistics/digest-of-uk-energy-statistics-dukes-2025</t>
        </is>
      </c>
      <c r="E121" s="77" t="inlineStr">
        <is>
          <t>2026-07-18</t>
        </is>
      </c>
      <c r="F121" s="77" t="inlineStr">
        <is>
          <t>8.1C gas &amp; primary-energy coverage</t>
        </is>
      </c>
    </row>
    <row r="122" ht="15" customHeight="1" s="78">
      <c r="A122" s="77" t="inlineStr">
        <is>
          <t>S125</t>
        </is>
      </c>
      <c r="B122" s="77" t="inlineStr">
        <is>
          <t>Energy Institute Statistical Review of World Energy 2025 (Rystad data) — gas production &amp; inter-regional trade (bcm)</t>
        </is>
      </c>
      <c r="C122" s="77" t="inlineStr">
        <is>
          <t>1</t>
        </is>
      </c>
      <c r="D122" s="77" t="inlineStr">
        <is>
          <t>energyinst.org</t>
        </is>
      </c>
      <c r="E122" s="77" t="inlineStr">
        <is>
          <t>2026-07-18</t>
        </is>
      </c>
      <c r="F122" s="77" t="inlineStr">
        <is>
          <t>8.1C UKCS gas vs world traded gas (2010-13 GAP)</t>
        </is>
      </c>
    </row>
    <row r="123" ht="15" customHeight="1" s="78">
      <c r="A123" s="77" t="inlineStr">
        <is>
          <t>S126</t>
        </is>
      </c>
      <c r="B123" s="77" t="inlineStr">
        <is>
          <t>OECD/NEA (with IEA) Projected Costs of Generating Electricity 2020 — T3.13a/T3.4a (2018 USD)</t>
        </is>
      </c>
      <c r="C123" s="77" t="inlineStr">
        <is>
          <t>1</t>
        </is>
      </c>
      <c r="D123" s="77" t="inlineStr">
        <is>
          <t>oecd-nea.org</t>
        </is>
      </c>
      <c r="E123" s="77" t="inlineStr">
        <is>
          <t>2026-07-18</t>
        </is>
      </c>
      <c r="F123" s="77" t="inlineStr">
        <is>
          <t>8.2A harmonised nuclear LCOE 3/7/10% (no UK/DE/Hungary/Czechia nuclear cells)</t>
        </is>
      </c>
    </row>
    <row r="124" ht="15" customHeight="1" s="78">
      <c r="A124" s="77" t="inlineStr">
        <is>
          <t>S127</t>
        </is>
      </c>
      <c r="B124" s="77" t="inlineStr">
        <is>
          <t>Georgia Power Vogtle one-pager 2023-07; GPB/MEAG 2022-05 (whole-project $30.3bn-&gt;$34bn+; MEAG 22.7% $7.8bn; GP 45.7% $10.2bn)</t>
        </is>
      </c>
      <c r="C124" s="77" t="inlineStr">
        <is>
          <t>1</t>
        </is>
      </c>
      <c r="D124" s="77" t="inlineStr">
        <is>
          <t>georgiapower.com; gpb.org</t>
        </is>
      </c>
      <c r="E124" s="77" t="inlineStr">
        <is>
          <t>2026-07-18</t>
        </is>
      </c>
      <c r="F124" s="77" t="inlineStr">
        <is>
          <t>8.2B Vogtle scopes (annual gen GAP; O&amp;M GAP; LCOE = indicative proxy)</t>
        </is>
      </c>
    </row>
    <row r="125" ht="15" customHeight="1" s="78">
      <c r="A125" s="77" t="inlineStr">
        <is>
          <t>S128</t>
        </is>
      </c>
      <c r="B125" s="77" t="inlineStr">
        <is>
          <t>Cour des comptes 2025 "La filiere EPR" (14.01.2025) p.27-35</t>
        </is>
      </c>
      <c r="C125" s="77" t="inlineStr">
        <is>
          <t>1</t>
        </is>
      </c>
      <c r="D125" s="77" t="inlineStr">
        <is>
          <t>ccomptes.fr (via web.archive.org)</t>
        </is>
      </c>
      <c r="E125" s="77" t="inlineStr">
        <is>
          <t>2026-07-18</t>
        </is>
      </c>
      <c r="F125" s="77" t="inlineStr">
        <is>
          <t>8.2B Flamanville cost requirement 176 EUR2023/MWh @7%/85%; total 23.7 Md EUR2023</t>
        </is>
      </c>
    </row>
    <row r="126" ht="15" customHeight="1" s="78">
      <c r="A126" s="77" t="inlineStr">
        <is>
          <t>S129</t>
        </is>
      </c>
      <c r="B126" s="77" t="inlineStr">
        <is>
          <t>IAEA PRIS Reactor Details</t>
        </is>
      </c>
      <c r="C126" s="77" t="inlineStr">
        <is>
          <t>1</t>
        </is>
      </c>
      <c r="D126" s="77" t="inlineStr">
        <is>
          <t>pris.iaea.org</t>
        </is>
      </c>
      <c r="E126" s="77" t="inlineStr">
        <is>
          <t>2026-07-18</t>
        </is>
      </c>
      <c r="F126" s="77" t="inlineStr">
        <is>
          <t>8.2D construction durations</t>
        </is>
      </c>
    </row>
    <row r="127" ht="15" customHeight="1" s="78">
      <c r="A127" s="77" t="inlineStr">
        <is>
          <t>S130</t>
        </is>
      </c>
      <c r="B127" s="77" t="inlineStr">
        <is>
          <t>BEIS Electricity Generation Costs 2016 (T6 p.28); DESNZ EGC 2023/2025 (nuclear confidential — not published)</t>
        </is>
      </c>
      <c r="C127" s="77" t="inlineStr">
        <is>
          <t>1</t>
        </is>
      </c>
      <c r="D127" s="77" t="inlineStr">
        <is>
          <t>gov.uk</t>
        </is>
      </c>
      <c r="E127" s="77" t="inlineStr">
        <is>
          <t>2026-07-18</t>
        </is>
      </c>
      <c r="F127" s="77" t="inlineStr">
        <is>
          <t>8.2C UK FOAK £95 / NOAK £78 (2014 prices, 8.9% hurdle)</t>
        </is>
      </c>
    </row>
    <row r="128" ht="15" customHeight="1" s="78">
      <c r="A128" s="77" t="inlineStr">
        <is>
          <t>S131</t>
        </is>
      </c>
      <c r="B128" s="77" t="inlineStr">
        <is>
          <t>DIW Berlin Weekly Report 30/2019 (hypothetical reactor 4000-9000 EUR/kW overnight; WACC 4-10%)</t>
        </is>
      </c>
      <c r="C128" s="77" t="inlineStr">
        <is>
          <t>2</t>
        </is>
      </c>
      <c r="D128" s="77" t="inlineStr">
        <is>
          <t>diw.de</t>
        </is>
      </c>
      <c r="E128" s="77" t="inlineStr">
        <is>
          <t>2026-07-18</t>
        </is>
      </c>
      <c r="F128" s="77" t="inlineStr">
        <is>
          <t>8.2C German theoretical new-build; no EUR/MWh (midpoint calculated)</t>
        </is>
      </c>
    </row>
    <row r="129" ht="15" customHeight="1" s="78">
      <c r="A129" s="77" t="inlineStr">
        <is>
          <t>S132</t>
        </is>
      </c>
      <c r="B129" s="77" t="inlineStr">
        <is>
          <t>EDF Hinkley Point C Update 2024-01-23 (£31-34bn, 2015 prices); WNA UK profile; Sizewell C FID 2025-07-22</t>
        </is>
      </c>
      <c r="C129" s="77" t="inlineStr">
        <is>
          <t>1</t>
        </is>
      </c>
      <c r="D129" s="77" t="inlineStr">
        <is>
          <t>edf.fr; world-nuclear.org; gov.uk</t>
        </is>
      </c>
      <c r="E129" s="77" t="inlineStr">
        <is>
          <t>2026-07-18</t>
        </is>
      </c>
      <c r="F129" s="77" t="inlineStr">
        <is>
          <t>8.2C HPC active (realised blank); UK/DE fleet status</t>
        </is>
      </c>
    </row>
    <row r="130" ht="15" customHeight="1" s="78">
      <c r="A130" s="77" t="inlineStr">
        <is>
          <t>S133</t>
        </is>
      </c>
      <c r="B130" s="77" t="inlineStr">
        <is>
          <t>WNA/WNN reactor DB; IAEA PRIS; vendor releases (SMR)</t>
        </is>
      </c>
      <c r="C130" s="77" t="inlineStr">
        <is>
          <t>1/2</t>
        </is>
      </c>
      <c r="D130" s="77" t="inlineStr">
        <is>
          <t>world-nuclear.org; world-nuclear-news.org</t>
        </is>
      </c>
      <c r="E130" s="77" t="inlineStr">
        <is>
          <t>2026-07-18</t>
        </is>
      </c>
      <c r="F130" s="77" t="inlineStr">
        <is>
          <t>8.2D SMR status (vendor targets separate from observed)</t>
        </is>
      </c>
    </row>
    <row r="131" ht="15" customHeight="1" s="78">
      <c r="A131" s="77" t="inlineStr">
        <is>
          <t>S134</t>
        </is>
      </c>
      <c r="B131" s="77" t="inlineStr">
        <is>
          <t>DESNZ UK Geothermal Review &amp; Cost Estimations (Arup), 22.05.2025 (+ Annex B/C); DESNZ EGC 2025 geothermal-granite</t>
        </is>
      </c>
      <c r="C131" s="77" t="inlineStr">
        <is>
          <t>1</t>
        </is>
      </c>
      <c r="D131" s="77" t="inlineStr">
        <is>
          <t>gov.uk</t>
        </is>
      </c>
      <c r="E131" s="77" t="inlineStr">
        <is>
          <t>2026-07-18</t>
        </is>
      </c>
      <c r="F131" s="77" t="inlineStr">
        <is>
          <t>8.3 UK geothermal LCOH/LCOE; granite=partial EGS proxy; AGS excluded (BLANK)</t>
        </is>
      </c>
    </row>
    <row r="132" ht="15" customHeight="1" s="78">
      <c r="A132" s="77" t="inlineStr">
        <is>
          <t>S135</t>
        </is>
      </c>
      <c r="B132" s="77" t="inlineStr">
        <is>
          <t>Atkins Deep Geothermal Review Study for DECC, v5.0, 21.10.2013</t>
        </is>
      </c>
      <c r="C132" s="77" t="inlineStr">
        <is>
          <t>1</t>
        </is>
      </c>
      <c r="D132" s="77" t="inlineStr">
        <is>
          <t>gov.uk (archive)</t>
        </is>
      </c>
      <c r="E132" s="77" t="inlineStr">
        <is>
          <t>2026-07-18</t>
        </is>
      </c>
      <c r="F132" s="77" t="inlineStr">
        <is>
          <t>8.3 EGS 2013 (£218 central power, 22% discount; superseded)</t>
        </is>
      </c>
    </row>
    <row r="133" ht="15" customHeight="1" s="78">
      <c r="A133" s="77" t="inlineStr">
        <is>
          <t>S136</t>
        </is>
      </c>
      <c r="B133" s="77" t="inlineStr">
        <is>
          <t>Olver et al. (GEL) Stanford SGW 2025; Envirotec 02.03.2026; REA/Arup 2021</t>
        </is>
      </c>
      <c r="C133" s="77" t="inlineStr">
        <is>
          <t>1/2</t>
        </is>
      </c>
      <c r="D133" s="77" t="inlineStr">
        <is>
          <t>pangea.stanford.edu; envirotecmagazine.com</t>
        </is>
      </c>
      <c r="E133" s="77" t="inlineStr">
        <is>
          <t>2026-07-18</t>
        </is>
      </c>
      <c r="F133" s="77" t="inlineStr">
        <is>
          <t>8.3 United Downs 3 MWe live 2026-02-26 (~£30m; audited LCOE GAP)</t>
        </is>
      </c>
    </row>
    <row r="134" ht="15" customHeight="1" s="78">
      <c r="A134" s="77" t="inlineStr">
        <is>
          <t>S137</t>
        </is>
      </c>
      <c r="B134" s="77" t="inlineStr">
        <is>
          <t>DESNZ CfD Allocation Round 5 admin strike prices &amp; results, Sept 2023</t>
        </is>
      </c>
      <c r="C134" s="77" t="inlineStr">
        <is>
          <t>1</t>
        </is>
      </c>
      <c r="D134" s="77" t="inlineStr">
        <is>
          <t>gov.uk</t>
        </is>
      </c>
      <c r="E134" s="77" t="inlineStr">
        <is>
          <t>2026-07-18</t>
        </is>
      </c>
      <c r="F134" s="77" t="inlineStr">
        <is>
          <t>8.3 geothermal strike £119/MWh (2012 prices); 12 MW contracted</t>
        </is>
      </c>
    </row>
    <row r="135" ht="15" customHeight="1" s="78">
      <c r="A135" s="77" t="inlineStr">
        <is>
          <t>S138</t>
        </is>
      </c>
      <c r="B135" s="77" t="inlineStr">
        <is>
          <t>IEA The Future of Geothermal Energy, Dec 2024</t>
        </is>
      </c>
      <c r="C135" s="77" t="inlineStr">
        <is>
          <t>1</t>
        </is>
      </c>
      <c r="D135" s="77" t="inlineStr">
        <is>
          <t>iea.org</t>
        </is>
      </c>
      <c r="E135" s="77" t="inlineStr">
        <is>
          <t>2026-07-18</t>
        </is>
      </c>
      <c r="F135" s="77" t="inlineStr">
        <is>
          <t>8.3 next-gen GLOBAL learning scenario (FOAK &gt;$230; 2035 low ~$50) — NOT UK</t>
        </is>
      </c>
    </row>
    <row r="136" ht="15" customHeight="1" s="78">
      <c r="A136" s="77" t="inlineStr">
        <is>
          <t>S139</t>
        </is>
      </c>
      <c r="B136" s="77" t="inlineStr">
        <is>
          <t>Beckers et al. Eavor-Loop 2.0 (Stanford SGW 2022); Quaise press release 2025-07</t>
        </is>
      </c>
      <c r="C136" s="77" t="inlineStr">
        <is>
          <t>2</t>
        </is>
      </c>
      <c r="D136" s="77" t="inlineStr">
        <is>
          <t>pangea.stanford.edu; quaise.energy</t>
        </is>
      </c>
      <c r="E136" s="77" t="inlineStr">
        <is>
          <t>2026-07-18</t>
        </is>
      </c>
      <c r="F136" s="77" t="inlineStr">
        <is>
          <t>8.3 AGS vendor target (&lt;$70 conditional); superhot GAP</t>
        </is>
      </c>
    </row>
    <row r="137" ht="15" customHeight="1" s="78">
      <c r="A137" s="77" t="inlineStr">
        <is>
          <t>S140</t>
        </is>
      </c>
      <c r="B137" s="77" t="inlineStr">
        <is>
          <t>Carbon Trust &amp; Imperial College, Analysis of electricity system flexibility for GB, Nov 2016 (for BEIS/NIC/Ofgem)</t>
        </is>
      </c>
      <c r="C137" s="77" t="inlineStr">
        <is>
          <t>1</t>
        </is>
      </c>
      <c r="D137" s="77" t="inlineStr">
        <is>
          <t>gov.uk</t>
        </is>
      </c>
      <c r="E137" s="77" t="inlineStr">
        <is>
          <t>2026-07-18</t>
        </is>
      </c>
      <c r="F137" s="77" t="inlineStr">
        <is>
          <t>8.4 £17-40bn cumulative to 2050 (net); £1.4-2.4bn/yr 2030 (net)</t>
        </is>
      </c>
    </row>
    <row r="138" ht="15" customHeight="1" s="78">
      <c r="A138" s="77" t="inlineStr">
        <is>
          <t>S141</t>
        </is>
      </c>
      <c r="B138" s="77" t="inlineStr">
        <is>
          <t>National Infrastructure Commission, Smart Power, Mar 2016</t>
        </is>
      </c>
      <c r="C138" s="77" t="inlineStr">
        <is>
          <t>1</t>
        </is>
      </c>
      <c r="D138" s="77" t="inlineStr">
        <is>
          <t>gov.uk</t>
        </is>
      </c>
      <c r="E138" s="77" t="inlineStr">
        <is>
          <t>2026-07-18</t>
        </is>
      </c>
      <c r="F138" s="77" t="inlineStr">
        <is>
          <t>8.4 £2.9-8.1bn/yr 2030 (gross); £30bn avoidable distribution reinforcement to 2030</t>
        </is>
      </c>
    </row>
    <row r="139" ht="15" customHeight="1" s="78">
      <c r="A139" s="77" t="inlineStr">
        <is>
          <t>S142</t>
        </is>
      </c>
      <c r="B139" s="77" t="inlineStr">
        <is>
          <t>BEIS/Ofgem Smart Systems &amp; Flexibility Plan 2021 (App.I); DESNZ/Ofgem/NESO Clean Flexibility Roadmap 2025/2026</t>
        </is>
      </c>
      <c r="C139" s="77" t="inlineStr">
        <is>
          <t>1</t>
        </is>
      </c>
      <c r="D139" s="77" t="inlineStr">
        <is>
          <t>gov.uk</t>
        </is>
      </c>
      <c r="E139" s="77" t="inlineStr">
        <is>
          <t>2026-07-18</t>
        </is>
      </c>
      <c r="F139" s="77" t="inlineStr">
        <is>
          <t>8.4 £6-10bn/yr 2050 (net); £30-70bn cumulative; CP2030 51-66 GW flex</t>
        </is>
      </c>
    </row>
    <row r="140" ht="15" customHeight="1" s="78">
      <c r="A140" s="77" t="inlineStr">
        <is>
          <t>S143</t>
        </is>
      </c>
      <c r="B140" s="77" t="inlineStr">
        <is>
          <t>NESO Balancing Costs: Annual Report &amp; Future Projections 2024; 2025 Annual Balancing Costs Report</t>
        </is>
      </c>
      <c r="C140" s="77" t="inlineStr">
        <is>
          <t>1</t>
        </is>
      </c>
      <c r="D140" s="77" t="inlineStr">
        <is>
          <t>neso.energy</t>
        </is>
      </c>
      <c r="E140" s="77" t="inlineStr">
        <is>
          <t>2026-07-18</t>
        </is>
      </c>
      <c r="F140" s="77" t="inlineStr">
        <is>
          <t>8.4 balancing £2.7bn (24/25); constraint £1.7bn; ~£8bn 2030 proj; ~£4bn avoidable 2030</t>
        </is>
      </c>
    </row>
    <row r="141" ht="15" customHeight="1" s="78">
      <c r="A141" s="77" t="inlineStr">
        <is>
          <t>S144</t>
        </is>
      </c>
      <c r="B141" s="77" t="inlineStr">
        <is>
          <t>Energy Networks Association, GB Flexibility Figures 2024 (26.06/01.07.2025)</t>
        </is>
      </c>
      <c r="C141" s="77" t="inlineStr">
        <is>
          <t>1</t>
        </is>
      </c>
      <c r="D141" s="77" t="inlineStr">
        <is>
          <t>energynetworks.org</t>
        </is>
      </c>
      <c r="E141" s="77" t="inlineStr">
        <is>
          <t>2026-07-18</t>
        </is>
      </c>
      <c r="F141" s="77" t="inlineStr">
        <is>
          <t>8.4 DNO flex 9 GW contracted / &gt;£300m billpayer saving 2024 -&gt; ~£33/kW-yr derived</t>
        </is>
      </c>
    </row>
    <row r="142" ht="15" customHeight="1" s="78">
      <c r="A142" s="77" t="inlineStr">
        <is>
          <t>S145</t>
        </is>
      </c>
      <c r="B142" s="77" t="inlineStr">
        <is>
          <t>DUKES 2025 Chapter 5 (electricity; demand 319 TWh, industrial 82.2 TWh, winter peak 47.4 GW)</t>
        </is>
      </c>
      <c r="C142" s="77" t="inlineStr">
        <is>
          <t>1</t>
        </is>
      </c>
      <c r="D142" s="77" t="inlineStr">
        <is>
          <t>gov.uk</t>
        </is>
      </c>
      <c r="E142" s="77" t="inlineStr">
        <is>
          <t>2026-07-18</t>
        </is>
      </c>
      <c r="F142" s="77" t="inlineStr">
        <is>
          <t>8.4 demand base; GB peak (5.10.A) per Stage 7</t>
        </is>
      </c>
    </row>
    <row r="143" ht="27.75" customHeight="1" s="78">
      <c r="A143" s="92" t="inlineStr">
        <is>
          <t>S146</t>
        </is>
      </c>
      <c r="B143" s="92" t="inlineStr">
        <is>
          <t>DESNZ, BICS — govt response to eligibility &amp; approach consultation</t>
        </is>
      </c>
      <c r="C143" s="92" t="n">
        <v>1</v>
      </c>
      <c r="D143" s="92" t="inlineStr">
        <is>
          <t>gov.uk/.../british-industrial-competitiveness-scheme...government-response.pdf</t>
        </is>
      </c>
      <c r="E143" s="92" t="inlineStr">
        <is>
          <t>2026-07-18</t>
        </is>
      </c>
      <c r="F143" s="92" t="inlineStr">
        <is>
          <t>9B BICS scope RO/FiT/CM, eligibility, Exchequer funding</t>
        </is>
      </c>
    </row>
    <row r="144" ht="27.75" customHeight="1" s="78">
      <c r="A144" s="92" t="inlineStr">
        <is>
          <t>S147</t>
        </is>
      </c>
      <c r="B144" s="92" t="inlineStr">
        <is>
          <t>gov.uk news, "Government cuts electricity bill for 10,000 manufacturers"</t>
        </is>
      </c>
      <c r="C144" s="92" t="n">
        <v>1</v>
      </c>
      <c r="D144" s="92" t="inlineStr">
        <is>
          <t>gov.uk/government/news/government-cuts-electricity-bill-for-10000-manufacturers</t>
        </is>
      </c>
      <c r="E144" s="92" t="inlineStr">
        <is>
          <t>2026-07-18</t>
        </is>
      </c>
      <c r="F144" s="92" t="inlineStr">
        <is>
          <t>9B BICS saving £35-40/MWh, ~10,000 firms, ~£600m/yr</t>
        </is>
      </c>
    </row>
    <row r="145" ht="27.75" customHeight="1" s="78">
      <c r="A145" s="92" t="inlineStr">
        <is>
          <t>S148</t>
        </is>
      </c>
      <c r="B145" s="92" t="inlineStr">
        <is>
          <t>UK Parliament, Written Ministerial Statement HCWS200 (McDonald)</t>
        </is>
      </c>
      <c r="C145" s="92" t="n">
        <v>1</v>
      </c>
      <c r="D145" s="92" t="inlineStr">
        <is>
          <t>questions-statements.parliament.uk/written-statements/detail/2026-07-08/hcws200</t>
        </is>
      </c>
      <c r="E145" s="92" t="inlineStr">
        <is>
          <t>2026-07-18</t>
        </is>
      </c>
      <c r="F145" s="92" t="inlineStr">
        <is>
          <t>9B BICS timeline; applications 1 Oct-30 Nov 2026</t>
        </is>
      </c>
    </row>
    <row r="146" ht="27.75" customHeight="1" s="78">
      <c r="A146" s="92" t="inlineStr">
        <is>
          <t>S149</t>
        </is>
      </c>
      <c r="B146" s="92" t="inlineStr">
        <is>
          <t>gov.uk news, Supercharger — Network Charging Compensation 60%-&gt;90%</t>
        </is>
      </c>
      <c r="C146" s="92" t="n">
        <v>1</v>
      </c>
      <c r="D146" s="92" t="inlineStr">
        <is>
          <t>gov.uk/government/news/huge-boost-for-uk-industry...cuts-to-electricity-costs</t>
        </is>
      </c>
      <c r="E146" s="92" t="inlineStr">
        <is>
          <t>2026-07-18</t>
        </is>
      </c>
      <c r="F146" s="92" t="inlineStr">
        <is>
          <t>9C Supercharger NCC 90% (Apr 2026), +£7-10/MWh, &lt;=£420m/yr</t>
        </is>
      </c>
    </row>
    <row r="147" ht="27.75" customHeight="1" s="78">
      <c r="A147" s="92" t="inlineStr">
        <is>
          <t>S150</t>
        </is>
      </c>
      <c r="B147" s="92" t="inlineStr">
        <is>
          <t>gov.uk news, "Supercharger rolls out" (EII levy exemptions)</t>
        </is>
      </c>
      <c r="C147" s="92" t="n">
        <v>1</v>
      </c>
      <c r="D147" s="92" t="inlineStr">
        <is>
          <t>gov.uk/government/news/huge-boost-for-uk-industry-as-government-supercharger-rolls-out</t>
        </is>
      </c>
      <c r="E147" s="92" t="inlineStr">
        <is>
          <t>2026-07-18</t>
        </is>
      </c>
      <c r="F147" s="92" t="inlineStr">
        <is>
          <t>9B Supercharger 100% RO/CfD/FiT/CM exemption (in force 2024)</t>
        </is>
      </c>
    </row>
    <row r="148" ht="27.75" customHeight="1" s="78">
      <c r="A148" s="92" t="inlineStr">
        <is>
          <t>S151</t>
        </is>
      </c>
      <c r="B148" s="92" t="inlineStr">
        <is>
          <t>DESNZ, EII certificate for exemption — guidance for applicants</t>
        </is>
      </c>
      <c r="C148" s="92" t="n">
        <v>1</v>
      </c>
      <c r="D148" s="92" t="inlineStr">
        <is>
          <t>gov.uk/.../energy-intensive-industries-certificate-for-exemption...pdf</t>
        </is>
      </c>
      <c r="E148" s="92" t="inlineStr">
        <is>
          <t>2026-07-18</t>
        </is>
      </c>
      <c r="F148" s="92" t="inlineStr">
        <is>
          <t>9B EII eligibility: elec&gt;=20% GVA; NACE4 trade&gt;=4% &amp; elec&gt;=7%</t>
        </is>
      </c>
    </row>
    <row r="149" ht="27.75" customHeight="1" s="78">
      <c r="A149" s="92" t="inlineStr">
        <is>
          <t>S152</t>
        </is>
      </c>
      <c r="B149" s="92" t="inlineStr">
        <is>
          <t>CMA Subsidy Advice Unit, referral of modified NCC scheme</t>
        </is>
      </c>
      <c r="C149" s="92" t="n">
        <v>1</v>
      </c>
      <c r="D149" s="92" t="inlineStr">
        <is>
          <t>gov.uk/cma-cases/referral-of-the-proposed-modified-network-charging-compensation-scheme</t>
        </is>
      </c>
      <c r="E149" s="92" t="inlineStr">
        <is>
          <t>2026-07-18</t>
        </is>
      </c>
      <c r="F149" s="92" t="inlineStr">
        <is>
          <t>9C NCC subsidy-control cleared (report 19 Dec 2025)</t>
        </is>
      </c>
    </row>
    <row r="150" ht="27.75" customHeight="1" s="78">
      <c r="A150" s="92" t="inlineStr">
        <is>
          <t>S153</t>
        </is>
      </c>
      <c r="B150" s="92" t="inlineStr">
        <is>
          <t>DESNZ, Review of Electricity Market Arrangements — Summer Update 2025</t>
        </is>
      </c>
      <c r="C150" s="92" t="n">
        <v>1</v>
      </c>
      <c r="D150" s="92" t="inlineStr">
        <is>
          <t>gov.uk/.../review-of-electricity-market-arrangements-rema-summer-update-2025</t>
        </is>
      </c>
      <c r="E150" s="92" t="inlineStr">
        <is>
          <t>2026-07-18</t>
        </is>
      </c>
      <c r="F150" s="92" t="inlineStr">
        <is>
          <t>9A zonal rejected; national marginal pricing retained</t>
        </is>
      </c>
    </row>
    <row r="151" ht="27.75" customHeight="1" s="78">
      <c r="A151" s="92" t="inlineStr">
        <is>
          <t>S154</t>
        </is>
      </c>
      <c r="B151" s="92" t="inlineStr">
        <is>
          <t>DESNZ, Contracts for Difference AR7 reforms — consultation</t>
        </is>
      </c>
      <c r="C151" s="92" t="n">
        <v>1</v>
      </c>
      <c r="D151" s="92" t="inlineStr">
        <is>
          <t>gov.uk/.../cfd-allocation-round-7-reforms-consultation.pdf</t>
        </is>
      </c>
      <c r="E151" s="92" t="inlineStr">
        <is>
          <t>2026-07-18</t>
        </is>
      </c>
      <c r="F151" s="92" t="inlineStr">
        <is>
          <t>9A CfD reform (bid pre-consent; term &gt;15yr consult)</t>
        </is>
      </c>
    </row>
    <row r="152" ht="27.75" customHeight="1" s="78">
      <c r="A152" s="92" t="inlineStr">
        <is>
          <t>S155</t>
        </is>
      </c>
      <c r="B152" s="92" t="inlineStr">
        <is>
          <t>DESNZ, Capacity Market — government response (maintain security of supply)</t>
        </is>
      </c>
      <c r="C152" s="92" t="n">
        <v>1</v>
      </c>
      <c r="D152" s="92" t="inlineStr">
        <is>
          <t>gov.uk/.../capacity-market-consultation-government-response.pdf</t>
        </is>
      </c>
      <c r="E152" s="92" t="inlineStr">
        <is>
          <t>2026-07-18</t>
        </is>
      </c>
      <c r="F152" s="92" t="inlineStr">
        <is>
          <t>9A CM reform; ~35 GW unabated gas retained</t>
        </is>
      </c>
    </row>
    <row r="153" ht="27.75" customHeight="1" s="78">
      <c r="A153" s="92" t="inlineStr">
        <is>
          <t>S156</t>
        </is>
      </c>
      <c r="B153" s="92" t="inlineStr">
        <is>
          <t>DESNZ, Corporate Power Purchase Agreements — call for evidence</t>
        </is>
      </c>
      <c r="C153" s="92" t="n">
        <v>1</v>
      </c>
      <c r="D153" s="92" t="inlineStr">
        <is>
          <t>gov.uk/government/calls-for-evidence/corporate-power-purchase-agreements</t>
        </is>
      </c>
      <c r="E153" s="92" t="inlineStr">
        <is>
          <t>2026-07-18</t>
        </is>
      </c>
      <c r="F153" s="92" t="inlineStr">
        <is>
          <t>9A private-wire/CPPA (call for evidence closed Mar 2026)</t>
        </is>
      </c>
    </row>
    <row r="154" ht="15" customHeight="1" s="78">
      <c r="A154" s="92" t="inlineStr">
        <is>
          <t>S157</t>
        </is>
      </c>
      <c r="B154" s="92" t="inlineStr">
        <is>
          <t>DESNZ, Clean Power 2030 Action Plan</t>
        </is>
      </c>
      <c r="C154" s="92" t="n">
        <v>1</v>
      </c>
      <c r="D154" s="92" t="inlineStr">
        <is>
          <t>gov.uk/government/publications/clean-power-2030-action-plan</t>
        </is>
      </c>
      <c r="E154" s="92" t="inlineStr">
        <is>
          <t>2026-07-18</t>
        </is>
      </c>
      <c r="F154" s="92" t="inlineStr">
        <is>
          <t>9A clean-power build-out framing</t>
        </is>
      </c>
    </row>
    <row r="155" ht="27.75" customHeight="1" s="78">
      <c r="A155" s="92" t="inlineStr">
        <is>
          <t>S158</t>
        </is>
      </c>
      <c r="B155" s="92" t="inlineStr">
        <is>
          <t>UK ETS Authority, UK ETS carbon price for civil penalties 2026</t>
        </is>
      </c>
      <c r="C155" s="92" t="n">
        <v>1</v>
      </c>
      <c r="D155" s="92" t="inlineStr">
        <is>
          <t>gov.uk/government/publications/determinations-of-the-uk-ets-carbon-price</t>
        </is>
      </c>
      <c r="E155" s="92" t="inlineStr">
        <is>
          <t>2026-07-18</t>
        </is>
      </c>
      <c r="F155" s="92" t="inlineStr">
        <is>
          <t>9E UKA 2026 official £49.41/tCO2e</t>
        </is>
      </c>
    </row>
    <row r="156" ht="27.75" customHeight="1" s="78">
      <c r="A156" s="92" t="inlineStr">
        <is>
          <t>S159</t>
        </is>
      </c>
      <c r="B156" s="92" t="inlineStr">
        <is>
          <t>gov.uk, UK ETS &amp; CPS — compensation for indirect costs (guidance)</t>
        </is>
      </c>
      <c r="C156" s="92" t="n">
        <v>1</v>
      </c>
      <c r="D156" s="92" t="inlineStr">
        <is>
          <t>gov.uk/.../compensation-for-the-indirect-costs-of-the-uk-ets-and-the-cps-mechanism</t>
        </is>
      </c>
      <c r="E156" s="92" t="inlineStr">
        <is>
          <t>2026-07-18</t>
        </is>
      </c>
      <c r="F156" s="92" t="inlineStr">
        <is>
          <t>9E EII indirect-cost compensation; CPS £18; ref £53.19 (26/27)</t>
        </is>
      </c>
    </row>
    <row r="157" ht="27.75" customHeight="1" s="78">
      <c r="A157" s="92" t="inlineStr">
        <is>
          <t>S160</t>
        </is>
      </c>
      <c r="B157" s="92" t="inlineStr">
        <is>
          <t>gov.uk, UK Emissions Trading Scheme — policy overview</t>
        </is>
      </c>
      <c r="C157" s="92" t="n">
        <v>1</v>
      </c>
      <c r="D157" s="92" t="inlineStr">
        <is>
          <t>gov.uk/government/publications/uk-emissions-trading-scheme-uk-ets-policy-overview</t>
        </is>
      </c>
      <c r="E157" s="92" t="inlineStr">
        <is>
          <t>2026-07-18</t>
        </is>
      </c>
      <c r="F157" s="92" t="inlineStr">
        <is>
          <t>9E cap declining; free-allocation phase-out for CBAM sectors</t>
        </is>
      </c>
    </row>
    <row r="158" ht="27.75" customHeight="1" s="78">
      <c r="A158" s="92" t="inlineStr">
        <is>
          <t>S161</t>
        </is>
      </c>
      <c r="B158" s="92" t="inlineStr">
        <is>
          <t>UK Parliament, Written Ministerial Statement HCWS1519 (Tomlinson)</t>
        </is>
      </c>
      <c r="C158" s="92" t="n">
        <v>1</v>
      </c>
      <c r="D158" s="92" t="inlineStr">
        <is>
          <t>questions-statements.parliament.uk/written-statements/detail/2026-04-16/hcws1519</t>
        </is>
      </c>
      <c r="E158" s="92" t="inlineStr">
        <is>
          <t>2026-07-18</t>
        </is>
      </c>
      <c r="F158" s="92" t="inlineStr">
        <is>
          <t>9E Carbon Price Support abolished from April 2028</t>
        </is>
      </c>
    </row>
    <row r="159" ht="27.75" customHeight="1" s="78">
      <c r="A159" s="92" t="inlineStr">
        <is>
          <t>S162</t>
        </is>
      </c>
      <c r="B159" s="92" t="inlineStr">
        <is>
          <t>gov.uk, UK Carbon Border Adjustment Mechanism — policy summary + response</t>
        </is>
      </c>
      <c r="C159" s="92" t="n">
        <v>1</v>
      </c>
      <c r="D159" s="92" t="inlineStr">
        <is>
          <t>gov.uk/government/publications/carbon-border-adjustment-mechanism-cbam-policy-summary</t>
        </is>
      </c>
      <c r="E159" s="92" t="inlineStr">
        <is>
          <t>2026-07-18</t>
        </is>
      </c>
      <c r="F159" s="92" t="inlineStr">
        <is>
          <t>9E UK CBAM Jan 2027; 5 sectors (Al, cement, fertiliser, H2, steel)</t>
        </is>
      </c>
    </row>
    <row r="160" ht="27.75" customHeight="1" s="78">
      <c r="A160" s="92" t="inlineStr">
        <is>
          <t>S163</t>
        </is>
      </c>
      <c r="B160" s="92" t="inlineStr">
        <is>
          <t>gov.uk news, "Decisive action to break influence of gas on electricity prices"</t>
        </is>
      </c>
      <c r="C160" s="92" t="n">
        <v>1</v>
      </c>
      <c r="D160" s="92" t="inlineStr">
        <is>
          <t>gov.uk/government/news/decisive-action-to-break-influence-of-gas-on-electricity-prices</t>
        </is>
      </c>
      <c r="E160" s="92" t="inlineStr">
        <is>
          <t>2026-07-18</t>
        </is>
      </c>
      <c r="F160" s="92" t="inlineStr">
        <is>
          <t>9A Wholesale CfDs (alloc 2027); EGL 45%-&gt;55% (1 Jul 2026)</t>
        </is>
      </c>
    </row>
    <row r="161" ht="27.75" customHeight="1" s="78">
      <c r="A161" s="92" t="inlineStr">
        <is>
          <t>S164</t>
        </is>
      </c>
      <c r="B161" s="92" t="inlineStr">
        <is>
          <t>HM Treasury, Autumn Budget 2025 (household RO to Exchequer)</t>
        </is>
      </c>
      <c r="C161" s="92" t="n">
        <v>1</v>
      </c>
      <c r="D161" s="92" t="inlineStr">
        <is>
          <t>gov.uk (Autumn Budget 2025 red book; Carbon Brief x-check Tier2)</t>
        </is>
      </c>
      <c r="E161" s="92" t="inlineStr">
        <is>
          <t>2026-07-18</t>
        </is>
      </c>
      <c r="F161" s="92" t="inlineStr">
        <is>
          <t>9B 75% household RO to general taxation from Apr 2026 (domestic only)</t>
        </is>
      </c>
    </row>
    <row r="162" ht="27.75" customHeight="1" s="78">
      <c r="A162" s="92" t="inlineStr">
        <is>
          <t>S165</t>
        </is>
      </c>
      <c r="B162" s="92" t="inlineStr">
        <is>
          <t>Energy UK, Reducing non-domestic electricity policy costs</t>
        </is>
      </c>
      <c r="C162" s="92" t="n">
        <v>2</v>
      </c>
      <c r="D162" s="92" t="inlineStr">
        <is>
          <t>energy-uk.org.uk/publications/reducing-non-domestic-electricity-policy-costs</t>
        </is>
      </c>
      <c r="E162" s="92" t="inlineStr">
        <is>
          <t>2026-07-18</t>
        </is>
      </c>
      <c r="F162" s="92" t="inlineStr">
        <is>
          <t>9B elec:gas ratio ~4-5:1 (5-8x large users); rebalancing advocacy</t>
        </is>
      </c>
    </row>
    <row r="163" ht="27.75" customHeight="1" s="78">
      <c r="A163" s="92" t="inlineStr">
        <is>
          <t>S166</t>
        </is>
      </c>
      <c r="B163" s="92" t="inlineStr">
        <is>
          <t>EU Council, greenlight to negotiate UK-EU ETS linkage</t>
        </is>
      </c>
      <c r="C163" s="92" t="n">
        <v>1</v>
      </c>
      <c r="D163" s="92" t="inlineStr">
        <is>
          <t>consilium.europa.eu/en/press/press-releases/2025/11/13/eu-uk-relations-council</t>
        </is>
      </c>
      <c r="E163" s="92" t="inlineStr">
        <is>
          <t>2026-07-18</t>
        </is>
      </c>
      <c r="F163" s="92" t="inlineStr">
        <is>
          <t>9E ETS-linkage negotiating mandate (13 Nov 2025)</t>
        </is>
      </c>
    </row>
    <row r="164" ht="27.75" customHeight="1" s="78">
      <c r="A164" s="92" t="inlineStr">
        <is>
          <t>S167</t>
        </is>
      </c>
      <c r="B164" s="92" t="inlineStr">
        <is>
          <t>UK Commons Library, UK-EU reset / 2026 TCA review (CBP-10390)</t>
        </is>
      </c>
      <c r="C164" s="92" t="n">
        <v>1</v>
      </c>
      <c r="D164" s="92" t="inlineStr">
        <is>
          <t>commonslibrary.parliament.uk/research-briefings/cbp-10390</t>
        </is>
      </c>
      <c r="E164" s="92" t="inlineStr">
        <is>
          <t>2026-07-18</t>
        </is>
      </c>
      <c r="F164" s="92" t="inlineStr">
        <is>
          <t>9E ETS linkage in negotiation, not concluded (12 Jun 2026)</t>
        </is>
      </c>
    </row>
    <row r="165" ht="27.75" customHeight="1" s="78">
      <c r="A165" s="92" t="inlineStr">
        <is>
          <t>S168</t>
        </is>
      </c>
      <c r="B165" s="92" t="inlineStr">
        <is>
          <t>European Commission (DG TAXUD), CBAM — start of definitive period</t>
        </is>
      </c>
      <c r="C165" s="92" t="n">
        <v>1</v>
      </c>
      <c r="D165" s="92" t="inlineStr">
        <is>
          <t>taxation-customs.ec.europa.eu/carbon-border-adjustment-mechanism_en</t>
        </is>
      </c>
      <c r="E165" s="92" t="inlineStr">
        <is>
          <t>2026-07-18</t>
        </is>
      </c>
      <c r="F165" s="92" t="inlineStr">
        <is>
          <t>9E EU CBAM definitive regime from 1 Jan 2026 (6 sectors)</t>
        </is>
      </c>
    </row>
    <row r="166" ht="27.75" customHeight="1" s="78">
      <c r="A166" s="92" t="inlineStr">
        <is>
          <t>S169</t>
        </is>
      </c>
      <c r="B166" s="92" t="inlineStr">
        <is>
          <t>Bundestag / BMF, Stromsteuer reduction to EU minimum</t>
        </is>
      </c>
      <c r="C166" s="92" t="n">
        <v>1</v>
      </c>
      <c r="D166" s="92" t="inlineStr">
        <is>
          <t>bundestag.de/.../kw41-de-energiesteuergesetz; bundesfinanzministerium.de</t>
        </is>
      </c>
      <c r="E166" s="92" t="inlineStr">
        <is>
          <t>2026-07-18</t>
        </is>
      </c>
      <c r="F166" s="92" t="inlineStr">
        <is>
          <t>9D DE electricity tax 2.05-&gt;0.05 ct/kWh permanent (manufacturing) 2026</t>
        </is>
      </c>
    </row>
    <row r="167" ht="27.75" customHeight="1" s="78">
      <c r="A167" s="92" t="inlineStr">
        <is>
          <t>S170</t>
        </is>
      </c>
      <c r="B167" s="92" t="inlineStr">
        <is>
          <t>BMWE, Industriestrompreis — EU Commission approval</t>
        </is>
      </c>
      <c r="C167" s="92" t="n">
        <v>1</v>
      </c>
      <c r="D167" s="92" t="inlineStr">
        <is>
          <t>bundeswirtschaftsministerium.de/.../20260416-industriestrompreis-wird-eingefuehrt</t>
        </is>
      </c>
      <c r="E167" s="92" t="inlineStr">
        <is>
          <t>2026-07-18</t>
        </is>
      </c>
      <c r="F167" s="92" t="inlineStr">
        <is>
          <t>9D DE Industriestrompreis &lt;=5 ct/kWh on 50% load; ~€3.8bn KTF</t>
        </is>
      </c>
    </row>
    <row r="168" ht="27.75" customHeight="1" s="78">
      <c r="A168" s="92" t="inlineStr">
        <is>
          <t>S171</t>
        </is>
      </c>
      <c r="B168" s="92" t="inlineStr">
        <is>
          <t>Bundesregierung, subsidy to transmission network charges 2026</t>
        </is>
      </c>
      <c r="C168" s="92" t="n">
        <v>1</v>
      </c>
      <c r="D168" s="92" t="inlineStr">
        <is>
          <t>bundesregierung.de/breg-de/aktuelles/niedrigere-netzentgelte-2382396</t>
        </is>
      </c>
      <c r="E168" s="92" t="inlineStr">
        <is>
          <t>2026-07-18</t>
        </is>
      </c>
      <c r="F168" s="92" t="inlineStr">
        <is>
          <t>9C DE €6.5bn network subsidy (KTF) halves HöS charge (in force 2026)</t>
        </is>
      </c>
    </row>
    <row r="169" ht="27.75" customHeight="1" s="78">
      <c r="A169" s="92" t="inlineStr">
        <is>
          <t>S172</t>
        </is>
      </c>
      <c r="B169" s="92" t="inlineStr">
        <is>
          <t>ZfK, "KTF 2027: weniger Netzzuschuss, mehr Strompreis-Hilfe"</t>
        </is>
      </c>
      <c r="C169" s="92" t="n">
        <v>2</v>
      </c>
      <c r="D169" s="92" t="inlineStr">
        <is>
          <t>zfk.de/politik/deutschland/ktf-2027-energieentlastung-netzzuschuss</t>
        </is>
      </c>
      <c r="E169" s="92" t="inlineStr">
        <is>
          <t>2026-07-18</t>
        </is>
      </c>
      <c r="F169" s="92" t="inlineStr">
        <is>
          <t>9C/9D DE 2027 draft: network €5.53bn; Industriestrompreis ~€2.5bn</t>
        </is>
      </c>
    </row>
    <row r="170" ht="27.75" customHeight="1" s="78">
      <c r="A170" s="92" t="inlineStr">
        <is>
          <t>S173</t>
        </is>
      </c>
      <c r="B170" s="92" t="inlineStr">
        <is>
          <t>Bundesnetzagentur, §19 StromNEV discounts + AgNes reform</t>
        </is>
      </c>
      <c r="C170" s="92" t="n">
        <v>1</v>
      </c>
      <c r="D170" s="92" t="inlineStr">
        <is>
          <t>bundesnetzagentur.de/.../Agnes/start.html</t>
        </is>
      </c>
      <c r="E170" s="92" t="inlineStr">
        <is>
          <t>2026-07-18</t>
        </is>
      </c>
      <c r="F170" s="92" t="inlineStr">
        <is>
          <t>9C DE individual industrial network charges; AgNes framework 2029</t>
        </is>
      </c>
    </row>
    <row r="171" ht="27.75" customHeight="1" s="78">
      <c r="A171" s="92" t="inlineStr">
        <is>
          <t>S174</t>
        </is>
      </c>
      <c r="B171" s="92" t="inlineStr">
        <is>
          <t>BMWE / Bundestag, abolition of EEG-Umlage from bills (1 Jul 2022)</t>
        </is>
      </c>
      <c r="C171" s="92" t="n">
        <v>1</v>
      </c>
      <c r="D171" s="92" t="inlineStr">
        <is>
          <t>bundeswirtschaftsministerium.de/.../20220428-bundestag-beschliesst-abschaffung-der-eeg-umlage</t>
        </is>
      </c>
      <c r="E171" s="92" t="inlineStr">
        <is>
          <t>2026-07-18</t>
        </is>
      </c>
      <c r="F171" s="92" t="inlineStr">
        <is>
          <t>9D DE archetype: renewable levy moved off bills to KTF</t>
        </is>
      </c>
    </row>
    <row r="172" ht="27.75" customHeight="1" s="78">
      <c r="A172" s="92" t="inlineStr">
        <is>
          <t>S175</t>
        </is>
      </c>
      <c r="B172" s="92" t="inlineStr">
        <is>
          <t>European Commission, Clean Industrial Deal State Aid Framework (CISAF)</t>
        </is>
      </c>
      <c r="C172" s="92" t="n">
        <v>1</v>
      </c>
      <c r="D172" s="92" t="inlineStr">
        <is>
          <t>competition-policy.ec.europa.eu/.../clean-industrial-deal-state-aid-framework-cisaf_en</t>
        </is>
      </c>
      <c r="E172" s="92" t="inlineStr">
        <is>
          <t>2026-07-18</t>
        </is>
      </c>
      <c r="F172" s="92" t="inlineStr">
        <is>
          <t>9D EU state-aid frame (to 2030) for energy-intensive electricity relief</t>
        </is>
      </c>
    </row>
    <row r="173" ht="149.25" customHeight="1" s="78">
      <c r="A173" s="92" t="inlineStr">
        <is>
          <t>S101</t>
        </is>
      </c>
      <c r="B173" s="92" t="inlineStr">
        <is>
          <t>Germany §24c EnWG network-cost subsidy: BGBl. 2025 I Nr. 317 + joint ÜNB (50Hertz/Amprion/TenneT/TransnetBW) 2026 transmission-tariff announcement 01.10.2025 (ÜNE 6.65→2.86 ct/kWh, −3.79, via €6.5bn federal Bundeszuschuss)</t>
        </is>
      </c>
      <c r="C173" s="92" t="inlineStr">
        <is>
          <t>1 (definition reconstructed 2026-07-18, Stage-10 QC, from citing context stage7_network!T9)</t>
        </is>
      </c>
      <c r="D173" s="92" t="inlineStr">
        <is>
          <t>BGBl. 2025 I Nr. 317; netztransparenz.de/ÜNB PR 01.10.2025</t>
        </is>
      </c>
      <c r="E173" s="92" t="inlineStr">
        <is>
          <t>2026-07-16 (Stage 7); backfilled 2026-07-18</t>
        </is>
      </c>
      <c r="F173" s="92" t="inlineStr">
        <is>
          <t>7 DE 2026 transmission network charge &amp; €6.5bn subsidy (stage7_network!T9)</t>
        </is>
      </c>
    </row>
    <row r="174" ht="28.35" customHeight="1" s="78">
      <c r="A174" s="92" t="inlineStr">
        <is>
          <t>S102</t>
        </is>
      </c>
      <c r="B174" s="92" t="inlineStr">
        <is>
          <t>VOID — unused source ID (no citation anywhere in workbook; documented Stage-10 QC)</t>
        </is>
      </c>
      <c r="C174" s="92" t="inlineStr">
        <is>
          <t>—</t>
        </is>
      </c>
      <c r="D174" s="92" t="inlineStr">
        <is>
          <t>—</t>
        </is>
      </c>
      <c r="E174" s="92" t="inlineStr">
        <is>
          <t>2026-07-18</t>
        </is>
      </c>
      <c r="F174" s="92" t="inlineStr">
        <is>
          <t>(numbering gap, intentionally void)</t>
        </is>
      </c>
    </row>
    <row r="175" ht="28.35" customHeight="1" s="78">
      <c r="A175" s="92" t="inlineStr">
        <is>
          <t>S103</t>
        </is>
      </c>
      <c r="B175" s="92" t="inlineStr">
        <is>
          <t>VOID — unused source ID (no citation anywhere in workbook; documented Stage-10 QC)</t>
        </is>
      </c>
      <c r="C175" s="92" t="inlineStr">
        <is>
          <t>—</t>
        </is>
      </c>
      <c r="D175" s="92" t="inlineStr">
        <is>
          <t>—</t>
        </is>
      </c>
      <c r="E175" s="92" t="inlineStr">
        <is>
          <t>2026-07-18</t>
        </is>
      </c>
      <c r="F175" s="92" t="inlineStr">
        <is>
          <t>(numbering gap, intentionally void)</t>
        </is>
      </c>
    </row>
    <row r="176" ht="28.35" customHeight="1" s="78">
      <c r="A176" s="92" t="inlineStr">
        <is>
          <t>S104</t>
        </is>
      </c>
      <c r="B176" s="92" t="inlineStr">
        <is>
          <t>VOID — unused source ID (no citation anywhere in workbook; documented Stage-10 QC)</t>
        </is>
      </c>
      <c r="C176" s="92" t="inlineStr">
        <is>
          <t>—</t>
        </is>
      </c>
      <c r="D176" s="92" t="inlineStr">
        <is>
          <t>—</t>
        </is>
      </c>
      <c r="E176" s="92" t="inlineStr">
        <is>
          <t>2026-07-18</t>
        </is>
      </c>
      <c r="F176" s="92" t="inlineStr">
        <is>
          <t>(numbering gap, intentionally void)</t>
        </is>
      </c>
    </row>
    <row r="177" ht="28.35" customHeight="1" s="78">
      <c r="A177" s="92" t="inlineStr">
        <is>
          <t>S105</t>
        </is>
      </c>
      <c r="B177" s="92" t="inlineStr">
        <is>
          <t>VOID — unused source ID (no citation anywhere in workbook; documented Stage-10 QC)</t>
        </is>
      </c>
      <c r="C177" s="92" t="inlineStr">
        <is>
          <t>—</t>
        </is>
      </c>
      <c r="D177" s="92" t="inlineStr">
        <is>
          <t>—</t>
        </is>
      </c>
      <c r="E177" s="92" t="inlineStr">
        <is>
          <t>2026-07-18</t>
        </is>
      </c>
      <c r="F177" s="92" t="inlineStr">
        <is>
          <t>(numbering gap, intentionally void)</t>
        </is>
      </c>
    </row>
    <row r="178" ht="149.25" customHeight="1" s="78">
      <c r="A178" s="92" t="inlineStr">
        <is>
          <t>S106</t>
        </is>
      </c>
      <c r="B178" s="92" t="inlineStr">
        <is>
          <t>SGCC Jiangsu 代理购电 (agency-purchase electricity) monthly price notices (国网江苏 代理购电公告) — JS market price &amp; 系统运行费 components (cited within source S114)</t>
        </is>
      </c>
      <c r="C178" s="92" t="inlineStr">
        <is>
          <t>1 (definition reconstructed 2026-07-18, Stage-10 QC, from citing context sources!B114)</t>
        </is>
      </c>
      <c r="D178" s="92" t="inlineStr">
        <is>
          <t>95598.js.sgcc.com.cn — 代理购电公告 (monthly)</t>
        </is>
      </c>
      <c r="E178" s="92" t="inlineStr">
        <is>
          <t>2026-07-16 (Stage 7); backfilled 2026-07-18</t>
        </is>
      </c>
      <c r="F178" s="92" t="inlineStr">
        <is>
          <t>7 CN Jiangsu agency-purchase price &amp; 系统运行费 build (cited in S114)</t>
        </is>
      </c>
    </row>
    <row r="179">
      <c r="A179" s="77" t="inlineStr">
        <is>
          <t>S176</t>
        </is>
      </c>
      <c r="B179" s="77" t="inlineStr">
        <is>
          <t>worldsteel, Energy use in the steel industry (web page, updated May 2026)</t>
        </is>
      </c>
      <c r="C179" s="77" t="n">
        <v>1</v>
      </c>
      <c r="D179" s="77" t="inlineStr">
        <is>
          <t>https://worldsteel.org/about-steel/energy-use-in-the-steel-industry/</t>
        </is>
      </c>
      <c r="E179" s="77" t="inlineStr">
        <is>
          <t>2026-07-19</t>
        </is>
      </c>
      <c r="F179" s="77" t="inlineStr">
        <is>
          <t>5 Steel electricity-share ranges (BF-BOF 10–15%; scrap-EAF 50–70%; DRI-EAF 25–40%); 2024 avg intensity 20.95 GJ/t (D62 coefficient re-derivation)</t>
        </is>
      </c>
    </row>
    <row r="180">
      <c r="A180" s="77" t="inlineStr">
        <is>
          <t>S177</t>
        </is>
      </c>
      <c r="B180" s="77" t="inlineStr">
        <is>
          <t>IEA, Cement (tracking page, current edition) — negative check</t>
        </is>
      </c>
      <c r="C180" s="77" t="inlineStr">
        <is>
          <t>1 (absence check)</t>
        </is>
      </c>
      <c r="D180" s="77" t="inlineStr">
        <is>
          <t>https://www.iea.org/reports/cement-3</t>
        </is>
      </c>
      <c r="E180" s="77" t="inlineStr">
        <is>
          <t>2026-07-19</t>
        </is>
      </c>
      <c r="F180" s="77" t="inlineStr">
        <is>
          <t>5 kWh/t electricity intensity NOT on current page → C132 pinned to 2022 edition (D62)</t>
        </is>
      </c>
    </row>
    <row r="181">
      <c r="A181" s="77" t="inlineStr">
        <is>
          <t>S178</t>
        </is>
      </c>
      <c r="B181" s="77" t="inlineStr">
        <is>
          <t>NESO, Future Energy Scenarios 2025 — Data Workbook (sheet ED1)</t>
        </is>
      </c>
      <c r="C181" s="77" t="n">
        <v>1</v>
      </c>
      <c r="D181" s="77" t="inlineStr">
        <is>
          <t>https://www.neso.energy/document/364551/download</t>
        </is>
      </c>
      <c r="E181" s="77" t="inlineStr">
        <is>
          <t>2026-07-19</t>
        </is>
      </c>
      <c r="F181" s="77" t="inlineStr">
        <is>
          <t>7 UK forward utilisation: HT system demand + ACS peak 2023–2035 (stage7 §G; Q51 UK leg; D63)</t>
        </is>
      </c>
    </row>
    <row r="182">
      <c r="A182" s="77" t="inlineStr">
        <is>
          <t>S179</t>
        </is>
      </c>
      <c r="B182" s="77" t="inlineStr">
        <is>
          <t>VEA, EnFG Besondere Ausgleichsregelung explainer — KWKG/Offshore-Umlage caps (15% list-1 / 25% list-2, beyond first GWh)</t>
        </is>
      </c>
      <c r="C182" s="77" t="n">
        <v>2</v>
      </c>
      <c r="D182" s="77" t="inlineStr">
        <is>
          <t>https://www.vea.de/newsroom/aktuelles/thema/so-erhalten-sie-grosse-teile-der-kwk-umlage-und-der-offshore-netzumlage-zurueck</t>
        </is>
      </c>
      <c r="E182" s="77" t="inlineStr">
        <is>
          <t>2026-07-19</t>
        </is>
      </c>
      <c r="F182" s="77" t="inlineStr">
        <is>
          <t>6 DE E2 EnFG 15%-cap memo (stage6 r192–193, Q85). Verify against EnFG §§28–31 statute text at publication (gesetze-im-internet robots-blocked 2026-07-19).</t>
        </is>
      </c>
    </row>
    <row r="183">
      <c r="A183" s="77" t="inlineStr">
        <is>
          <t>S180</t>
        </is>
      </c>
      <c r="B183" s="77" t="inlineStr">
        <is>
          <t>Ofgem, Energy companies' Consolidated Segmental Statements (CSS) — transparency/index page + OFG1163 guidance (regime expanded to non-legacy suppliers from 29.03.2024)</t>
        </is>
      </c>
      <c r="C183" s="77" t="inlineStr">
        <is>
          <t>1</t>
        </is>
      </c>
      <c r="D183" s="77" t="inlineStr">
        <is>
          <t>https://www.ofgem.gov.uk/transparency-document/energy-companies-consolidated-segmental-statements-css</t>
        </is>
      </c>
      <c r="E183" s="77" t="inlineStr">
        <is>
          <t>2026-07-24</t>
        </is>
      </c>
      <c r="F183" s="77" t="inlineStr">
        <is>
          <t>4/6 CSS margin overlay (stage4_uk r55–59; stage6 §R wedge note; Q88)</t>
        </is>
      </c>
    </row>
    <row r="184">
      <c r="A184" s="77" t="inlineStr">
        <is>
          <t>S181</t>
        </is>
      </c>
      <c r="B184" s="77" t="inlineStr">
        <is>
          <t>Supplier CSS filings, non-domestic electricity supply segments 2012–2024: EDF 2012–24; Centrica/BGT 2012–23; SSE FY12/13–23/24; E.ON 2012–20+2023–24; npower/RWE 2012–19; Scottish Power 2012–24; TotalEnergies 2023–24; Drax/Opus 2023–24 (audited-basis disclosures; image-table years transcribed, additivity-checked)</t>
        </is>
      </c>
      <c r="C184" s="77" t="inlineStr">
        <is>
          <t>1</t>
        </is>
      </c>
      <c r="D184" s="77" t="inlineStr">
        <is>
          <t>per-filing URLs in css_nondom_margin_panel.csv (project folder, 73 rows, one URL per filing)</t>
        </is>
      </c>
      <c r="E184" s="77" t="inlineStr">
        <is>
          <t>2026-07-24</t>
        </is>
      </c>
      <c r="F184" s="77" t="inlineStr">
        <is>
          <t>4/6 CSS panel EBIT/opex series + bracket test (css_margin_bracket_staging.md; Q88)</t>
        </is>
      </c>
    </row>
    <row r="185">
      <c r="A185" s="77" t="inlineStr">
        <is>
          <t>S182</t>
        </is>
      </c>
      <c r="B185" s="77" t="inlineStr">
        <is>
          <t>BNetzA/Bundeskartellamt, Monitoringbericht Energie 2025 (pub. 26.11.2025) — FIRST edition splitting "Beschaffungskosten" from "Vertrieb und Marge" for non-household cases. Tab. 35 p.166 (Industriekunde 24 GWh/a); Tab. 37 (Gewerbekunde 50 MWh/a); Tab. 38 (household band DC); Tab. 40 p.173 (household by contract category)</t>
        </is>
      </c>
      <c r="C185" s="77" t="inlineStr">
        <is>
          <t>1</t>
        </is>
      </c>
      <c r="D185" s="77" t="inlineStr">
        <is>
          <t>https://data.bundesnetzagentur.de/Bundesnetzagentur/SharedDocs/Mediathek/Monitoringberichte/MonitoringberichtEnergie2025.pdf</t>
        </is>
      </c>
      <c r="E185" s="77" t="inlineStr">
        <is>
          <t>2026-07-24</t>
        </is>
      </c>
    </row>
    <row r="186">
      <c r="A186" s="77" t="inlineStr">
        <is>
          <t>S183</t>
        </is>
      </c>
      <c r="B186" s="77" t="inlineStr">
        <is>
          <t>BNetzA/Bundeskartellamt, Monitoringberichte Energie 2019–2024 — bundled industrial supply residual ("vom Lieferanten beeinflussbarer Preisbestandteil / Restbetrag", 24 GWh/a): MB2023 Tab. 60 p.179; MB2024 Tab. 53. Used for the pre-2025 series only, flagged NOT usable as margin</t>
        </is>
      </c>
      <c r="C186" s="77" t="inlineStr">
        <is>
          <t>1</t>
        </is>
      </c>
      <c r="D186" s="77" t="inlineStr">
        <is>
          <t>https://data.bundesnetzagentur.de/Bundesnetzagentur/SharedDocs/Mediathek/Monitoringberichte/MonitoringberichtEnergie2024.pdf</t>
        </is>
      </c>
      <c r="E186" s="77" t="inlineStr">
        <is>
          <t>2026-07-24</t>
        </is>
      </c>
    </row>
    <row r="187">
      <c r="A187" s="77" t="inlineStr">
        <is>
          <t>S184</t>
        </is>
      </c>
      <c r="B187" s="77" t="inlineStr">
        <is>
          <t>E.ON SE, Geschäftsbericht 2025 and 2024 — Energy Retail segment note (adj. EBITDA and D&amp;A by country) and management-report sales-volume table (bn kWh by country, fuel and customer group). Note: eon.com and annualreport.eon.com return Cloudflare 403 to non-browser clients; retrieved via hauptversammlung.de mirror of the identical published documents</t>
        </is>
      </c>
      <c r="C187" s="77" t="inlineStr">
        <is>
          <t>1</t>
        </is>
      </c>
      <c r="D187" s="77" t="inlineStr">
        <is>
          <t>https://hauptversammlung.de/fileadmin/public/user_upload/EON_GB25.pdf</t>
        </is>
      </c>
      <c r="E187" s="77" t="inlineStr">
        <is>
          <t>2026-07-24</t>
        </is>
      </c>
    </row>
    <row r="188">
      <c r="A188" s="77" t="inlineStr">
        <is>
          <t>S185</t>
        </is>
      </c>
      <c r="B188" s="77" t="inlineStr">
        <is>
          <t>Fraunhofer ISI, Industriestrompreise — Abschlussbericht. German industrials 70–150 GWh/a, 2013: actual mean procurement 4.68 ct/kWh vs modelled wholesale proxy 4.69 ct/kWh (80% forward / 20% spot) → implied mark-up ≈ 0. Only published observation inside the XL archetype band</t>
        </is>
      </c>
      <c r="C188" s="77" t="inlineStr">
        <is>
          <t>2</t>
        </is>
      </c>
      <c r="D188" s="77" t="inlineStr">
        <is>
          <t>https://www.isi.fraunhofer.de/</t>
        </is>
      </c>
      <c r="E188" s="77" t="inlineStr">
        <is>
          <t>2026-07-24</t>
        </is>
      </c>
    </row>
    <row r="189">
      <c r="A189" s="77" t="inlineStr">
        <is>
          <t>S186</t>
        </is>
      </c>
      <c r="B189" s="77" t="inlineStr">
        <is>
          <t>Trianel GmbH, "Analyse und Kalkulation von Risikoaufschlägen für den Strom- und Gasvertrieb" (doc 03-2018/96). Risk Adder for real RLM industrial load clusters: 0.08–1.83 €/MWh, portfolio 0.67 €/MWh (structuring + balancing + forecast-error only; excludes Bindefrist, credit, losses, margin). Supports the low-end bracket</t>
        </is>
      </c>
      <c r="C189" s="77" t="inlineStr">
        <is>
          <t>3</t>
        </is>
      </c>
      <c r="D189" s="77" t="inlineStr">
        <is>
          <t>https://www.trianel.com/docs/webmagazin/vertrieb/vertrieb-risikoaufschlaege-kalkulieren-trianel.pdf</t>
        </is>
      </c>
      <c r="E189" s="77" t="inlineStr">
        <is>
          <t>2026-07-24</t>
        </is>
      </c>
    </row>
    <row r="190">
      <c r="A190" s="77" t="inlineStr">
        <is>
          <t>S187</t>
        </is>
      </c>
      <c r="B190" s="77" t="inlineStr">
        <is>
          <t>EnWG §6b — Rechnungslegung und Buchführung. Abs. 3 S. 1 lists SEVEN activities requiring separate accounts (Übertragung, Verteilung, Fernleitung, Gasverteilung, Gasspeicherung, LNG, Ladepunkte); Vertrieb is NOT among them, and S. 3 permits other electricity activities to be merged. Abs. 7 S. 6 requires non-listed activity accounts to be treated as trade secrets. Evidence for "no German CSS equivalent exists"</t>
        </is>
      </c>
      <c r="C190" s="77" t="inlineStr">
        <is>
          <t>1</t>
        </is>
      </c>
      <c r="D190" s="77" t="inlineStr">
        <is>
          <t>https://www.gesetze-im-internet.de/enwg_2005/__6b.html</t>
        </is>
      </c>
      <c r="E190" s="77" t="inlineStr">
        <is>
          <t>2026-07-24</t>
        </is>
      </c>
    </row>
    <row r="191">
      <c r="A191" s="77" t="inlineStr">
        <is>
          <t>S188</t>
        </is>
      </c>
      <c r="B191" s="77" t="inlineStr">
        <is>
          <t>E.ON SE Annual Reports 2021, 2022 and 2023 — Customer Solutions segment note (adj. EBITDA/EBIT by country) and Power Sales / Gas Sales volume tables (bn kWh by country and customer group). Used to extend the Germany retail margin series back to FY2021. Restatement flags: FY21 Germany EBITDA 660 → 694 (AR2022); FY23 volumes restated in GB24 (use the Customer-groups subtotal, not Total)</t>
        </is>
      </c>
      <c r="C191" s="77" t="inlineStr">
        <is>
          <t>1</t>
        </is>
      </c>
      <c r="D191" s="77" t="inlineStr">
        <is>
          <t>https://www.annualreports.com/HostedData/AnnualReportArchive/e/OTC_ENAKF_2023.pdf</t>
        </is>
      </c>
      <c r="E191" s="77" t="inlineStr">
        <is>
          <t>2026-07-24</t>
        </is>
      </c>
    </row>
    <row r="192">
      <c r="A192" s="77" t="inlineStr">
        <is>
          <t>S189</t>
        </is>
      </c>
      <c r="B192" s="77" t="inlineStr">
        <is>
          <t>EEG 2009 (Stammfassung, Art. 1 G. v. 25.10.2008, BGBl. I S. 2074) §§40–44 as in force for benefit years 2010–2012 — UNAMENDED until the EEG 2012 changes took effect 01.01.2012; plus §6 Abs.1 Nr.1 AusglMechV (v. 17.07.2009, BGBl. I S. 2101) fixing the privileged rate at 0.05 ct/kWh, and §41(3) S.1 EEG 2009 establishing the 10% Selbstbehalt. Also EEG 2012 §41(3) tranche ladder and §66(13) timing rule</t>
        </is>
      </c>
      <c r="C192" s="77" t="inlineStr">
        <is>
          <t>1</t>
        </is>
      </c>
      <c r="D192" s="77" t="inlineStr">
        <is>
          <t>https://www.clearingstelle-eeg-kwkg.de/sites/default/files/EEG-110501r2-1.pdf</t>
        </is>
      </c>
      <c r="E192" s="77" t="inlineStr">
        <is>
          <t>2026-07-24</t>
        </is>
      </c>
    </row>
    <row r="193">
      <c r="A193" s="77" t="inlineStr">
        <is>
          <t>S190</t>
        </is>
      </c>
      <c r="B193" s="77" t="inlineStr">
        <is>
          <t>ÜNB EEG-Jahresabrechnung 2011 (testiert, Stand 20.07.2012), netztransparenz.de — non-privileged Letztverbrauch 377.087 TWh @ 3.530 ct/kWh and privileged 85.118 TWh @ 0.050 ct/kWh, reconciling to the published Soll-Einnahmen of €13,353,740,622.46 to the cent. Confirms both the 2011 headline Umlage and the 0.05 ct/kWh privileged rate as the rate ACTUALLY charged</t>
        </is>
      </c>
      <c r="C193" s="77" t="inlineStr">
        <is>
          <t>1</t>
        </is>
      </c>
      <c r="D193" s="77" t="inlineStr">
        <is>
          <t>https://www.netztransparenz.de/xspproxy/api/staticfiles/ntp-relaunch/dokumente/erneuerbare%20energien%20und%20umlagen/eeg-jahresabrechnungen/vorjahre/eeg-jahresabrechnung_2011.pdf</t>
        </is>
      </c>
      <c r="E193" s="77" t="inlineStr">
        <is>
          <t>2026-07-24</t>
        </is>
      </c>
    </row>
    <row r="194">
      <c r="A194" s="77" t="inlineStr">
        <is>
          <t>S191</t>
        </is>
      </c>
      <c r="B194" s="77" t="inlineStr">
        <is>
          <t>BAFA BesAR decision statistics (besar_2011.xls, Stand 21.11.2012: 603 Unternehmen, 818 Abnahmestellen, 75,974 GWh privilegierte Strommenge) and BMU Hintergrundpapier Besondere Ausgleichsregelung (30.03.2012) — including the statement that Schienenbahnen and ~80% of privileged manufacturing Abnahmestellen carried the 10% Selbstbehalt, covering about one third of privileged volume. Used to corroborate the regime and to date the EEG 2012 threshold change (privileged undertakings 734 in 2012 → 1,691 in 2013)</t>
        </is>
      </c>
      <c r="C194" s="77" t="inlineStr">
        <is>
          <t>1</t>
        </is>
      </c>
      <c r="D194" s="77" t="inlineStr">
        <is>
          <t>https://web.archive.org/web/20120522180414if_/http://www.erneuerbare-energien.de/files/pdfs/allgemein/application/pdf/eeg_hintergrundpapier_besar_bf.pdf</t>
        </is>
      </c>
      <c r="E194" s="77" t="inlineStr">
        <is>
          <t>2026-07-24</t>
        </is>
      </c>
    </row>
    <row r="195">
      <c r="A195" s="77" t="inlineStr">
        <is>
          <t>S192</t>
        </is>
      </c>
      <c r="B195" s="77" t="inlineStr">
        <is>
          <t>Eurostat structural business statistics — value added, EU27, NACE Rev.2 classes 24.10 / 24.42 / 23.51 / 17.12. Legacy sbs_na_ind_r2 (indic_sb=V12150, to 2020; geo=EU27_2007 is the ONLY vintage carrying 2010) and sbs_ovw_act (indic_sbs=AV_MEUR, 2021+). 2010 values EUR m: steel 22,109 / aluminium 7,268 / cement 6,543 / paper 14,128. CAUTION: cement and paper are confidentiality-suppressed at EU27 in most 2011-2017 years, and there is a definitional break at 2020/2021 (EU27 manufacturing total jumps +16%) — do not build a weight vector straddling it</t>
        </is>
      </c>
      <c r="C195" s="77" t="inlineStr">
        <is>
          <t>1</t>
        </is>
      </c>
      <c r="D195" s="77" t="inlineStr">
        <is>
          <t>https://ec.europa.eu/eurostat/api/dissemination/statistics/1.0/data/sbs_na_ind_r2?format=JSON&amp;geo=EU27_2007&amp;nace_r2=C2410&amp;indic_sb=V12150</t>
        </is>
      </c>
      <c r="E195" s="77" t="inlineStr">
        <is>
          <t>2026-07-24</t>
        </is>
      </c>
    </row>
    <row r="196">
      <c r="A196" s="77" t="inlineStr">
        <is>
          <t>S193</t>
        </is>
      </c>
      <c r="B196" s="77" t="inlineStr">
        <is>
          <t>JRC136525 and European Aluminium — EU primary aluminium ~2.0 Mt against ~5.6 Mt of scrap consumed, establishing that NACE 24.42 value added spans far more than the primary metal the tonnage series measures. Basis for the scope-adjusted weight variant (f=0.35 of 24.42 value added attributed to primary; f is an inference, flagged as such, hence variant not headline). Also records that the 24.4 parent is WORSE not better — aluminium is only 44.5% of 24.4 value added in 2010</t>
        </is>
      </c>
      <c r="C196" s="77" t="inlineStr">
        <is>
          <t>2</t>
        </is>
      </c>
      <c r="D196" s="77" t="inlineStr">
        <is>
          <t>https://publications.jrc.ec.europa.eu/repository/</t>
        </is>
      </c>
      <c r="E196" s="77" t="inlineStr">
        <is>
          <t>2026-07-24</t>
        </is>
      </c>
    </row>
    <row r="197">
      <c r="A197" s="77" t="inlineStr">
        <is>
          <t>S194</t>
        </is>
      </c>
      <c r="B197" s="77" t="inlineStr">
        <is>
          <t>UK: The Electricity Supplier Obligations (Amendment and Excluded Electricity) Regulations 2015, SI 2015/721, SCHEDULE "Specified activities" (substituted in full by SI 2017/1051; 10.61 inserted by SI 2020/130) — the master list of EII-eligible sectors, 71 four-digit NACE Rev.2 classes across 18 divisions. SI 2024/409 reg 5 only CROSS-REFERS to this Schedule. Firm-level test at reg 8(1)(b)(i)/(2)(a): electricity cost impact &gt;= 0.2 (20% of gross value added), over the three most recent business years (reg 9(2)(a))</t>
        </is>
      </c>
      <c r="C197" s="77" t="inlineStr">
        <is>
          <t>1</t>
        </is>
      </c>
      <c r="D197" s="77" t="inlineStr">
        <is>
          <t>https://www.legislation.gov.uk/uksi/2015/721/schedule</t>
        </is>
      </c>
      <c r="E197" s="77" t="inlineStr">
        <is>
          <t>2026-07-24</t>
        </is>
      </c>
    </row>
    <row r="198">
      <c r="A198" s="77" t="inlineStr">
        <is>
          <t>S195</t>
        </is>
      </c>
      <c r="B198" s="77" t="inlineStr">
        <is>
          <t>Germany: EnFG Anlage 2 (zu §31) "Stromkosten- oder handelsintensive Branchen" — Liste 1 (91 WZ2008 classes) and Liste 2 (25), together a character-for-character transposition of CEEAG (2022/C 80/01) Annex 1. §30 eligibility: &gt;1 GWh at the Abnahmestelle + energy management system + an efficiency/decarbonisation condition. NO firm-level electricity-intensity threshold exists — the EEG BesAR 14%/20% tests were dropped in the move to CEEAG</t>
        </is>
      </c>
      <c r="C198" s="77" t="inlineStr">
        <is>
          <t>1</t>
        </is>
      </c>
      <c r="D198" s="77" t="inlineStr">
        <is>
          <t>https://www.gesetze-im-internet.de/enfg/anlage_2.html</t>
        </is>
      </c>
      <c r="E198" s="77" t="inlineStr">
        <is>
          <t>2026-07-24</t>
        </is>
      </c>
    </row>
    <row r="199">
      <c r="A199" s="77" t="inlineStr">
        <is>
          <t>S196</t>
        </is>
      </c>
      <c r="B199" s="77" t="inlineStr">
        <is>
          <t>Destatis, Produktionsindex für energieintensive Industriezweige — published monthly since reference month June 2022, back-calculated to 2005; WISTA 2/2023 (Vogel/Neumann/Linz) documents the construction. Contains exactly five WZ2008 divisions (17, 19, 20, 23, 24), selected on energy use per euro of gross value added at factor cost — 77% of industrial energy against ~17-21% of industrial GVA in 2021. Food (WZ 10) is DELIBERATELY EXCLUDED despite high absolute energy use. GENESIS table 42153-0001</t>
        </is>
      </c>
      <c r="C199" s="77" t="inlineStr">
        <is>
          <t>1</t>
        </is>
      </c>
      <c r="D199" s="77" t="inlineStr">
        <is>
          <t>https://www.destatis.de/DE/Methoden/WISTA-Wirtschaft-und-Statistik/2023/02/produktionsindex-energieintensive-industriezweige-022023.pdf?__blob=publicationFile</t>
        </is>
      </c>
      <c r="E199" s="77" t="inlineStr">
        <is>
          <t>2026-07-24</t>
        </is>
      </c>
    </row>
    <row r="200">
      <c r="A200" s="77" t="inlineStr">
        <is>
          <t>S197</t>
        </is>
      </c>
      <c r="B200" s="77" t="inlineStr">
        <is>
          <t>LINE LOSSES — four primary instruments, retrieved 2026-07-24 for Q92/D70. (1) GB Elexon Balancing and Settlement Code Section T (Settlement and Trading Charges), Transmission Loss Multiplier: TLM = 1 + TLF + TLMO-, with zonal Transmission Loss Factors from 1 April 2018 under BSC Modification P350; demand-side TLM used here 1.008. (2) Northern Powergrid (Yorkshire) Use of System Charging Statement, Annex 5 Line Loss Factors — HV (distribution-connected) LLF 1.024; CVA transmission-connected sites take no LLF (1.000) as they sit above the distribution network. (3) Germany, EnWG §22 (Beschaffung der Energie zur Deckung von Verlusten) — network operators procure loss energy themselves, in a market-based and transparent procedure. (4) Germany, StromNEV §10 (Kostenmäßige Behandlung von Verlustenergie) — the cost of that loss energy is recovered inside the network charge. Together (3)+(4) establish that the German published Netzentgelt ALREADY contains losses, so no customer-side gross-up applies and adding one would double-count. Used in: assumptions r78-80; timeseries r107-110; data_lineitems r1504-1567.</t>
        </is>
      </c>
      <c r="C200" s="77" t="n">
        <v>1</v>
      </c>
      <c r="D200" s="77" t="inlineStr">
        <is>
          <t>https://www.elexon.co.uk/the-bsc/bsc-section-t/ ; https://www.northernpowergrid.com/charging-statements ; https://www.gesetze-im-internet.de/enwg_2005/__22.html ; https://www.gesetze-im-internet.de/stromnev/__10.html</t>
        </is>
      </c>
      <c r="E200" s="77" t="inlineStr">
        <is>
          <t>2026-07-24</t>
        </is>
      </c>
    </row>
    <row r="201">
      <c r="A201" s="77" t="inlineStr">
        <is>
          <t>S198</t>
        </is>
      </c>
      <c r="B201" s="77" t="inlineStr">
        <is>
          <t>WHOLESALE GAS PRICES, calendar-year averages, retrieved 2026-07-25 for Q94. UK (p/therm): Ofgem 'Wholesale Energy Markets in 2016' para 2.12 (2014=50, 2015=42) and 'State of the Energy Market 2017' (2016=35, 2015=43; 42.5 entered for 2015); ONS/National Gas 'System Average Price (SAP) of gas' dataset (file systemaveragepriceofgasdataset230726.xlsx, tab '1.Daily SAP Gas', own daily means x29.3071) for 2018-2025 = 60.9/35.1/25.1/114.2/208.5/100.8/84.0/89.1; SAP is a within-day OCM price, tracks NBP DA within 1-2 p/th. 2010-13 &amp; 2017: Energy Institute Statistical Review 2025 'Natural gas prices' NBP USD/mmbtu / ECB annual USD-GBP x10, estimated=Y. DE (EUR/MWh): BNetzA Monitoringbericht THE EGSI day-ahead (2022=124.98, 2024=34.64); EC Quarterly Report on European Gas Markets TTF day-ahead (2023=41, 2025=36); ACER CHEST item 1068 (2021=47.2); 2010-20 EI SR derived, estimated=Y. Conversion 1 therm = 29.3071 kWh verified. Full provenance incl. dead ends: gas_srmc_staging.md.</t>
        </is>
      </c>
      <c r="C201" s="77" t="n">
        <v>1</v>
      </c>
      <c r="D201" s="77" t="inlineStr">
        <is>
          <t>https://www.ons.gov.uk/economy/economicoutputandproductivity/output/datasets/systemaveragepricesapofgas ; https://www.ofgem.gov.uk/sites/default/files/docs/2016/08/wholesale_energy_markets_in_2016.pdf ; https://energy.ec.europa.eu/data-and-analysis/market-analysis_en ; https://aegis.acer.europa.eu/chest/dataitems/1068/view</t>
        </is>
      </c>
      <c r="E201" s="77" t="inlineStr">
        <is>
          <t>2026-07-25</t>
        </is>
      </c>
    </row>
    <row r="202">
      <c r="A202" s="77" t="inlineStr">
        <is>
          <t>S199</t>
        </is>
      </c>
      <c r="B202" s="77" t="inlineStr">
        <is>
          <t>CARBON PRICES &amp; EMISSION FACTOR cross-checks, retrieved 2026-07-25 for Q94. ICAP Allowance Price Explorer open API (EU ETS systems 33/34, UK ETS 13; ICE front-Dec settle + auction clears): EUA annual means 2010-25 incl 2010=14.34, 2011=12.94 EUR/t (the workbook carbon!r5 auction-VWA series has no 2010-11); agrees with carbon!r5 within ~2 EUR/t 2012-25. Verified against EC COM(2025)735 (2024 EUA 64.74) and ESMA Carbon Markets 2026 (2025 EUA 74). UKA: ICAP 2021-25 = 54.57/79.18/55.83/39.02/49.55 GBP/t; gov.uk penalty determinations cross-check (NB those average the 12 months to 11 Nov, NOT the calendar year). CPS fiscal rates verified (Commons Library SN05927; Finance Act 2014 s98; HMRC CCL rates page): 13/14 4.94, 14/15 9.55, 15/16 18.08 (NOT 18.00), 18.00 from 16/17 through &gt;=2027/28. Gas EF: DESNZ GHG conversion factors 2025 condensed set, Fuels sheet, natural gas kWh Gross CV = 0.18296 kgCO2e/kWh (CO2-only 0.18259). German gas plants pay EUA only (BEHG excludes ETS installations). ICAP licence: non-commercial with citation; do not republish the daily series.</t>
        </is>
      </c>
      <c r="C202" s="77" t="n">
        <v>1</v>
      </c>
      <c r="D202" s="77" t="inlineStr">
        <is>
          <t>https://icapcarbonaction.com/en/ets-prices ; https://www.gov.uk/government/publications/greenhouse-gas-reporting-conversion-factors-2025 ; https://researchbriefings.files.parliament.uk/documents/SN05927/SN05927.pdf</t>
        </is>
      </c>
      <c r="E202" s="77" t="inlineStr">
        <is>
          <t>2026-07-25</t>
        </is>
      </c>
    </row>
    <row r="203">
      <c r="A203" s="77" t="inlineStr">
        <is>
          <t>S200</t>
        </is>
      </c>
      <c r="B203" s="77" t="inlineStr">
        <is>
          <t>NUCLEAR PRICE ANCHORS retrieved 2026-07-25 (owner request: HPC-based UK figure + German restart). (1) NAO, Sizewell C, HC 33 Session 2026-27, 20.05.2026: para 2.19 HPC CfD = GBP 128.94/MWh in 2025 prices over 35 years; para 1.14 confirms the GBP 92.50 -&gt; 89.50 (2012 prices) reduction TRIGGERED at the Sizewell C FID (22.07.2025). (2) LCCC CfD Strike Price Adjustment Guidance Feb 2026 v7: indexation = CPI D7BT, contractual base Oct-2011 CPI 94.5, annual reset 1 April on January CPI; 2026/27 season value 132.12 GBP/MWh. LCCC register entry NUC-HPC-198 is JS/bot-gated - not scraped. (3) Radiant Energy Group, Restarting Germany's Reactors: Viability and Outlook, Jun 2026: 14 reactors / 18.7 GW / ~147 TWh/yr restartable; capex EUR 1.0-4.8bn per unit (program 39.3bn); LCOE group means EUR 37-71/MWh across state-backed/private scenarios (Brokdorf 31-33 cheapest). Supersedes the Dec-2024 edition (9 reactors, ~EUR 20bn, EUR 22-30/MWh opex-only). Advocacy-adjacent, anonymous opex sourcing, not peer-reviewed - flagged wherever drawn. (4) IEA/NEA Projected Costs of Generating Electricity 2020, Table 8.1 p.149: LTO LCOE at 7%/85%CF = USD 31.2-41.1 (10-yr) / 28.6-34.7 (20-yr) per MWh for overnight USD 450-950/kWe - the independent benchmark bracketing the Radiant A/B numbers. Used in: lcoe r33-34, article fig8.</t>
        </is>
      </c>
      <c r="C203" s="77" t="n">
        <v>1</v>
      </c>
      <c r="D203" s="77" t="inlineStr">
        <is>
          <t>https://www.nao.org.uk/wp-content/uploads/2026/05/sizewell-c.pdf ; https://assets.www.lowcarboncontracts.uk/documents/CfD_SPA_Guidance_February_2026_v7.pdf ; https://www.radiantenergygroup.com/_files/ugd/ae75b7_bc5db590cf5a4ac6a4a0d6812a58ada6.pdf ; https://www.oecd-nea.org/upload/docs/application/pdf/2020-12/egc-2020_2020-12-09_18-26-46_781.pdf</t>
        </is>
      </c>
      <c r="E203" s="77" t="inlineStr">
        <is>
          <t>2026-07-25</t>
        </is>
      </c>
    </row>
    <row r="204">
      <c r="A204" s="77" t="inlineStr">
        <is>
          <t>S201</t>
        </is>
      </c>
      <c r="B204" s="77" t="inlineStr">
        <is>
          <t>UKCS COST SERIES retrieved 2026-07-25 (fills the disclosed-anchor gaps in north_sea_og r12/r16). (1) NSTA, Income from and expenditure on UK upstream oil and gas 1970-2024 (xlsx, sheet Annual for Web): capex incl E&amp;A NOMINAL GBP bn 2010-24 = 7.40/10.70/13.30/16.00/16.20/12.64/8.92/6.24/5.55/6.22/4.04/3.76/4.61/5.05/6.05; total opex 7.17...7.78; GDP deflator column (2024=100) banked r41; 2009-14 built on OGUK Activity Survey per workbook notes. (2) NSTA Feb-2026 projections workbook: 2025e capex 5.11 (2025 prices), UOC 17.63/boe, FX table. (3) UOC: OGA/NSTA UOC reports + benchmarking dashboards 2015-24 (15.0/12.0/11.6/11.6/11.9/11.2/15.24/16.35/18.59/19.49; 2017 revised ~11.35-11.4); 2012-14 OGUK via BBC/OGJ coverage (13.5/17/18.5, secondary); 2011 OGUK $17/boe (EST GBP 10.6); 2010 COMPUTED 8.8 = opex/production (production back-derived from OGUK decline rates — EST). Caveat: dashboard UOC (survey gross opex) vs projections UOC (national accounts) differ &lt;=0.1/boe 2022-24. Used in: north_sea_og r12/r16/r41/r42; article fig11. Reserve energy conversion used in fig10: 1 boe = 5.8 MMBtu = 1.6997 MWh (EI convention).</t>
        </is>
      </c>
      <c r="C204" s="77" t="n">
        <v>1</v>
      </c>
      <c r="D204" s="77" t="inlineStr">
        <is>
          <t>https://www.nstauthority.co.uk/media/zrppkyvk/ukcsincomeandexpenditureincludingannualestimatesto2024v2.xlsx ; https://www.nstauthority.co.uk/media/zo1nmwbo/nsta-medium-term-projections-february-2026.xlsx ; https://www.nstauthority.co.uk/media/4514/ukcs-operating-cost-analysis.pdf ; https://www.nstauthority.co.uk/news-publications/2024-benchmarking-dashboards-production-efficiency-and-unit-operating-cost/</t>
        </is>
      </c>
      <c r="E204" s="77" t="inlineStr">
        <is>
          <t>2026-07-25</t>
        </is>
      </c>
    </row>
    <row r="205">
      <c r="A205" s="77" t="inlineStr">
        <is>
          <t>S202</t>
        </is>
      </c>
      <c r="B205" s="77" t="inlineStr">
        <is>
          <t>GAS RENT LEDGER &amp; DELIVERED-COST SOURCES retrieved 2026-07-25 (Q95). (1) HMRC, Statistics of government revenues from UK oil and gas production, Sept-2025 edition, Table 2 (ODS): net RFCT/SC/PRT/EPL by FY 1968-69..2024-25; FY2022-23 9,011m / 23-24 6,110 / 24-25 4,469 (banked north_sea_og r44). (2) HMT/HMRC policy paper Energy Profits Levy — reforms 2024: EPL 38% from 01.11.2024, end 31.03.2030 -&gt; 78% marginal with RFCT 30 + SC 10; Autumn Budget 2025: OGPM successor (35% revenue charge above $90/bbl / 90p/therm, 2026-27 terms, via Deloitte TaxScape). (3) OBR EFO Nov-2025: oil&amp;gas revenues 2.7bn 2025-26. (4) OIES NG-195 (Fulwood, Oct-2024) Fig 2/16 UK cost stack 2021 real-2022$: UK domestic, EU pipe, Qatar LNG &lt;$5; Norway &lt;$6; US LNG 9.87 (marginal supply); marginal-FIELD basis. (5) OIES Energy Comment (Fulwood, Jan-2025) p.7: US LNG build-up feedgas 115%xHH + liq 2.50-3.00 [article fig12 re-splits this as hub 3.52 + liq-incl-fuel-gas 3.28 — same total] + shipping 1.50 + regas 0.45; Qatar delivered 5-6. (6) CSIS (Tsafos 2019): Cheniere liquefaction fees 2.25-3.50. (7) OIES NG-148 (2019): no separate UKCS gas-only cost data exists; SNS/Irish Sea opex ~$15/boe 2017. (8) Aker BP Q4-2024: NCS production cost USD 5.7/boe FY24; sodir.no Gassled tariff regs; norskpetroleum.no NCS opex NOK ~94bn 2025. (9) EIA Henry Hub annual: 2024 2.19 / 2025 3.52. (10) World Bank CMO: TTF 2024 10.96; IEA Gas Market Report Q1-2026: TTF 2025 ~11.9, HH 3.6. NBP-TTF proximity: approximation, no free official NBP annual series (flagged). Used in: north_sea_og r44-47, Q95, article fig12 + section 9-10 prose.</t>
        </is>
      </c>
      <c r="C205" s="77" t="n">
        <v>1</v>
      </c>
      <c r="D205" s="77" t="inlineStr">
        <is>
          <t>https://www.gov.uk/government/statistics/government-revenues-from-uk-oil-and-gas-production--2/government-revenues-from-oil-and-gas-production-september-2025 ; https://www.gov.uk/government/publications/energy-profits-levy-reforms-2024/energy-profits-levy-reforms-2024 ; https://www.oxfordenergy.org/wpcms/wp-content/uploads/2024/10/NG-195-What-Drives-International-Gas-Prices-in-Competitive-Markets.pdf ; https://www.eia.gov/dnav/ng/hist/rngwhhdA.htm</t>
        </is>
      </c>
      <c r="E205" s="77" t="inlineStr">
        <is>
          <t>2026-07-25</t>
        </is>
      </c>
    </row>
    <row r="206">
      <c r="A206" s="77" t="inlineStr">
        <is>
          <t>S203</t>
        </is>
      </c>
      <c r="B206" s="77" t="inlineStr">
        <is>
          <t>UKCS RESOURCE LADDER &amp; EXPLORATION sources retrieved 2026-07-25 (Q96). (1) NSTA, UK Oil and Gas Reserves and Resources as at end 2024 (17.10.2025, 26pp): Table 2 p.11 reserves 1P 1.9/2P 2.9/3P 3.6; 2C 6.2 by maturity category; Tables 3-4 fluid split oil 4.3/gas 2.0; s4.4/Fig 11 p.14 marginal discoveries 3.4 bn boe (2.0 unlicensed, 42% gas); Tables 7-9 pp.15-18 mapped prospective P90 3.3/mean 4.6/P10 6.0 (15% CoS cut-off, drill-ready 0.3); Table 10 p.19 play-level 11.2; ss3.1-3.4 pp.5-7 2024 progression (401 mmboe produced, &lt;50 sanctioned, -90 revisions, RRR -14%). Prior editions 2018-2023 for the discoveries series (exec summaries: 239/240/212/&lt;50/100/&lt;100/&lt;100 mmboe). (2) OGA Wells Insight Report 2018 pp.14,17: ~50% success rate 2000-2017; finding cost GBP 2-4/boe (both chart-only). Wells Insights 2025 (28.10.2025, PowerBI-only; counts via Energy Voice): 2024 = 3 exploration + 3 appraisal, 10-yr low. (3) E&amp;A wells series 2010-2024 = OWN TABULATION from NSTA Open Data 'UKCS offshore wellbores top holes (WGS84)' (WONS-derived), origin wells by spud year - est=Y, anchors reconcile. (4) NSTA 33rd round release 07.10.2022: discovery-&gt;first production ~5 yrs. (5) NSTA projections methodology Feb-2026: stylised central only, 9%/13% declines beyond yr-5; medium-term workbook 1.09 mmboe/d 2024 -&gt; 0.65 2030. (6) Westwood/OEUK UKCS Outlook Jun-2025: low 2.57 / high 4.26 / unconstrained ~7.5 bn boe to 2050; NSTA recovery vintage slide 6.5-&gt;3.8. (7) OEUK Business Outlook 2025/26 releases: LNG reliance fans (full 2026 PDF checkout-gated - not registered, per research rule). Used in: north_sea_og r48-51, Q96, article fig13 + section 9 prose.</t>
        </is>
      </c>
      <c r="C206" s="77" t="n">
        <v>1</v>
      </c>
      <c r="D206" s="77" t="inlineStr">
        <is>
          <t>https://www.nstauthority.co.uk/media/hgnp1k2x/reserves-and-resources-report-2024.pdf ; https://www.nstauthority.co.uk/media/5107/oga_wells_insight_report_2018.pdf ; https://www.westwoodenergy.com/wp-content/uploads/2025/06/Westwood-OEUK-UKCS-Outlook-Summary-Report-June-2025.pdf ; https://open-data-ukcs-transition.hub.arcgis.com/datasets/UKCS-transition::ukcs-offshore-wellbores-top-holes-wgs84</t>
        </is>
      </c>
      <c r="E206" s="77" t="inlineStr">
        <is>
          <t>2026-07-25</t>
        </is>
      </c>
    </row>
    <row r="207">
      <c r="A207" s="77" t="inlineStr">
        <is>
          <t>S204</t>
        </is>
      </c>
      <c r="B207" s="77" t="inlineStr">
        <is>
          <t>QEP JUNE-2026 PRINT + METHODOLOGY retrieved 2026-07-26 (Q93 out-of-sample check; Q92 read). (1) DESNZ, Prices of fuels purchased by non-domestic consumers in the UK excl CCL (QEP 3.4.1), June-2026 edition (published 30.06.2026, table_341__2_.xlsx): Q1-2026 electricity p/kWh — Very Small 34.312 / Small 28.040 / Small-Medium 27.513 / Medium 24.458 / Large 23.366 / Very Large 21.457 / Extra Large 20.973 / Average 23.609; Q1-2026 provisional; file notes a Very Small revision from Q4-2024 onward (ongoing supplier data-quality engagement). 2025 quarterly XL 22.253/20.528/20.242/20.668 (annual mean 20.923 p/kWh = 209.23 GBP/MWh vs workbook r20 209.27 — within 0.05, June-2026 revisions; cross-check PASS). (2) BEIS/DESNZ, Industrial Price Statistics — data sources and methodologies (Sept-2017 edition, still current on gov.uk): QEP 3.4.1 from the Price Transparency survey — 6 electricity + 8 gas suppliers, ~60% of industrial electricity sales, 100% response; 'the average price for each size of consumer is obtained by dividing the total quantity of purchases into their total value' — i.e. AVERAGE UNIT REVENUE ACROSS ALL CONTRACTS IN FORCE, not new-contract prices; bands per EU Council Regulation 2016/1952; data provisional 3 months after quarter-end, finalised +3 months. No contract-vintage discussion in the note. Used in: Q93 update, Q92 status, procurement_vintage.html out-of-sample panel. Q1 implied-wholesale arithmetic uses each year's ANNUAL modelled components (timeseries r113/r14/r6/r22) against the quarterly QEP print — approximation flagged in the exhibit.</t>
        </is>
      </c>
      <c r="C207" s="77" t="n">
        <v>1</v>
      </c>
      <c r="D207" s="77" t="inlineStr">
        <is>
          <t>https://www.gov.uk/government/statistical-data-sets/gas-and-electricity-prices-in-the-non-domestic-sector ; https://assets.publishing.service.gov.uk/media/6a4247b8db380b085e94aaeb/table_341__2_.xlsx ; https://assets.publishing.service.gov.uk/media/5a81e2f9ed915d74e3400967/Industrial_price_methodology_-_updated_Sept_2017.pdf</t>
        </is>
      </c>
      <c r="E207" s="77" t="inlineStr">
        <is>
          <t>2026-07-26</t>
        </is>
      </c>
    </row>
    <row r="208">
      <c r="A208" s="77" t="inlineStr">
        <is>
          <t>S205</t>
        </is>
      </c>
      <c r="B208" s="77" t="inlineStr">
        <is>
          <t>EII EXEMPT-SHARE SOURCES retrieved 2026-07-26 (Q97). (1) Ofgem RO Annual Reports (GB): SY23 2024-25 (pub 27.03.2026) Figure 5.5 p.60 — EII supply 12,328,678 MWh / excluded 11,983,131 / GB supply incl EII 252,580,657 / 4.74%; 26 suppliers with EII customers; footnote 53 misprints 9.72 TWh (prior-year carryover) — figures VERIFIED against downloaded PDF. Prior editions: SY22 Fig 5.5-5.6 (11,787,859/9,721,225/251,040,593); SY21 Fig 5.4; SY20 Fig 5.5; 2020-21 Table 4.4; 2019-20 and 2018-19 Table 4.1 (GB supply derived obligated+excluded). Exemption 85% to 31.03.2024, 100% from 01.04.2024 (SI 2024/419; EM para 12.1: +0.2-0.3 GBP/MWh on non-eligible bills). (2) LCCC data portal, Actual Eligible Demand daily CSV (open, no login): columns Actual_Eligible_Demand_MWh / Actual_EII_Excluded_Electricity_MWh, re-aggregated Apr-Mar in-session (FY17 2.77 partial-start .. FY24 10.61 / FY25 12.46 TWh; FY26 partial 4.78% of eligible) — VERIFIED by own aggregation. (3) DUKES 5.1.2 (2025 edition, pub 31.07.2025): industrial consumption col — 2018 92.12 .. 2024 82.37 TWh — VERIFIED against downloaded xlsx. (4) Counts/costs: DBT Final IA UKIA 2024/64 (c.300 businesses, ~400m/yr, household 4-6/yr); DBT news 02.04.2024 (~370); DBT news 31.10.2025 (~500, NCC 60-&gt;90% Apr-2026, up to 420m/yr); Hansard 04.02.2026 draft EII Support Payments and Levy (Amendment) Regs (550 companies); Supercharger consultation Jul-2023 (&gt;300); BEIS 2017 gov response (design est 9.9 of 11.7 TWh); BEIS 2018 exempted-electricity estimates (10.1-&gt;12.3 TWh forecast). (5) RO level calculation 2026-27 (Sep-2025): 11.9 TWh exempt forecast vs 263.4 TWh GB supply. NEGATIVE RESULT: no public DESNZ/DBT register of EII certificate holders exists (gov.uk content-API probes 404; search API surfaces guidance only). FiT levelisation NOT usable for EII share (bundles green-import exemption; 2021-22 notice: EII reported 12,584,271 MWh / claimed 10,340,665). Gated/dead ends: researchbriefings CBP-10932 Cloudflare; Lords Hansard 05.03.2024 403. Used in: timeseries r126-131, Q97, exempt_share.html.</t>
        </is>
      </c>
      <c r="C208" s="77" t="n">
        <v>1</v>
      </c>
      <c r="D208" s="77" t="inlineStr">
        <is>
          <t>https://www.ofgem.gov.uk/sites/default/files/2026-03/RO_24-25_SY23_Annual_Report-20260327121336.pdf ; https://dp.lowcarboncontracts.uk/dataset/actual-eligible-demand ; https://assets.publishing.service.gov.uk/media/688a29846478525675739056/DUKES_5.1.2.xlsx ; https://www.legislation.gov.uk/ukia/2024/64/pdfs/ukia_20240064_en.pdf ; https://hansard.parliament.uk/commons/2026-02-04/debates/cd4fcb2b-982e-4a88-a906-e77cd6bd1716/DraftEnergy-IntensiveIndustryElectricitySupportPaymentsAndLevy(Amendment)Regulations2026</t>
        </is>
      </c>
      <c r="E208" s="77" t="inlineStr">
        <is>
          <t>2026-07-26</t>
        </is>
      </c>
    </row>
    <row r="209">
      <c r="A209" s="77" t="inlineStr">
        <is>
          <t>S206</t>
        </is>
      </c>
      <c r="B209" s="77" t="inlineStr">
        <is>
          <t>NUCLEAR SCHEDULE BASELINES retrieved 2026-07-26 (article fig14; nuclear_global section D cols L-N). Original planned schedules AT/NEAREST CONSTRUCTION START vs IAEA PRIS actuals, all quotes fetched and verified by research agent; three load-bearing baselines RE-VERIFIED in-session (OL3 WNA Finland 'commercial operation expected in mid-2009' on the 12/2003 EUR3.2bn turnkey; Sanmen WNN 20.04.2009 'begin operation in August 2013'; HPC Construction Enquirer 22.02.2026 'Unit 1 is now scheduled to start up in 2030... GBP35bn in 2015 prices - equivalent to GBP48bn today', EDF annual results). Other baselines: Vogtle GA PSC certified CODs 2016-04/2017-04 (IEEFA Jan-2022 quoting cert order; WNN 18.03.2009); Flamanville EDF 12/2007 'in service... 2012' EUR3.3bn (WNN 04.12.2007; CdC via AFP: grid 12 yrs late, 20.4bn EUR2015); Taishan WNN 16.04.2010 start-up 2013; Fuqing-5 WNN 26.05.2016 completed 2019 (WEAK - construction-day link dead); Fangchenggang-3 WNN 13.09.2016 start-up 2019; Barakah ENEC 07/2012 operational 2017 + WNN: 2018-21 gap = operator training/FANR licensing NOT construction; Shin-Hanul-1 WNN 26.06.2013 completed Apr-2017 (NEI: COD originally Apr-2017); Leningrad-II-1 WNN 19.04.2010 commissioning Oct-2013; Belarusian-1 IAEA 06.11.2013 operation by 2018 (60-month contract; 2011 baseline 2016); Kakrapar-3 WNN 22.11.2010 start-up 2015 (WNA: 66 months to COD); K-2 WNA 72-month plan + WNN 16.04.2020 COD 2021 (weak dating). HPC FID baseline: gov.uk 29.09.2016 contract GBP18bn; EDF 03.07.2017 'initial delivery objective for Unit 1 at the end of 2025'; Jan-2024 update 2029-2031/GBP31-35bn 2015 (WNN). 'Christmas turkeys 2017' claim: reported speech, 2007, majority-attributed to EDF's de Rivaz (ITV 15.09.2016, Carbon Brief, ECIU) but Spectator 22.10.2015 attributes to EDF's Andrew Brown - USE WITH ATTRIBUTION CAVEAT ONLY. CAVEATS (in fig14 caption): baseline wording start-up/commissioning vs COD = months of ambiguity; FLA3 measured to grid; slips vs certified-COD baselines (Vogtle) predate first concrete. Gated/dead ends: ccomptes.fr timeout; NCE 403; TVO 2003 release no stable URL. Used in: nuclear_global r35/r46-60 cols L-N, article fig14 + section 9 lead sentence.</t>
        </is>
      </c>
      <c r="C209" s="77" t="n">
        <v>1</v>
      </c>
      <c r="D209" s="77" t="inlineStr">
        <is>
          <t>https://world-nuclear.org/information-library/country-profiles/countries-a-f/finland ; https://www.world-nuclear-news.org/Articles/First-concrete-at-Sanmen ; https://world-nuclear-news.org/Articles/Georgia-PSC-approves-new-Vogtle-units ; https://www.world-nuclear-news.org/Articles/Construction-of-Flamanville-EPR-begins ; https://www.constructionenquirer.com/2026/02/22/me-delay-pushes-hinkley-c-first-reactor-start-up-back-a-year/ ; https://www.edf.fr/en/the-edf-group/dedicated-sections/journalists/all-press-releases/clarifications-on-hinkley-point-c-project</t>
        </is>
      </c>
      <c r="E209" s="77" t="inlineStr">
        <is>
          <t>2026-07-26</t>
        </is>
      </c>
    </row>
    <row r="210">
      <c r="A210" s="77" t="inlineStr">
        <is>
          <t>S207</t>
        </is>
      </c>
      <c r="B210" s="77" t="inlineStr">
        <is>
          <t>SAN'AO-1 + TAISHAN-2 SCHEDULE ADDITIONS retrieved 2026-07-26 (owner request; article fig14 now 17 units; nuclear_global r61-62 via insert_rows(61,2) - cross-sheet refs checked first: only stage8_summary C6/C7 -&gt; nuclear_global H10/C29, both above the insertion point, unaffected). (1) San'ao-1 (CGN, Hualong One, 1116 MWe net): first concrete 31.12.2020; grid 12.03.2026; commercial operation 29.04.2026 = 5 years 4 months (WNN 29.04.2026, VERIFIED in-session); era baseline WNN 04.01.2022 (San'ao-2 construction start article): 'San'ao 1 and 2 are scheduled to begin supplying electricity in 2026 and 2027, respectively' (VERIFIED in-session) -&gt; ON PLAN; corroboration NucNet 04.04.2026, CNNC 14.03.2026 grid release. (2) Taishan-2 (EPR 1660 MWe): construction start 15.04.2010, grid 23.06.2019, commercial operation 07.09.2019 = 9.4 yr (PRIS; NucNet/WNN 2019 era articles corroborate); baseline = the SAME WNN 16.04.2010 article banked under S206 ('start up in 2013 and 2015, respectively') -&gt; unit 2 planned 2015, slip ~4.2-4.5 yr. ROSTER NOTE: section D originally sampled one lead unit per project (Vogtle pair excepted); San'ao postdated the sample (COD 04/2026). Article prose updated: HPR1000 range 5.3-7.2. Used in: nuclear_global r61-62, DATA.delays, fig14.</t>
        </is>
      </c>
      <c r="C210" s="77" t="n">
        <v>1</v>
      </c>
      <c r="D210" s="77" t="inlineStr">
        <is>
          <t>https://www.world-nuclear-news.org/articles/first-unit-at-sanao-enters-commercial-operation ; https://www.world-nuclear-news.org/Articles/Second-San-ao-unit-under-construction ; https://world-nuclear-news.org/articles/second-epr-at-china-s-taishan-site-connected-to-gr ; https://www.world-nuclear-news.org/Articles/First-concrete-for-second-Taishan-reactor</t>
        </is>
      </c>
      <c r="E210" s="77" t="inlineStr">
        <is>
          <t>2026-07-26</t>
        </is>
      </c>
    </row>
    <row r="211">
      <c r="A211" s="77" t="inlineStr">
        <is>
          <t>S208</t>
        </is>
      </c>
      <c r="B211" s="77" t="inlineStr">
        <is>
          <t>TAIPINGLING SCHEDULE ADDITION retrieved 2026-07-26 (owner request - earlier 'taipling 2' was MISREAD as Taishan 2; both now covered). Taipingling-1 (CGN, Hualong One, 1116 MWe net, Huizhou/Guangdong): first concrete 26.12.2019 (Wikipedia/WNR corroborated); grid 13.02.2026; commercial operation 19.04.2026 = 6.31 yr (WNN 20.04.2026, VERIFIED in-session). BASELINE WEAK: 'The two units of the first phase... are expected to be put into operation and generate electricity in 2025' is from WNN 03.06.2024 (containment-completion article) - a mid-project restatement; era articles (WNR 11.11.2020 unit-2 FCD; WNN unit-1 criticality 04.02.2026) carry NO construction-start-era schedule; planned duration 5.5 = FCD -&gt; mid-2025, slip ~+0.8, flagged with Fuqing/K-2 in the fig14 caption. Taipingling-2: FCD 15.10.2020, grid 04.07.2026 ('first kilowatt-hour', WNN 06.07.2026, VERIFIED), 'expected to officially commence power generation in the second half of 2026' - EXCLUDED from fig14 until COD (chart measures first concrete -&gt; commercial operation); caption notes it joins at COD. nuclear_global r63 via insert_rows(63,1) - cross-sheet refs (stage8_summary C6/C7 -&gt; H10/C29) above insertion, unaffected. Used in: r63, DATA.delays (18 rows), fig14.</t>
        </is>
      </c>
      <c r="C211" s="77" t="n">
        <v>1</v>
      </c>
      <c r="D211" s="77" t="inlineStr">
        <is>
          <t>https://www.world-nuclear-news.org/articles/first-taipingling-unit-enters-commercial-operation ; https://www.world-nuclear-news.org/Articles/Construction-of-containment-completed-of-Taipingli ; https://www.world-nuclear-news.org/articles/second-taipingling-unit-begins-supplying-power ; https://en.wikipedia.org/wiki/Taipingling_Nuclear_Power_Plant</t>
        </is>
      </c>
      <c r="E211" s="77" t="inlineStr">
        <is>
          <t>2026-07-26</t>
        </is>
      </c>
    </row>
    <row r="212">
      <c r="A212" s="77" t="inlineStr">
        <is>
          <t>S209</t>
        </is>
      </c>
      <c r="B212" s="77" t="inlineStr">
        <is>
          <t>CCL RELIEF &amp; RE-BASING SOURCES retrieved 2026-07-26 (D71/Q98). (1) HMRC, Excise Notice CCL1/3 'Climate Change Levy - reliefs and special treatments for taxable commodities' (gov.uk): s3.14 'From 1 April 2014 mineralogical or metallurgical processes are exempt from the main rates of CCL'; Annex A lists the qualifying processes (~30: flat glass, ceramics, cement, lime / metallurgical) and s4 of Annex A gives the indicative list of qualifying energy uses — electricity included; s3.10 CHP relief; s10.1 electrolytic/non-fuel uses (chlor-alkali; hydrogen from 12.03.2026); s3.8 small-generator relief; s4.1 CCA reduced rate (rate varies by commodity, points to the rates page). VERIFIED in-session. (2) gov.uk 'Climate Change Levy rates': electricity main rate 0.00775 GBP/kWh 01.04.2023-01.04.2025, 0.00801 from 01.04.2026, 0.00827 from 01.04.2027; CCA reduced rate ELECTRICITY = 92% discount (holder pays 8%) 2023-2027; gas 88% then 89% from 01.04.2024. VERIFIED in-session. (3) DESNZ QEP table_341.xlsx (pub. 30.06.2026), sheet '3.4.2 (Annual inc CCL)' — new observed basis, full precision, 2010-2025 both bands; sheet '3.4.1 (Annual excl CCL)' retained as the prior basis and as the other half of the effective-CCL derivation. Used in: stage4_uk r50-52, timeseries r14/r19/r20/r29/r30/r78/r79/r132-134, data_lineitems E2 CCL + memo rows, D71, Q98, article revs 50+.</t>
        </is>
      </c>
      <c r="C212" s="77" t="n">
        <v>1</v>
      </c>
      <c r="D212" s="77" t="inlineStr">
        <is>
          <t>https://www.gov.uk/government/publications/excise-notice-ccl13-climate-change-levy-reliefs-and-special-treatments-for-taxable-commodities/excise-notice-ccl13-climate-change-levy-reliefs-and-special-treatments-for-taxable-commodities ; https://www.gov.uk/guidance/climate-change-levy-rates ; https://www.gov.uk/government/statistical-data-sets/gas-and-electricity-prices-in-the-non-domestic-sector</t>
        </is>
      </c>
      <c r="E212" s="77" t="inlineStr">
        <is>
          <t>2026-07-26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7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77" min="1" max="1"/>
    <col width="14" customWidth="1" style="77" min="2" max="2"/>
    <col width="40" customWidth="1" style="77" min="3" max="3"/>
    <col width="80" customWidth="1" style="77" min="4" max="4"/>
    <col width="22" customWidth="1" style="77" min="5" max="5"/>
  </cols>
  <sheetData>
    <row r="1" ht="15.75" customHeight="1" s="78">
      <c r="A1" s="93" t="inlineStr">
        <is>
          <t>DECISIONS — methodology decision log</t>
        </is>
      </c>
    </row>
    <row r="3" ht="15" customHeight="1" s="78">
      <c r="A3" s="97" t="inlineStr">
        <is>
          <t>ID</t>
        </is>
      </c>
      <c r="B3" s="97" t="inlineStr">
        <is>
          <t>Date</t>
        </is>
      </c>
      <c r="C3" s="97" t="inlineStr">
        <is>
          <t>Decision</t>
        </is>
      </c>
      <c r="D3" s="97" t="inlineStr">
        <is>
          <t>Reasoning</t>
        </is>
      </c>
      <c r="E3" s="97" t="inlineStr">
        <is>
          <t>Status</t>
        </is>
      </c>
    </row>
    <row r="4" ht="23.25" customHeight="1" s="78">
      <c r="A4" s="101" t="inlineStr">
        <is>
          <t>D1</t>
        </is>
      </c>
      <c r="B4" s="101" t="inlineStr">
        <is>
          <t>2026-07-14</t>
        </is>
      </c>
      <c r="C4" s="101" t="inlineStr">
        <is>
          <t>FX source = Federal Reserve H.10/G.5A annual averages (via FRED)</t>
        </is>
      </c>
      <c r="D4" s="100" t="inlineStr">
        <is>
          <t>One US official source covering GBP, EUR, CNY; pairs with BLS CPI-U deflator. Options considered: IMF IFS, ECB reference rates (requires crossing).</t>
        </is>
      </c>
      <c r="E4" s="101" t="inlineStr">
        <is>
          <t>User-approved</t>
        </is>
      </c>
    </row>
    <row r="5" ht="23.25" customHeight="1" s="78">
      <c r="A5" s="101" t="inlineStr">
        <is>
          <t>D2</t>
        </is>
      </c>
      <c r="B5" s="101" t="inlineStr">
        <is>
          <t>2026-07-14</t>
        </is>
      </c>
      <c r="C5" s="101" t="inlineStr">
        <is>
          <t>CN basket weights = 2024 vintage, held constant across the series</t>
        </is>
      </c>
      <c r="D5" s="100" t="inlineStr">
        <is>
          <t>Latest full year; fixed weights prevent basket drift. Alternatives: 2020 pre-reform baseline; 2015–24 average.</t>
        </is>
      </c>
      <c r="E5" s="101" t="inlineStr">
        <is>
          <t>User-approved</t>
        </is>
      </c>
    </row>
    <row r="6" ht="51.75" customHeight="1" s="78">
      <c r="A6" s="101" t="inlineStr">
        <is>
          <t>D3</t>
        </is>
      </c>
      <c r="B6" s="101" t="inlineStr">
        <is>
          <t>2026-07-14</t>
        </is>
      </c>
      <c r="C6" s="101" t="inlineStr">
        <is>
          <t>Golden-number set: DESNZ Extra Large 2024; NESO TNUoS 25/26 Humber/T-Demand4; BDEW 2025; Eurostat IF DE 2024; NDRC 526号文 Jiangsu 220kV</t>
        </is>
      </c>
      <c r="D6" s="100" t="inlineStr">
        <is>
          <t>Covers all three countries; mixes all-in prices and single components; anchors UK validation overlay and CN T&amp;D leg.</t>
        </is>
      </c>
      <c r="E6" s="101" t="inlineStr">
        <is>
          <t>User-approved</t>
        </is>
      </c>
    </row>
    <row r="7" ht="34.5" customHeight="1" s="78">
      <c r="A7" s="101" t="inlineStr">
        <is>
          <t>D4</t>
        </is>
      </c>
      <c r="B7" s="101" t="inlineStr">
        <is>
          <t>2026-07-14</t>
        </is>
      </c>
      <c r="C7" s="101" t="inlineStr">
        <is>
          <t>UK charging years (Apr–Mar) map to the calendar year containing most months for FX/deflation (2025/26 → 2025)</t>
        </is>
      </c>
      <c r="D7" s="100" t="inlineStr">
        <is>
          <t>TNUoS tariffs are set per charging year; a fixed mapping avoids ad-hoc choices. 9 of 12 months fall in the named year.</t>
        </is>
      </c>
      <c r="E7" s="101" t="inlineStr">
        <is>
          <t>Logged; flag if it ever moves a headline &gt;5%</t>
        </is>
      </c>
    </row>
    <row r="8" ht="34.5" customHeight="1" s="78">
      <c r="A8" s="101" t="inlineStr">
        <is>
          <t>D5</t>
        </is>
      </c>
      <c r="B8" s="101" t="inlineStr">
        <is>
          <t>2026-07-14</t>
        </is>
      </c>
      <c r="C8" s="101" t="inlineStr">
        <is>
          <t>Humber south bank DNO corrected: Northern Powergrid, NOT NGED East Midlands (project-instruction hypothesis was wrong)</t>
        </is>
      </c>
      <c r="D8" s="100" t="inlineStr">
        <is>
          <t>VERIFIED: National Grid Grimsby–Walpole project page states North Lincolnshire distribution is Northern Powergrid; NGED's footprint starts further south. Both banks in TNUoS zone 5 / Yorkshire GSP group.</t>
        </is>
      </c>
      <c r="E8" s="101" t="inlineStr">
        <is>
          <t>User-approved 2026-07-14</t>
        </is>
      </c>
    </row>
    <row r="9" ht="45.75" customHeight="1" s="78">
      <c r="A9" s="101" t="inlineStr">
        <is>
          <t>D6</t>
        </is>
      </c>
      <c r="B9" s="101" t="inlineStr">
        <is>
          <t>2026-07-14</t>
        </is>
      </c>
      <c r="C9" s="101" t="inlineStr">
        <is>
          <t>No 2026 figure is converted to USD until a 2026 annual-average FX exists; 2026 snapshot built in nominal local currency first, conversion marked provisional if pre-year-end</t>
        </is>
      </c>
      <c r="D9" s="100" t="inlineStr">
        <is>
          <t>Anti-fabrication: a partial-year FX average is not the house-rule number. BDEW 2026 (16.7 ct/kWh) held unconverted.</t>
        </is>
      </c>
      <c r="E9" s="101" t="inlineStr">
        <is>
          <t>Logged</t>
        </is>
      </c>
    </row>
    <row r="10" ht="23.25" customHeight="1" s="78">
      <c r="A10" s="101" t="inlineStr">
        <is>
          <t>D7</t>
        </is>
      </c>
      <c r="B10" s="101" t="inlineStr">
        <is>
          <t>2026-07-14</t>
        </is>
      </c>
      <c r="C10" s="101" t="inlineStr">
        <is>
          <t>GN4 annual = simple average of Eurostat semesters, estimated=Y</t>
        </is>
      </c>
      <c r="D10" s="100" t="inlineStr">
        <is>
          <t>Eurostat publishes no annual value in nrg_pc_205. Consumption-weighted averaging not possible from published data.</t>
        </is>
      </c>
      <c r="E10" s="101" t="inlineStr">
        <is>
          <t>Logged</t>
        </is>
      </c>
    </row>
    <row r="11" ht="68.25" customHeight="1" s="78">
      <c r="A11" s="101" t="inlineStr">
        <is>
          <t>D8</t>
        </is>
      </c>
      <c r="B11" s="101" t="inlineStr">
        <is>
          <t>2026-07-14</t>
        </is>
      </c>
      <c r="C11" s="101" t="inlineStr">
        <is>
          <t>German large-archetype E2 network charge CANNOT be derived as foregone-revenue ÷ privileged-volume: netztransparenz publishes foregone revenue by limb (2026: Bandlast €905.10m) but NOT privileged volumes; Monitoringberichte 2023–25 contain neither</t>
        </is>
      </c>
      <c r="D11" s="100" t="inlineStr">
        <is>
          <t>Per project instructions this was to be verified before relying on it — it fails. Alternative evidence: BNetzA AgNes paper (22.04.2026) gives 68 HS Bandlast sites with avg rebate ≈76% (€242m / €317.36m). APPROVED method for stage 4: E2 = published tariff × (1 − 0.76), uncertainty band from 10% statutory floor (lower bound) to published tariff (upper), estimated=Y, band shown on the E2 line itself.</t>
        </is>
      </c>
      <c r="E11" s="101" t="inlineStr">
        <is>
          <t>User-approved 2026-07-14 (as proposed)</t>
        </is>
      </c>
    </row>
    <row r="12" ht="37.5" customHeight="1" s="78">
      <c r="A12" s="101" t="inlineStr">
        <is>
          <t>D9</t>
        </is>
      </c>
      <c r="B12" s="101" t="inlineStr">
        <is>
          <t>2026-07-14</t>
        </is>
      </c>
      <c r="C12" s="101" t="inlineStr">
        <is>
          <t>Capacity payments (UK CM, CN 容量电价) sit under economic function (2) generation capital recovery, not (4) system services</t>
        </is>
      </c>
      <c r="D12" s="100" t="inlineStr">
        <is>
          <t>Judgement call pre-made in project instructions; logged here. Revisit if it distorts the story.</t>
        </is>
      </c>
      <c r="E12" s="101" t="inlineStr">
        <is>
          <t>Logged</t>
        </is>
      </c>
    </row>
    <row r="13" ht="34.5" customHeight="1" s="78">
      <c r="A13" s="101" t="inlineStr">
        <is>
          <t>D10</t>
        </is>
      </c>
      <c r="B13" s="101" t="inlineStr">
        <is>
          <t>2026-07-14</t>
        </is>
      </c>
      <c r="C13" s="101" t="inlineStr">
        <is>
          <t>CN medium archetype voltage RESOLVED: 10(20)kV (35kV reported as intra-country spread)</t>
        </is>
      </c>
      <c r="D13" s="100" t="inlineStr">
        <is>
          <t>A 4 MW (~5,000 kVA) connection is physically typical at 10kV under Chinese connection practice (roughly 315–10,000 kVA served at 10kV); also conservative — 10kV T&amp;D is higher (Jiangsu medium archetype: ≈259 元/MWh vs ≈226 at 35kV, −13%), so the choice cannot be accused of flattering the premise.</t>
        </is>
      </c>
      <c r="E13" s="101" t="inlineStr">
        <is>
          <t>User-approved 2026-07-14</t>
        </is>
      </c>
    </row>
    <row r="14" ht="57.75" customHeight="1" s="78">
      <c r="A14" s="101" t="inlineStr">
        <is>
          <t>D11</t>
        </is>
      </c>
      <c r="B14" s="101" t="inlineStr">
        <is>
          <t>2026-07-14</t>
        </is>
      </c>
      <c r="C14" s="101" t="inlineStr">
        <is>
          <t>CN basket weight basis RESOLVED: Set C — 第二产业 (secondary industry) for all provinces where published, per-province fallback where not</t>
        </is>
      </c>
      <c r="D14" s="100" t="inlineStr">
        <is>
          <t>Set C achieved for 5 of 7 (JS 5752, SD 6071.1, ZJ 4515.5, HN 2330.71, IM 4539.12). Guangdong publishes no 第二产业 aggregate on any official channel → fallback 工业 5216.25 (derived yearbook alternative 5320.07 noted, not used). Sichuan publishes no industrial split at all → 全社会 3999.69 (Tier 2, corroborates official rounded 4000) — flagged, overstates SC weight. Resulting Set C weights ≈ JS 17.7% / GD 16.1% / SD 18.7% / ZJ 13.9% / HN 7.2% / IM 14.0% / SC 12.3%.</t>
        </is>
      </c>
      <c r="E14" s="101" t="inlineStr">
        <is>
          <t>User-approved 2026-07-14</t>
        </is>
      </c>
    </row>
    <row r="15" ht="63" customHeight="1" s="78">
      <c r="A15" s="101" t="inlineStr">
        <is>
          <t>D13</t>
        </is>
      </c>
      <c r="B15" s="101" t="inlineStr">
        <is>
          <t>2026-07-14</t>
        </is>
      </c>
      <c r="C15" s="101" t="inlineStr">
        <is>
          <t>CN T&amp;D prices: retain THIRD regulatory period (526号文) throughout, including the 2026 snapshot, until the reported fourth-period notice (发改价格〔2026〕1077号, reported 10.07.2026) is retrievable from ndrc.gov.cn at primary level</t>
        </is>
      </c>
      <c r="D15" s="100" t="inlineStr">
        <is>
          <t>User decision on qc Q1. Third-period tariffs were still applied in the SGCC Jiangsu Mar-2026 agency-purchase notice, so the 2026 snapshot is defensible as-is. If 1077号 verifies later, the 2026 CN snapshot gets a footnote and a revision (reported deltas: volumetric −≤5%, demand +3–5%, new single-part 220kV+ band).</t>
        </is>
      </c>
      <c r="E15" s="101" t="inlineStr">
        <is>
          <t>User-approved 2026-07-14</t>
        </is>
      </c>
    </row>
    <row r="16" ht="34.5" customHeight="1" s="78">
      <c r="A16" s="101" t="inlineStr">
        <is>
          <t>D12</t>
        </is>
      </c>
      <c r="B16" s="101" t="inlineStr">
        <is>
          <t>2026-07-14</t>
        </is>
      </c>
      <c r="C16" s="101" t="inlineStr">
        <is>
          <t>UK medium archetype TCR band HV4 recorded as INFERRED from published kVA thresholds, estimated=Y</t>
        </is>
      </c>
      <c r="D16" s="100" t="inlineStr">
        <is>
          <t>Band allocation is done by the DNO on agreed capacity, not published per synthetic site. 4 MW &gt; 1,800 kVA threshold → HV4.</t>
        </is>
      </c>
      <c r="E16" s="101" t="inlineStr">
        <is>
          <t>Logged</t>
        </is>
      </c>
    </row>
    <row r="17" ht="45.75" customHeight="1" s="78">
      <c r="A17" s="101" t="inlineStr">
        <is>
          <t>D14</t>
        </is>
      </c>
      <c r="B17" s="101" t="inlineStr">
        <is>
          <t>2026-07-14</t>
        </is>
      </c>
      <c r="C17" s="101" t="inlineStr">
        <is>
          <t>Price-base treatment: figures published in real YYYY local currency are treated as nominal YYYY for the conversion pipeline (FX of YYYY, then CPI-U deflation YYYY→2025)</t>
        </is>
      </c>
      <c r="D17" s="100" t="inlineStr">
        <is>
          <t>A real-YYYY figure is expressed at the YYYY price level, which is exactly what the pipeline's step 1 requires. Applies to DESNZ (real 2021/2024 £), Fraunhofer (real 2024 €), WEO (2024 USD), EGC (2018 USD).</t>
        </is>
      </c>
      <c r="E17" s="101" t="inlineStr">
        <is>
          <t>Logged</t>
        </is>
      </c>
    </row>
    <row r="18" ht="68.25" customHeight="1" s="78">
      <c r="A18" s="101" t="inlineStr">
        <is>
          <t>D15</t>
        </is>
      </c>
      <c r="B18" s="101" t="inlineStr">
        <is>
          <t>2026-07-14</t>
        </is>
      </c>
      <c r="C18" s="101" t="inlineStr">
        <is>
          <t>Harmonised-WACC method (stage 3): residual decomposition — capital component = capex × CRF(WACC, life) ÷ annual generation per kW; residual = published LCOE − capital; harmonised = capital at common rate + residual. All estimated=Y</t>
        </is>
      </c>
      <c r="D18" s="100" t="inlineStr">
        <is>
          <t>No published three-country harmonised set exists (EGC 2020: DE hydro-only, UK absent). Method uses only published inputs, is identical across all three countries, and reproduces published LCOE exactly at the native rate by construction. User expressed no preference; recommended option adopted. CN thermal: WEO capex/CF with mid-band 8.5% WACC and EGC lifetime conventions (flagged qc Q14/Q15); CN renewables: CREEI capex/FLH, n=25 (flagged); EGC 2020 published @7% carried as cross-check rows.</t>
        </is>
      </c>
      <c r="E18" s="101" t="inlineStr">
        <is>
          <t>Adopted (user: no preference)</t>
        </is>
      </c>
    </row>
    <row r="19" ht="45.75" customHeight="1" s="78">
      <c r="A19" s="101" t="inlineStr">
        <is>
          <t>D16</t>
        </is>
      </c>
      <c r="B19" s="101" t="inlineStr">
        <is>
          <t>2026-07-14</t>
        </is>
      </c>
      <c r="C19" s="101" t="inlineStr">
        <is>
          <t>UK LCOE vintage: DESNZ EGC 2023 edition, 2025 commissioning (real 2021 £), is the headline UK leg — NOT the newer EGC 2025 edition</t>
        </is>
      </c>
      <c r="D19" s="100" t="inlineStr">
        <is>
          <t>USER CHOICE (options: latest editions w/ vintage mismatch / 2023 for 2025 commissioning / both). Consequences logged: 2023 edition is superseded; its carbon methodology differs from EGC 2025 (2023-style carbon prices put 2030 CCGT at £165/MWh vs £109 under the new series) — cross-edition comparisons not like-for-like; EGC 2025 cited as context (S28).</t>
        </is>
      </c>
      <c r="E19" s="101" t="inlineStr">
        <is>
          <t>User-approved 2026-07-14</t>
        </is>
      </c>
    </row>
    <row r="20" ht="57" customHeight="1" s="78">
      <c r="A20" s="101" t="inlineStr">
        <is>
          <t>D17</t>
        </is>
      </c>
      <c r="B20" s="101" t="inlineStr">
        <is>
          <t>2026-07-14</t>
        </is>
      </c>
      <c r="C20" s="101" t="inlineStr">
        <is>
          <t>CN coal/CCGT/nuclear LCOE from international analyses (user direction: 'BNEF, IEA, RMI and similar'): IEA WEO 2025 Annex B is the headline; EGC 2020 @7% as published harmonised cross-check; OCGT remains a complete gap</t>
        </is>
      </c>
      <c r="D20" s="100" t="inlineStr">
        <is>
          <t>BNEF China absolutes subscriber-only (global benchmarks public only); RMI 2025 China coal report has no quantitative LCOE; Lazard US-only. All checked and logged (S34). OCGT: no source anywhere incl. EGC 2020 — stated as a finding.</t>
        </is>
      </c>
      <c r="E20" s="101" t="inlineStr">
        <is>
          <t>User-approved 2026-07-14</t>
        </is>
      </c>
    </row>
    <row r="21" ht="23.25" customHeight="1" s="78">
      <c r="A21" s="101" t="inlineStr">
        <is>
          <t>D18</t>
        </is>
      </c>
      <c r="B21" s="101" t="inlineStr">
        <is>
          <t>2026-07-14</t>
        </is>
      </c>
      <c r="C21" s="101" t="inlineStr">
        <is>
          <t>Common rate for the harmonised variant: 7% real (editable input cell on lcoe tab)</t>
        </is>
      </c>
      <c r="D21" s="100" t="inlineStr">
        <is>
          <t>EGC 2020 central convention — citable, mid-range of the observed WACC spread (CN renewables 3–5% → UK offshore 8.9–10.1%).</t>
        </is>
      </c>
      <c r="E21" s="101" t="inlineStr">
        <is>
          <t>User-approved 2026-07-14</t>
        </is>
      </c>
    </row>
    <row r="22" ht="85.5" customHeight="1" s="78">
      <c r="A22" s="101" t="inlineStr">
        <is>
          <t>D13-R</t>
        </is>
      </c>
      <c r="B22" s="101" t="inlineStr">
        <is>
          <t>2026-07-14</t>
        </is>
      </c>
      <c r="C22" s="101" t="inlineStr">
        <is>
          <t>D13 REVISED per its own terms: 发改价格〔2026〕1077号 retrieved from ndrc.gov.cn at primary level (annex PDF, 34pp). 4th-period T&amp;D applies from 01.08.2026. Calendar-2026 CN annual figure = month-weighted (7/12 third period + 5/12 fourth); the 2025→2026 delta exhibit shows the regime change explicitly</t>
        </is>
      </c>
      <c r="D22" s="100" t="inlineStr">
        <is>
          <t>User approved revisiting on retrieval. Jiangsu 220kV 两部制: 电量 0.0597→0.0518 (−13.2%), 需量/容量 unchanged. All 7 basket provinces extracted (cn_td tab). GN5 unchanged (it anchors the 3rd period).</t>
        </is>
      </c>
      <c r="E22" s="101" t="inlineStr">
        <is>
          <t>User-approved 2026-07-14</t>
        </is>
      </c>
    </row>
    <row r="23" ht="45.75" customHeight="1" s="78">
      <c r="A23" s="101" t="inlineStr">
        <is>
          <t>D19</t>
        </is>
      </c>
      <c r="B23" s="101" t="inlineStr">
        <is>
          <t>2026-07-14</t>
        </is>
      </c>
      <c r="C23" s="101" t="inlineStr">
        <is>
          <t>Time-series start year: 2010 headline for all six legs; flagged extensions where sources reach further (DE large archetype to 2007 via BNetzA MB Cal-Y)</t>
        </is>
      </c>
      <c r="D23" s="100" t="inlineStr">
        <is>
          <t>USER CHOICE. Scoping (S37–S39) shows 2000 is not supportable from free primary sources in any country: UK free year-ahead wholesale from ~2010; DE Cal-Y free from ~2006-07 (EEX paywalled); CN catalogue tariffs reconstructible as a step function from the 2009/2011 adjustment waves, pre-2004 not online. Coverage limits stated per country in chapter 2 text.</t>
        </is>
      </c>
      <c r="E23" s="101" t="inlineStr">
        <is>
          <t>User-approved 2026-07-14</t>
        </is>
      </c>
    </row>
    <row r="24" ht="68.25" customHeight="1" s="78">
      <c r="A24" s="101" t="inlineStr">
        <is>
          <t>D20</t>
        </is>
      </c>
      <c r="B24" s="101" t="inlineStr">
        <is>
          <t>2026-07-14</t>
        </is>
      </c>
      <c r="C24" s="101" t="inlineStr">
        <is>
          <t>DE medium archetype 2006–2012 bridged with BNetzA Monitoringbericht average MS industrial network charges (methodology break marked; estimated=Y); site-specific Westnetz sheets from 2013 (2013–19 via Wayback if recoverable — qc Q20)</t>
        </is>
      </c>
      <c r="D24" s="100" t="inlineStr">
        <is>
          <t>USER CHOICE. Westnetz exists only since 2013; on-site sheet archive verified ~2020+ only.</t>
        </is>
      </c>
      <c r="E24" s="101" t="inlineStr">
        <is>
          <t>User-approved 2026-07-14</t>
        </is>
      </c>
    </row>
    <row r="25" ht="45.75" customHeight="1" s="78">
      <c r="A25" s="101" t="inlineStr">
        <is>
          <t>D21</t>
        </is>
      </c>
      <c r="B25" s="101" t="inlineStr">
        <is>
          <t>2026-07-14</t>
        </is>
      </c>
      <c r="C25" s="101" t="inlineStr">
        <is>
          <t>UK wholesale year-ahead input: Ofgem forward-delivery-contracts indicator (weekly averages, annualised), 2010+; N2EX day-ahead for the mandatory hedging sensitivity</t>
        </is>
      </c>
      <c r="D25" s="100" t="inlineStr">
        <is>
          <t>USER CHOICE. Regulator-published and free; underlying assessments are third-party but republished by Ofgem (Tier-1 carrier — noted in citation). Matches the locked rolling year-ahead convention. SUPERSEDED IN PART by D22: the Ofgem forward series turns out to begin 01.02.2021.</t>
        </is>
      </c>
      <c r="E25" s="101" t="inlineStr">
        <is>
          <t>User-approved 2026-07-14</t>
        </is>
      </c>
    </row>
    <row r="26" ht="147" customHeight="1" s="78">
      <c r="A26" s="101" t="inlineStr">
        <is>
          <t>D22</t>
        </is>
      </c>
      <c r="B26" s="101" t="inlineStr">
        <is>
          <t>2026-07-15</t>
        </is>
      </c>
      <c r="C26" s="101" t="inlineStr">
        <is>
          <t>UK wholesale pre-2021: DAY-AHEAD PROXY, flagged. Ofgem forward-delivery series begins 01.02.2021 (no free year-ahead exists earlier — ICIS/ICE commercial). UK wholesale input for delivery years 2011–2021 = Ofgem day-ahead annual averages (full history retrieved from the everviz chart embeds via Claude in Chrome), estimated=Y; true year-ahead from observation year 2021 (delivery 2022). The observed YA–DA wedge 2022–2025 deliveries is charted so readers can size the proxy error (±5–10% calm years; enormous 2021–23: e.g. obs-2022 YA 273.71 vs 2023 DA 97.30 £/MWh)</t>
        </is>
      </c>
      <c r="D26" s="100" t="inlineStr">
        <is>
          <t>USER CHOICE (options: proxy / UK series starts 2021 / buy ICIS-ICE). Convention asymmetry vs DE (true Cal-Y throughout) marked on every chart. Partial-year flags: DA 2010 = Jun–Dec only; YA 2021 = Feb–Dec.</t>
        </is>
      </c>
      <c r="E26" s="101" t="inlineStr">
        <is>
          <t>User-approved 2026-07-15</t>
        </is>
      </c>
    </row>
    <row r="27" ht="15" customHeight="1" s="78">
      <c r="A27" s="77" t="inlineStr">
        <is>
          <t>D23</t>
        </is>
      </c>
      <c r="B27" s="77" t="inlineStr">
        <is>
          <t>2026-07-15</t>
        </is>
      </c>
      <c r="C27" s="77" t="inlineStr">
        <is>
          <t>CN basket with uneven province coverage: RENORMALISE over available provinces (weights = Set C), estimated=Y, per-year coverage share reported on every chart; with/without-IM variant kept; per-province rows visible</t>
        </is>
      </c>
      <c r="D27" s="77" t="inlineStr">
        <is>
          <t>Strict all-7 basket computable in almost no year (SC/HN/IM/GD gaps). Options: renormalise / strict-blank / JS-only. Coverage row makes the thinness visible rather than hidden.</t>
        </is>
      </c>
      <c r="E27" s="77" t="inlineStr">
        <is>
          <t>User-approved 2026-07-15</t>
        </is>
      </c>
    </row>
    <row r="28" ht="15" customHeight="1" s="78">
      <c r="A28" s="77" t="inlineStr">
        <is>
          <t>D24</t>
        </is>
      </c>
      <c r="B28" s="77" t="inlineStr">
        <is>
          <t>2026-07-15</t>
        </is>
      </c>
      <c r="C28" s="77" t="inlineStr">
        <is>
          <t>Medium archetype (20 GWh) E2 assumes EII status: UK CfD/RO/FiT/CM/NCC reliefs apply; DE BesAR sliding scale (no §19 — fails 7,000h regardless). Assumption stated on every E2 chart</t>
        </is>
      </c>
      <c r="D28" s="77" t="inlineStr">
        <is>
          <t>Symmetric with large archetype; E1–E2 spread then shows what relief is worth at that scale. Alternative (non-EII medium) would make E2≈E1 and carry no information.</t>
        </is>
      </c>
      <c r="E28" s="77" t="inlineStr">
        <is>
          <t>User-approved 2026-07-15</t>
        </is>
      </c>
    </row>
    <row r="29" ht="15" customHeight="1" s="78">
      <c r="A29" s="77" t="inlineStr">
        <is>
          <t>D25</t>
        </is>
      </c>
      <c r="B29" s="77" t="inlineStr">
        <is>
          <t>2026-07-15</t>
        </is>
      </c>
      <c r="C29" s="77" t="inlineStr">
        <is>
          <t>Where a relief exists in law but no privileged rate is publishable (DE KWKG-Umlage from 2017, Offshore-Umlage from 2019 — company-specific; UK CCA coverage), E2 carries the E1 value FLAGGED as overstating E2</t>
        </is>
      </c>
      <c r="D29" s="77" t="inlineStr">
        <is>
          <t>Keeps E2 totals computable with stated bias direction; D8-style bands already carry E2 uncertainty. Blanking would kill DE E2 totals from 2017; modelling EnFG formula needs a GVA-cap assumption anyway.</t>
        </is>
      </c>
      <c r="E29" s="77" t="inlineStr">
        <is>
          <t>User-approved 2026-07-15</t>
        </is>
      </c>
    </row>
    <row r="30" ht="16.5" customHeight="1" s="78">
      <c r="A30" s="77" t="inlineStr">
        <is>
          <t>D26</t>
        </is>
      </c>
      <c r="B30" s="77" t="inlineStr">
        <is>
          <t>2026-07-15</t>
        </is>
      </c>
      <c r="C30" s="77" t="inlineStr">
        <is>
          <t>Stage-4 modelling conventions (analyst level, logged not escalated): (a) UK medium triad demand = average operating demand 4 MW (a 5,000h plant assumed operating at triads); (b) NPg DUoS TOU exposure = band-hour shares (uniform operation), red 17.5/168, amber 52.5/168, green 98/168; (c) CCL/BSUoS/RO etc. April-rate → calendar year per D4; (d) CN mid-year tariff changes month-weighted (changeover month to new tariff if eff. ≤15th); (e) AAHEDC excluded from NCC base (coverage unverified — conservative); (f) DE 2025 day-ahead = time-weighted 89.32 (15-min basis); (g) CN 系统运行费 monthly snapshots used as year proxies where no annual series exists, flagged; (h) reactive power charges not modelled (pf≈1)</t>
        </is>
      </c>
      <c r="D30" s="77" t="inlineStr">
        <is>
          <t>Each moves headline &lt;5%; all estimated=Y and visible in build formulas. Revisit any on evidence.</t>
        </is>
      </c>
      <c r="E30" s="77" t="inlineStr">
        <is>
          <t>Logged 2026-07-15</t>
        </is>
      </c>
    </row>
    <row r="31" ht="15" customHeight="1" s="78">
      <c r="A31" s="77" t="inlineStr">
        <is>
          <t>D27</t>
        </is>
      </c>
      <c r="B31" s="77" t="inlineStr">
        <is>
          <t>2026-07-15</t>
        </is>
      </c>
      <c r="C31" s="77" t="inlineStr">
        <is>
          <t>FiT levelisation £/MWh 2010/11–2014/15 (no published supply base): fund ÷ GB-supply proxy = DUKES 5.1.2 UK final consumption × 0.94773 (anchored to Ofgem SY6 GB total supply / DUKES 2015). estimated=Y.</t>
        </is>
      </c>
      <c r="D31" s="77" t="inlineStr">
        <is>
          <t>Ofgem publishes the base only from SY6. Denominator excludes the GoO carve-out → £/MWh understated (direction stated). Material only 2012–14 (~1.7–3.0 £/MWh).</t>
        </is>
      </c>
      <c r="E31" s="77" t="inlineStr">
        <is>
          <t>User-approved 2026-07-15</t>
        </is>
      </c>
    </row>
    <row r="32" ht="15" customHeight="1" s="78">
      <c r="A32" s="77" t="inlineStr">
        <is>
          <t>D28</t>
        </is>
      </c>
      <c r="B32" s="77" t="inlineStr">
        <is>
          <t>2026-07-15</t>
        </is>
      </c>
      <c r="C32" s="77" t="inlineStr">
        <is>
          <t>NPg (Yorkshire) DUoS 2010/11–2016/17: 2012/13, 2015/16, 2016/17 retrieved (Common Crawl / Wayback). 2013/14–2014/15 linear interpolation between anchors; 2010/11–2011/12 flat-hold at 2012/13 (backward extrapolation). All reconstructed cells estimated=Y. Oct-2011 in-year re-set unmodelled.</t>
        </is>
      </c>
      <c r="D32" s="77" t="inlineStr">
        <is>
          <t>Statements provably un-archived (Wayback CDX, Common Crawl, arquivo.pt exhausted; UK Web Archive down post-BL incident). DUoS is a bounded component of medium E1; keeps series continuous. Replace with documents if UKWA restores / doczz mirror via browser.</t>
        </is>
      </c>
      <c r="E32" s="77" t="inlineStr">
        <is>
          <t>User-approved 2026-07-15</t>
        </is>
      </c>
    </row>
    <row r="33" ht="15" customHeight="1" s="78">
      <c r="A33" s="77" t="inlineStr">
        <is>
          <t>D29</t>
        </is>
      </c>
      <c r="B33" s="77" t="inlineStr">
        <is>
          <t>2026-07-15</t>
        </is>
      </c>
      <c r="C33" s="77" t="inlineStr">
        <is>
          <t>DE wholesale delivery-2026 = 87.57 €/MWh: mean of 191 daily EEX Phelix DE Base Cal-26 settlements Jan–Sep 2025 (Stadtwerke Hamm transparency sheet, Tier-4 carrier of exchange data). PROVISIONAL estimated=Y; replace with official average on MB 2026 / SMARD Jan-2027 release.</t>
        </is>
      </c>
      <c r="D33" s="77" t="inlineStr">
        <is>
          <t>Official full-2025 average not yet published anywhere. Q4-2025 anchors (85–88) consistent; enables the 2026 convergence exhibit (null-hypothesis test) now. Symmetric with D22 proxy logic.</t>
        </is>
      </c>
      <c r="E33" s="77" t="inlineStr">
        <is>
          <t>User-approved 2026-07-15</t>
        </is>
      </c>
    </row>
    <row r="34" ht="15" customHeight="1" s="78">
      <c r="A34" s="77" t="inlineStr">
        <is>
          <t>D30</t>
        </is>
      </c>
      <c r="B34" s="77" t="inlineStr">
        <is>
          <t>2026-07-15</t>
        </is>
      </c>
      <c r="C34" s="77" t="inlineStr">
        <is>
          <t>CM incidence convention: per-MWh (uniform operation) = [settled payments ÷ chargeable window demand] × [3h × E&amp;W working days Nov–Feb ÷ DY hours]. DY (Oct–Sep) → later calendar year. DY2016/17 TA: £17m with DY17/18 base, est. 2023 uses pre-final DY22/23 total (final delisted/unpublished).</t>
        </is>
      </c>
      <c r="D34" s="77" t="inlineStr">
        <is>
          <t>No official £/MWh exists (supplier-specific schedules). Uniform-operation ⇒ same incidence both archetypes. EII exempt from DY2024/25 (SI 2024/434) — E2 share row already in workbook.</t>
        </is>
      </c>
      <c r="E34" s="77" t="inlineStr">
        <is>
          <t>User-approved 2026-07-15</t>
        </is>
      </c>
    </row>
    <row r="35" ht="15" customHeight="1" s="78">
      <c r="A35" s="77" t="inlineStr">
        <is>
          <t>D31</t>
        </is>
      </c>
      <c r="B35" s="77" t="inlineStr">
        <is>
          <t>2026-07-15</t>
        </is>
      </c>
      <c r="C35" s="77" t="inlineStr">
        <is>
          <t>ESL E1 incidence = levy-year (Apr–Mar → calendar per D4) total ÷ FiT-relevant-supply denominator: 2025 = £220.69m actual ÷ 240.98 TWh = 0.9158 £/MWh; 2026 = £249.97m (3 actual + 7 estimated months ×12/10) ÷ same = 1.0373, estimated=Y. E2 = 0 (statutory carve-out, reg 18(4)(a)).</t>
        </is>
      </c>
      <c r="D35" s="77" t="inlineStr">
        <is>
          <t>Statute apportions cash totals by market share — no rate exists; Elexon does not publish its levy base, FiT relevant supply is the same-concept (EII-carved) base. 90% uplift hits levy only from 04/2027.</t>
        </is>
      </c>
      <c r="E35" s="77" t="inlineStr">
        <is>
          <t>User-approved 2026-07-15</t>
        </is>
      </c>
    </row>
    <row r="36" ht="15" customHeight="1" s="78">
      <c r="A36" s="77" t="inlineStr">
        <is>
          <t>D32</t>
        </is>
      </c>
      <c r="B36" s="77" t="inlineStr">
        <is>
          <t>2026-07-15</t>
        </is>
      </c>
      <c r="C36" s="77" t="inlineStr">
        <is>
          <t>DE E2 network 2011–2013 filled with legally-settled outcome: 2011 = 0 (§19(2) S.2 full exemption, approvals eff. 01.01.2011, not retroactively voided for 2011); 2012–13 = exact 10% floor (8,000h archetype) per §32(7) StromNEV retroactivity (VO 14.08.2013). Medium archetype (5,000h) never qualified — unchanged. Band rows remain 2014+.</t>
        </is>
      </c>
      <c r="D36" s="77" t="inlineStr">
        <is>
          <t>OLG Düsseldorf 08.05.2013 / BGH EnVR 32/13 voided the exemption; the 2013 VO fixed retroactive floors from 01.01.2012. These are determined values, not estimates.</t>
        </is>
      </c>
      <c r="E36" s="77" t="inlineStr">
        <is>
          <t>User-approved 2026-07-15</t>
        </is>
      </c>
    </row>
    <row r="37" ht="16.5" customHeight="1" s="78">
      <c r="A37" s="77" t="inlineStr">
        <is>
          <t>D33</t>
        </is>
      </c>
      <c r="B37" s="77" t="inlineStr">
        <is>
          <t>2026-07-16</t>
        </is>
      </c>
      <c r="C37" s="77" t="inlineStr">
        <is>
          <t>Stage-5 scope: headline = (A) five commensurable sector output indices (chemicals; paper; non-metallic minerals; ferrous; non-ferrous), window 2010–2025, rebased 2010=100 + (B) physical tonnage panel (crude steel, cement, primary aluminium, paper &amp; board, flat glass). Manufacturing totals = thin context line. UK = ONS DIOP CVMSA; DE = Eurostat sts_inpr_a NSA + Destatis energieintensive aggregate overlay (estimated=Y).</t>
        </is>
      </c>
      <c r="D37" s="77" t="inlineStr">
        <is>
          <t>Commensurability constraint drives the grid: UK IoP publishes combined groups only (24.1-3, 24.4-5, 23.5-6; glass not separable); CN publishes 2-digit only (cement+glass merged in 非金属矿物制品; aluminium inside 有色金属). Tonnage panel is the only route to cement/glass/aluminium individually. Options (incl. indices-only, tonnage-only, 2000/1991 starts, 2015/2019 rebases) presented with scoping evidence.</t>
        </is>
      </c>
      <c r="E37" s="77" t="inlineStr">
        <is>
          <t>User-approved 2026-07-16</t>
        </is>
      </c>
    </row>
    <row r="38" ht="16.5" customHeight="1" s="78">
      <c r="A38" s="77" t="inlineStr">
        <is>
          <t>D34</t>
        </is>
      </c>
      <c r="B38" s="77" t="inlineStr">
        <is>
          <t>2026-07-16</t>
        </is>
      </c>
      <c r="C38" s="77" t="inlineStr">
        <is>
          <t>CN output index = chained NBS 规模以上 same-scope real VA growth from 2010=100, estimated=Y; 2011 threshold break marked on charts; value-added-not-output caveat on every chart. CN paper line NOT constructible (2011-17 unpublished anywhere official; 2018+ only Tier-3 aggregator except NDRC-official 2021/22) — excluded per Tier-3 rule; CN paper carried by tonnage panel. CN context line = 规上工业 total (制造业 unpublished 2011-12).</t>
        </is>
      </c>
      <c r="D38" s="77" t="inlineStr">
        <is>
          <t>NBS stopped publishing sector VA levels after 2007; growth rates are the only official series. data.stats.gov.cn geo-blocked (403) from build environment; every entered cell primary-sourced from NBS December releases / communiqués (zero discrepancies between the two across 2011-2025). Chaining-overstates caveat carried as interpretation (Holz-style literature), not NBS statement.</t>
        </is>
      </c>
      <c r="E38" s="77" t="inlineStr">
        <is>
          <t>User-approved 2026-07-16 (chaining); exclusions rule-driven</t>
        </is>
      </c>
    </row>
    <row r="39" ht="16.5" customHeight="1" s="78">
      <c r="A39" s="77" t="inlineStr">
        <is>
          <t>D35</t>
        </is>
      </c>
      <c r="B39" s="77" t="inlineStr">
        <is>
          <t>2026-07-16</t>
        </is>
      </c>
      <c r="C39" s="77" t="inlineStr">
        <is>
          <t>Stage-5 conventions (analyst level, logged): (a) DE annual index variant = Eurostat NSA (CA ≤0.6pt different); (b) DE EI aggregate annual = own mean of monthly originals, estimated=Y; (c) tonnage sources — steel worldsteel; cement USGS 2010-13 + BGS 2014-24 (join year identical); aluminium BGS throughout; paper FAOSTAT (flag-E cells marked); CN NBS yearbook revised series with 2025 first-release; (d) flat glass 万重量箱→kt ×0.5; (e) BGS reported preferred over USGS estimate on divergence.</t>
        </is>
      </c>
      <c r="D39" s="77" t="inlineStr">
        <is>
          <t>Each choice moves no headline conclusion; divergences (USGS vs BGS aluminium UK 2013/2016/2018, DE 2021; cement DE 2015-16 2018) logged in staging file. Like D26.</t>
        </is>
      </c>
      <c r="E39" s="77" t="inlineStr">
        <is>
          <t>Logged 2026-07-16</t>
        </is>
      </c>
    </row>
    <row r="40" ht="15" customHeight="1" s="78">
      <c r="A40" s="77" t="inlineStr">
        <is>
          <t>D36</t>
        </is>
      </c>
      <c r="B40" s="77" t="inlineStr">
        <is>
          <t>2026-07-16</t>
        </is>
      </c>
      <c r="C40" s="77" t="inlineStr">
        <is>
          <t>UK energy-intensive aggregate CONSTRUCTED to the Destatis definition (divisions 17+19+20+23+24): headline = chained Laspeyres with ONS prior-year IoP weights (2025 = 114.6 on 2010=100), carried WITH a band spanning the weighting variants (same-year-weight mean 103.6; fixed-2023 103.8) — D8-style, never deleted; estimated=Y; charted. CN equivalent not constructible (no sector VA weights published since 2007).</t>
        </is>
      </c>
      <c r="D40" s="77" t="inlineStr">
        <is>
          <t>Escalated: variant spread &gt;5% at endpoint AND the aggregate rises (chemicals div 20 ≈40% of weight, a known deflator-volatile CVM series; div 19 similar) while the DE official aggregate falls to 81 — interpretive risk flagged; user chose chained+band+charted with hard caveat tied to Q39. Aggregation of CVM indices with additive weights is approximate — stated on tab (N14).</t>
        </is>
      </c>
      <c r="E40" s="77" t="inlineStr">
        <is>
          <t>User-approved 2026-07-16</t>
        </is>
      </c>
    </row>
    <row r="41" ht="15" customHeight="1" s="78">
      <c r="A41" s="77" t="inlineStr">
        <is>
          <t>D37</t>
        </is>
      </c>
      <c r="B41" s="77" t="inlineStr">
        <is>
          <t>2026-07-16</t>
        </is>
      </c>
      <c r="C41" s="77" t="inlineStr">
        <is>
          <t>Four-commodity ELECTRICITY-WEIGHTED tonnage composite built for all three countries (steel+cement+primary aluminium+paper&amp;board; glass excluded — no UK series): implied TWh = Σ fixed kWh/t × tonnage; indexed 2010=100; banded by steel-route coefficient (471 BOF / 1,422 EAF vs 745 central). Coefficients: IAI 13,990 (AC, 2024); steel 745 DERIVED (worldsteel energy × shares × mix — weakest, Q40); IEA cement ~100 (2022); CEPI paper 880 (EU scope, stated). estimated=Y; charted as its own facet, NOT labelled an EI aggregate (chemicals/refining have no tonnage — different basket from D36/Destatis definition).</t>
        </is>
      </c>
      <c r="D41" s="77" t="inlineStr">
        <is>
          <t>User asked whether a CN energy-intensive line could be tonnage-based. Division-identical aggregate impossible (chemicals ~40% of UK aggregate weight, no tonnage exists); revenue-weighted VA proxy rejected (overweights refining, no paper). Electricity weighting chosen over fixed-price weighting (user choice; cement has no world price; electricity weights tie output to the project thesis). Headline reads: 2024 UK 48.6 [46.3–50.3] / DE 81.9 [81.2–82.9] / CN 173.8 [168.9–177.4]; CN 2025 171.0.</t>
        </is>
      </c>
      <c r="E41" s="77" t="inlineStr">
        <is>
          <t>User-approved 2026-07-16</t>
        </is>
      </c>
    </row>
    <row r="42" ht="15" customHeight="1" s="78">
      <c r="A42" s="77" t="inlineStr">
        <is>
          <t>D38</t>
        </is>
      </c>
      <c r="B42" s="77" t="inlineStr">
        <is>
          <t>2026-07-16</t>
        </is>
      </c>
      <c r="C42" s="77" t="inlineStr">
        <is>
          <t>CN energy-intensive aggregate CONSTRUCTED, completing the EI-aggregates exhibit incl. chemicals: Σ fixed 2007 official VA-share weights (last sector VA NBS ever published — yearbook 2008 tbl 13-2; renormalised over chem/non-met/ferrous/non-ferrous = 84.1% of six-sector EI 2007 VA) × chained sector indices (D34). Band = 2010 revenue-share variant (yearbook 2011 tbl 14-2); 2025 = 269.9 [269.9–271.2]. Paper &amp; refining excluded — no official growth series (refining verified ABSENT from all 15 Dec-release tables → Q41). estimated=Y; charted on EI-aggregates facet with basket difference stated.</t>
        </is>
      </c>
      <c r="D42" s="77" t="inlineStr">
        <is>
          <t>User rejected leaving chemicals out of any EI composite ("we need an index of production of energy-intensive goods which includes chemicals"). Options considered: revenue-only weights (wrong concept, rejected earlier); electricity-consumption weights (viable, heavier retrieval); 2007 official VA weights chosen — right concept, official source, fixed-vintage mirrors D2. Weight sensitivity immaterial (VA vs revenue shares within ~1.5pp per sector).</t>
        </is>
      </c>
      <c r="E42" s="77" t="inlineStr">
        <is>
          <t>User-directed 2026-07-16 (construction); method analyst-chosen, logged</t>
        </is>
      </c>
    </row>
    <row r="43" ht="15" customHeight="1" s="78">
      <c r="A43" s="77" t="inlineStr">
        <is>
          <t>D39</t>
        </is>
      </c>
      <c r="B43" s="77" t="inlineStr">
        <is>
          <t>2026-07-16</t>
        </is>
      </c>
      <c r="C43" s="77" t="inlineStr">
        <is>
          <t>Stage-6 structure: (a) data_lineitems = FULL PANEL 2010-2025, one row per country/year/archetype/case/component, formula-driven; (b) bucket 6 supply margin = observed-minus-modelled MEMO (UK QEP XL/Large excl CCL; DE Eurostat IF/ID), estimated=Y, outside the modelled stack; CN: none exists, stated; (c) 2026 EXCLUDED from data_lineitems (D6) — 2026 lives in stage6_decomp nominal-local snapshot; (d) exhibits = workbook + interactive artifact.</t>
        </is>
      </c>
      <c r="D43" s="77" t="inlineStr">
        <is>
          <t>Four-option escalation 2026-07-16; canonical house-rule-4 layer must serve T2/T3 and chapter 3; margin is a finding (Q30), not a modelled component.</t>
        </is>
      </c>
      <c r="E43" s="77" t="inlineStr">
        <is>
          <t>User-approved 2026-07-16</t>
        </is>
      </c>
    </row>
    <row r="44" ht="15" customHeight="1" s="78">
      <c r="A44" s="77" t="inlineStr">
        <is>
          <t>D40</t>
        </is>
      </c>
      <c r="B44" s="77" t="inlineStr">
        <is>
          <t>2026-07-16</t>
        </is>
      </c>
      <c r="C44" s="77" t="inlineStr">
        <is>
          <t>Embedded carbon (bucket-1 memo, never additive): CENTRAL = official compensation-regime method — UK: DBT/BEIS MEF (0.58 for 2013-20 per 2012 GL Annex IV; 0.45/0.44/0.4344/0.42/0.44 for 2021-25, t-2 DUKES rule) x (EUA-in-GBP + CPS | UKA + CPS); DE: EU GL factor Mittelwesteuropa (0.76 phase 3; 0.72 from 2021 per 2021/C 528/01) x EUA (DEHSt auction VWA; 2025 = ESMA EUR 74). Literal house-rule formula (intensity x price x price-setting share) as CROSS-CHECK at published share points only (GB 2015/19/21/23; DE 2015/20/21). CN = 0, documented (regulated band tariffs + free output-based allocation; ADB 2024, IEA-Tsinghua 2021, Pizer &amp; Zhang 2018). Pre-2013 = GAP, stated.</t>
        </is>
      </c>
      <c r="D44" s="77" t="inlineStr">
        <is>
          <t>Official MEFs are Tier-1, complete, institutionally symmetric (it is literally how both states compute EII indirect carbon cost) and cross-checkable (DBT worked figure GBP 32.04/MWh 2026-27). Literal-formula share series is Tier-2-patchy and stops in 2021 for DE.</t>
        </is>
      </c>
      <c r="E44" s="77" t="inlineStr">
        <is>
          <t>User-approved 2026-07-16</t>
        </is>
      </c>
    </row>
    <row r="45" ht="15" customHeight="1" s="78">
      <c r="A45" s="77" t="inlineStr">
        <is>
          <t>D41</t>
        </is>
      </c>
      <c r="B45" s="77" t="inlineStr">
        <is>
          <t>2026-07-16</t>
        </is>
      </c>
      <c r="C45" s="77" t="inlineStr">
        <is>
          <t>CN decomposition: catalogue era &lt;=2021 = ONE bundled line item (functions 1-4 inseparable at user level; renewables surcharge 19 CNY/MWh memo 2016+ per 3105-hao). Market era 2022+ decomposed with JIANGSU as itemised representative (only province with complete component set incl. true system-op annuals); basket total = headline memo. Analyst tags logged: ESL -&gt; function 5 (redistribution levy, not network cost); AbLaV/par.19-Umlage -&gt; 4; CN system-op fee -&gt; 4 with capacity charge (function 2 per D9) embedded (Q43); CN T&amp;D tagged as embedding the reverse cross-subsidy; AAHEDC incidence ii (pays N-Scotland cross-subsidy).</t>
        </is>
      </c>
      <c r="D45" s="77" t="inlineStr">
        <is>
          <t>Bundled-vs-decomposed break IS the finding: China only became decomposable when it marketised. Two-option escalation 2026-07-16 (P1-retrieval variant declined).</t>
        </is>
      </c>
      <c r="E45" s="77" t="inlineStr">
        <is>
          <t>User-approved 2026-07-16</t>
        </is>
      </c>
    </row>
    <row r="46" ht="16.5" customHeight="1" s="78">
      <c r="A46" s="77" t="inlineStr">
        <is>
          <t>D42</t>
        </is>
      </c>
      <c r="B46" s="77" t="inlineStr">
        <is>
          <t>2026-07-16</t>
        </is>
      </c>
      <c r="C46" s="77" t="inlineStr">
        <is>
          <t>CN 系统运行费 SPLIT (2024-2025): function 2 = capacity charges (coal 330-yuan/kW-yr regime + PSH + gas incl. qidian-liandong, per D9); function 5 = explicit 电价交叉补贴新增损益 line (quantified cross-subsidy recovery: 2024 4.76, 2025 8.38 CNY/MWh, monthly swings -15.7 to +37.0); function 4 = residual system P&amp;L (guarantee-supply, line-loss, TOU and power-factor P&amp;L, ancillary). Basis: itemised prose in ALL 24 monthly JS notices 2024-2025 (Q43). 2022-2023 stay unsplit (2022=0; 2023 notices are image-only, unparsed). Also corrects r81 annuals (Q47). Reallocates ~4.3 CNY/kWh-equivalent between buckets 2/4/5; total unchanged apart from Q47 (+0.07 pct).</t>
        </is>
      </c>
      <c r="D46" s="77" t="inlineStr">
        <is>
          <t>Analyst-level (each move &lt;5 pct of headline); logged not escalated per protocol. The explicit cross-subsidy line materially upgrades the CN incidence story (T3).</t>
        </is>
      </c>
      <c r="E46" s="77" t="inlineStr">
        <is>
          <t>Logged 2026-07-16</t>
        </is>
      </c>
    </row>
    <row r="47" ht="15" customHeight="1" s="78">
      <c r="A47" s="77" t="inlineStr">
        <is>
          <t>D43</t>
        </is>
      </c>
      <c r="B47" s="77" t="inlineStr">
        <is>
          <t>2026-07-16</t>
        </is>
      </c>
      <c r="C47" s="77" t="inlineStr">
        <is>
          <t>Utilisation metric = SYSTEM LOAD FACTOR (delivered energy / (system peak x 8760)) as the headline, with the revenue/volume driver split alongside; RAV/capex as narrative anchors only.</t>
        </is>
      </c>
      <c r="D47" s="77" t="inlineStr">
        <is>
          <t>USER CHOICE (3 options). Physical, symmetric, fully sourced all three countries; the driver split is the quantity chapter 6 argues about.</t>
        </is>
      </c>
      <c r="E47" s="77" t="inlineStr">
        <is>
          <t>User-approved 2026-07-16</t>
        </is>
      </c>
    </row>
    <row r="48" ht="15" customHeight="1" s="78">
      <c r="A48" s="77" t="inlineStr">
        <is>
          <t>D44</t>
        </is>
      </c>
      <c r="B48" s="77" t="inlineStr">
        <is>
          <t>2026-07-16</t>
        </is>
      </c>
      <c r="C48" s="77" t="inlineStr">
        <is>
          <t>Projection design: central horizon 2030/31 with indicative 2035 where published; scenarios strictly from published sets; projections in NOMINAL local currency as published (UK FYV/IF nominal-CPIH; DE tariff-sheet levels, BDEW real-2023 as context); NO projected USD (D6 logic).</t>
        </is>
      </c>
      <c r="D48" s="77" t="inlineStr">
        <is>
          <t>USER CHOICE. Published paths reach 2030/31 everywhere; FX beyond 2025 unknowable.</t>
        </is>
      </c>
      <c r="E48" s="77" t="inlineStr">
        <is>
          <t>User-approved 2026-07-16</t>
        </is>
      </c>
    </row>
    <row r="49" ht="16.5" customHeight="1" s="78">
      <c r="A49" s="77" t="inlineStr">
        <is>
          <t>D45</t>
        </is>
      </c>
      <c r="B49" s="77" t="inlineStr">
        <is>
          <t>2026-07-16</t>
        </is>
      </c>
      <c r="C49" s="77" t="inlineStr">
        <is>
          <t>Scope: E1 network paths for all six legs (UK T-Demand4+HV4 chained Final-&gt;InitialForecast-&gt;rescaled FYV; DE subsidy scenarios S1 lapse / S2 2027-draft-continued; CN P4 locked + 系统运行费 drivers as flagged adjunct); DE E2 = AgNes band (pays 10-100% of E1, central 24% per D8); UK E2 mechanical NCC-90 held; UK DUoS held flat (Q52).</t>
        </is>
      </c>
      <c r="D49" s="77" t="inlineStr">
        <is>
          <t>USER CHOICE. CN cost growth lands in the system fee, not T&amp;D; German policymaker question is subsidy lapse.</t>
        </is>
      </c>
      <c r="E49" s="77" t="inlineStr">
        <is>
          <t>User-approved 2026-07-16</t>
        </is>
      </c>
    </row>
    <row r="50" ht="15" customHeight="1" s="78">
      <c r="A50" s="77" t="inlineStr">
        <is>
          <t>D46</t>
        </is>
      </c>
      <c r="B50" s="77" t="inlineStr">
        <is>
          <t>2026-07-16</t>
        </is>
      </c>
      <c r="C50" s="77" t="inlineStr">
        <is>
          <t>UK chain-rescale method: FYV (RIIO-ET3 draft-determination basis) years 2028/29+ multiplied by the band-specific ratio InitialForecast-2027/28 / FYV-2027/28 (T-D4 0.8367; HV4 0.8258); band high = unscaled FYV. estimated=Y.</t>
        </is>
      </c>
      <c r="D50" s="77" t="inlineStr">
        <is>
          <t>The 2026/27 Final came in 19.6-21% below the FYV forecast (FD vs DD revenues); chaining to the latest FD-basis point is the honest central. Analyst-level, logged.</t>
        </is>
      </c>
      <c r="E50" s="77" t="inlineStr">
        <is>
          <t>Logged 2026-07-16</t>
        </is>
      </c>
    </row>
    <row r="51" ht="15" customHeight="1" s="78">
      <c r="A51" s="77" t="inlineStr">
        <is>
          <t>D47</t>
        </is>
      </c>
      <c r="B51" s="77" t="inlineStr">
        <is>
          <t>2026-07-18</t>
        </is>
      </c>
      <c r="C51" s="77" t="inlineStr">
        <is>
          <t>STAGE 8 CREATED (Strategic energy supply, technology &amp; flexibility) as a new EVIDENCE stage with 4 workstreams (8.1 North Sea O&amp;G; 8.2 global nuclear; 8.3 scalable UK geothermal; 8.4 flexibility &amp; network charges). Policy recommendations MOVE to Stage 9; final integration &amp; QC become Stage 10.</t>
        </is>
      </c>
      <c r="D51" s="77" t="inlineStr">
        <is>
          <t>Owner directive 2026-07-18. Signed Stages 1-7 unchanged (no downstream contradiction found).</t>
        </is>
      </c>
      <c r="E51" s="77" t="inlineStr">
        <is>
          <t>Owner-directed 2026-07-18</t>
        </is>
      </c>
    </row>
    <row r="52" ht="15" customHeight="1" s="78">
      <c r="A52" s="77" t="inlineStr">
        <is>
          <t>D48</t>
        </is>
      </c>
      <c r="B52" s="77" t="inlineStr">
        <is>
          <t>2026-07-18</t>
        </is>
      </c>
      <c r="C52" s="77" t="inlineStr">
        <is>
          <t>Real-2025-GBP for North Sea E&amp;P uses HMT GDP deflator (L8GG, FY, 2025-26=100, S120); calendar-&gt;FY map = FY starting in year Y, flagged estimated=Y. Real-2025-USD everywhere else stays on the locked fx_deflator (D1/house rule 1).</t>
        </is>
      </c>
      <c r="D52" s="77" t="inlineStr">
        <is>
          <t>Stage 8.1A needs GBP real terms; USD deflator inappropriate for GBP capex. New input, does not alter D1/D14.</t>
        </is>
      </c>
      <c r="E52" s="77" t="inlineStr">
        <is>
          <t>Logged 2026-07-18</t>
        </is>
      </c>
    </row>
    <row r="53" ht="15" customHeight="1" s="78">
      <c r="A53" s="77" t="inlineStr">
        <is>
          <t>D49</t>
        </is>
      </c>
      <c r="B53" s="77" t="inlineStr">
        <is>
          <t>2026-07-18</t>
        </is>
      </c>
      <c r="C53" s="77" t="inlineStr">
        <is>
          <t>Nuclear kept in TWO separate panels: (A) harmonised OECD/NEA 2020 MODEL (2018 USD, deflated to 2025), UK/DE blank; (B) realised project-specific (Vogtle indicative LCOE PROXY @7%/60yr/CRF, assumed CF 0.90 since generation GAP, O&amp;M from OECD/NEA US proxy; Flamanville 176 EUR2023/MWh @7%/85% central). Panels never merged; sub-$100 US model figure not labelled Vogtle.</t>
        </is>
      </c>
      <c r="D53" s="77" t="inlineStr">
        <is>
          <t>Spec mandate; anti-fabrication (Vogtle gen/O&amp;M GAP -&gt; assumptions shown, not invented).</t>
        </is>
      </c>
      <c r="E53" s="77" t="inlineStr">
        <is>
          <t>Logged 2026-07-18</t>
        </is>
      </c>
    </row>
    <row r="54" ht="15" customHeight="1" s="78">
      <c r="A54" s="77" t="inlineStr">
        <is>
          <t>D50</t>
        </is>
      </c>
      <c r="B54" s="77" t="inlineStr">
        <is>
          <t>2026-07-18</t>
        </is>
      </c>
      <c r="C54" s="77" t="inlineStr">
        <is>
          <t>Flexibility industrial relief modelled as a SCENARIO (pass-through 0/10/25%), NOT automatic. TCR fixed banded demand residual (£7.5bn) does not fall with flexibility =&gt; residual relief ~£0; gross system benefit (£1.4-8.1bn/yr, mixed studies/horizons) is NOT a procurement budget and NOT bill relief. Oil-only USD/bbl UK-vs-global comparison (8.1B) NOT constructable from disclosed primary data this session -&gt; documented gap (Q56), mixed USD/boe retained instead.</t>
        </is>
      </c>
      <c r="D54" s="77" t="inlineStr">
        <is>
          <t>Anti-fabrication + concept-separation mandates; the TCR nuance is the load-bearing 8.4 finding.</t>
        </is>
      </c>
      <c r="E54" s="77" t="inlineStr">
        <is>
          <t>Logged 2026-07-18</t>
        </is>
      </c>
    </row>
    <row r="55" ht="41.25" customHeight="1" s="78">
      <c r="A55" s="92" t="inlineStr">
        <is>
          <t>D51</t>
        </is>
      </c>
      <c r="B55" s="92" t="inlineStr">
        <is>
          <t>2026-07-18</t>
        </is>
      </c>
      <c r="C55" s="92" t="inlineStr">
        <is>
          <t>Stage 8 approved by project owner; policy work proceeds as Stage 9. Stage 10 = final integration + QC.</t>
        </is>
      </c>
      <c r="D55" s="92" t="inlineStr">
        <is>
          <t>Owner sign-off "next stage" 2026-07-18; roadmap D47.</t>
        </is>
      </c>
      <c r="E55" s="92" t="inlineStr">
        <is>
          <t>User-approved 2026-07-18</t>
        </is>
      </c>
    </row>
    <row r="56" ht="68.25" customHeight="1" s="78">
      <c r="A56" s="92" t="inlineStr">
        <is>
          <t>D52</t>
        </is>
      </c>
      <c r="B56" s="92" t="inlineStr">
        <is>
          <t>2026-07-18</t>
        </is>
      </c>
      <c r="C56" s="92" t="inlineStr">
        <is>
          <t>Stage 9 = evidence-linked POLICY OPTIONS (balanced), NOT this study's endorsements. Deliverable = stage9_policy tab + standalone report + exhibit; audience expert/policymaker.</t>
        </is>
      </c>
      <c r="D56" s="92" t="inlineStr">
        <is>
          <t>Neutral, evidence-first house tone; evenhandedness on contested policy.</t>
        </is>
      </c>
      <c r="E56" s="92" t="inlineStr">
        <is>
          <t>Logged 2026-07-18</t>
        </is>
      </c>
    </row>
    <row r="57" ht="54.75" customHeight="1" s="78">
      <c r="A57" s="92" t="inlineStr">
        <is>
          <t>D53</t>
        </is>
      </c>
      <c r="B57" s="92" t="inlineStr">
        <is>
          <t>2026-07-18</t>
        </is>
      </c>
      <c r="C57" s="92" t="inlineStr">
        <is>
          <t>Central analytic frame = cost-SHIFTING (relocates who pays) vs cost-REDUCING (lowers system cost). Every lever classified; ties to Stage-6 T3 who-pays.</t>
        </is>
      </c>
      <c r="D57" s="92" t="inlineStr">
        <is>
          <t>Makes the "relief ≠ cost reduction" evidence explicit.</t>
        </is>
      </c>
      <c r="E57" s="92" t="inlineStr">
        <is>
          <t>Logged 2026-07-18</t>
        </is>
      </c>
    </row>
    <row r="58" ht="68.25" customHeight="1" s="78">
      <c r="A58" s="92" t="inlineStr">
        <is>
          <t>D54</t>
        </is>
      </c>
      <c r="B58" s="92" t="inlineStr">
        <is>
          <t>2026-07-18</t>
        </is>
      </c>
      <c r="C58" s="92" t="inlineStr">
        <is>
          <t>Policy-mechanism status tags = IN-FORCE / ANNOUNCED / CONSULTATION / DRAFT / ADVOCACY, kept separate from estimate/legislated. All values dated at retrieval 2026-07-18.</t>
        </is>
      </c>
      <c r="D58" s="92" t="inlineStr">
        <is>
          <t>Anti-fabrication: options/announcements are not outturns or this study's forecasts.</t>
        </is>
      </c>
      <c r="E58" s="92" t="inlineStr">
        <is>
          <t>Logged 2026-07-18</t>
        </is>
      </c>
    </row>
    <row r="59" ht="68.25" customHeight="1" s="78">
      <c r="A59" s="92" t="inlineStr">
        <is>
          <t>D55</t>
        </is>
      </c>
      <c r="B59" s="92" t="inlineStr">
        <is>
          <t>2026-07-18</t>
        </is>
      </c>
      <c r="C59" s="92" t="inlineStr">
        <is>
          <t>BICS scope corrected to RO/FiT/CM (NOT CfD); funding = Exchequer + energy-system changes per Apr-2026 primary (supersedes June-2025 bill-socialisation framing). CPS abolition (Apr 2028) recorded as an offset.</t>
        </is>
      </c>
      <c r="D59" s="92" t="inlineStr">
        <is>
          <t>Latest primary (Govt response 16 Apr 2026, WMS HCWS1519) supersedes earlier framing.</t>
        </is>
      </c>
      <c r="E59" s="92" t="inlineStr">
        <is>
          <t>Logged 2026-07-18</t>
        </is>
      </c>
    </row>
    <row r="60" ht="54.75" customHeight="1" s="78">
      <c r="A60" s="92" t="inlineStr">
        <is>
          <t>D56</t>
        </is>
      </c>
      <c r="B60" s="92" t="inlineStr">
        <is>
          <t>2026-07-18</t>
        </is>
      </c>
      <c r="C60" s="92" t="inlineStr">
        <is>
          <t>Comparative lesson: UK is converging on the German taxpayer/KTF-funded model; Chinese administrative pricing + reverse cross-subsidy is not transferable to a liberalized GB market.</t>
        </is>
      </c>
      <c r="D60" s="92" t="inlineStr">
        <is>
          <t>Grounded in Stage-6 T3 and DE/EU/CN research.</t>
        </is>
      </c>
      <c r="E60" s="92" t="inlineStr">
        <is>
          <t>Logged 2026-07-18</t>
        </is>
      </c>
    </row>
    <row r="61" ht="41.75" customHeight="1" s="78">
      <c r="A61" s="92" t="inlineStr">
        <is>
          <t>D57</t>
        </is>
      </c>
      <c r="B61" s="92" t="inlineStr">
        <is>
          <t>2026-07-18</t>
        </is>
      </c>
      <c r="C61" s="92" t="inlineStr">
        <is>
          <t>Stage 9 approved by owner; Stage 10 = final integration &amp; QC (final stage). Study complete pending owner approval.</t>
        </is>
      </c>
      <c r="D61" s="92" t="inlineStr">
        <is>
          <t>Owner "continue" 2026-07-18 = sign-off; roadmap D47/D51.</t>
        </is>
      </c>
      <c r="E61" s="92" t="inlineStr">
        <is>
          <t>User-approved 2026-07-18</t>
        </is>
      </c>
    </row>
    <row r="62" ht="55.2" customHeight="1" s="78">
      <c r="A62" s="92" t="inlineStr">
        <is>
          <t>D58</t>
        </is>
      </c>
      <c r="B62" s="92" t="inlineStr">
        <is>
          <t>2026-07-18</t>
        </is>
      </c>
      <c r="C62" s="92" t="inlineStr">
        <is>
          <t>stage10_integration added as the front page (sheet index 0): formula-linked headline + live cross-stage consistency (Section C) and workbook-integrity (Section D) panels.</t>
        </is>
      </c>
      <c r="D62" s="92" t="inlineStr">
        <is>
          <t>Turns 10 stages into one coherent, self-checking study.</t>
        </is>
      </c>
      <c r="E62" s="92" t="inlineStr">
        <is>
          <t>Logged 2026-07-18</t>
        </is>
      </c>
    </row>
    <row r="63" ht="55.2" customHeight="1" s="78">
      <c r="A63" s="92" t="inlineStr">
        <is>
          <t>D59</t>
        </is>
      </c>
      <c r="B63" s="92" t="inlineStr">
        <is>
          <t>2026-07-18</t>
        </is>
      </c>
      <c r="C63" s="92" t="inlineStr">
        <is>
          <t>No further stages planned. Deliverables: integrated workbook + final study document + master exhibit; Stage 8/9 exhibits + memory still pending device-bridge push.</t>
        </is>
      </c>
      <c r="D63" s="92" t="inlineStr">
        <is>
          <t>Project close-out.</t>
        </is>
      </c>
      <c r="E63" s="92" t="inlineStr">
        <is>
          <t>Logged 2026-07-18</t>
        </is>
      </c>
    </row>
    <row r="64" ht="122.35" customHeight="1" s="78">
      <c r="A64" s="92" t="inlineStr">
        <is>
          <t>D60</t>
        </is>
      </c>
      <c r="B64" s="92" t="inlineStr">
        <is>
          <t>2026-07-18</t>
        </is>
      </c>
      <c r="C64" s="92" t="inlineStr">
        <is>
          <t>Resolved the S101–S106 source-register gap (owner-authorised): S101 (DE §24c/€6.5bn network subsidy) and S106 (SGCC Jiangsu agency-purchase notices) definition rows backfilled from their unambiguous citing contexts and tagged "reconstructed"; S102–S105 marked VOID (cited nowhere). No finding/number changed — registry completion only.</t>
        </is>
      </c>
      <c r="D64" s="92" t="inlineStr">
        <is>
          <t>Owner "take care of the open items" 2026-07-18; anti-fabrication respected (reconstructed from citation, not invented).</t>
        </is>
      </c>
      <c r="E64" s="92" t="inlineStr">
        <is>
          <t>Logged 2026-07-18</t>
        </is>
      </c>
    </row>
    <row r="65">
      <c r="A65" s="77" t="inlineStr">
        <is>
          <t>D61</t>
        </is>
      </c>
      <c r="B65" s="77" t="inlineStr">
        <is>
          <t>2026-07-19</t>
        </is>
      </c>
      <c r="C65" s="77" t="inlineStr">
        <is>
          <t>External-review fix set (owner-approved): (1) modelled-vs-observed relabel across stage6 T3 / stage9 SecB / stage10 SecA + observed comparator row + supply-margin wedge surfaced (Q30/r121); (2) stage10 conclusion B38 aligned to decomposition — vs DE the gap is gen-capital recovery + who-pays, network/taxes LOWER, system cost similar (not "whole stack above peers"); (3) Stage-5 synthesis line corrected (DE material post-2021 contraction, not stable); (4) BICS funding stated per Apr-2026 primary as Exchequer + energy-system changes, final split Budget 2026 (IA Autumn 2026); (5) CN kept on-bill-only in rankings (system cost unquantified, ≤ bill); (6) QC: D27→max|E13:T13|, live SHEETS(), by-construction wording, independent-gates row, footnote row heights. Labels/prose only in signed stages; numeric changes confined to D62.</t>
        </is>
      </c>
      <c r="D65" s="77" t="inlineStr">
        <is>
          <t>External review (user ChatGPT audit, v40 pass, 2026-07-19) — five must-fix items confirmed cell-by-cell and against live primaries.</t>
        </is>
      </c>
      <c r="E65" s="77" t="inlineStr">
        <is>
          <t>User-approved 2026-07-19</t>
        </is>
      </c>
    </row>
    <row r="66">
      <c r="A66" s="77" t="inlineStr">
        <is>
          <t>D62</t>
        </is>
      </c>
      <c r="B66" s="77" t="inlineStr">
        <is>
          <t>2026-07-19</t>
        </is>
      </c>
      <c r="C66" s="77" t="inlineStr">
        <is>
          <t>Steel electricity coefficients re-derived to worldsteel current page (updated May 2026): central 745→1088 kWh/t (mid-shares 12.5%/60% × route GJ/t × WSIF2025 mix 70.4/29.1), band 471–1422→672–1991 (share-range edges). Cement 100 kWh/t PINNED to IEA 2022 edition (absent from current page — S177). Composite series recompute; v40 exact reproduction superseded (re-audit expected). Composite central rows relabelled HEADLINE→CENTRAL (band semantics; D37 role unchanged).</t>
        </is>
      </c>
      <c r="D66" s="77" t="inlineStr">
        <is>
          <t>2018 fact-sheet shares (7%/50%) superseded by current published ranges (S176); anti-staleness.</t>
        </is>
      </c>
      <c r="E66" s="77" t="inlineStr">
        <is>
          <t>User-approved 2026-07-19</t>
        </is>
      </c>
    </row>
    <row r="67">
      <c r="A67" s="77" t="inlineStr">
        <is>
          <t>D63</t>
        </is>
      </c>
      <c r="B67" s="77" t="inlineStr">
        <is>
          <t>2026-07-19</t>
        </is>
      </c>
      <c r="C67" s="77" t="inlineStr">
        <is>
          <t>v40 cross-review import set (owner-approved): (1) stage4_uk r52 QEP band CORRECTION — Very Large column had been transcribed under the "Large (20,000–69,999 MWh)" label for all 16 years; replaced with true Large from the Dec-2025 QEP edition (Q83); medium validation gate recomputes (remains FAIL with a larger wedge — exhibit unchanged in kind). (2) stage10 F7 DE relief-channel label split (§19→other users 2025; KTF from 2026). (3) CN VAT: series kept 含税 as published; basis flagged at every UK/DE comparison; de-VAT divisor + comparator memos stage6 r189–191 (2025 large ≈$76.9); full de-VAT rebuild DECLINED. (4) DE E2 EnFG 15%-cap sensitivity memos r192–193 (anti-fabrication position on unpublished privileged rates retained). (5) FES-2025 HT utilisation path imported from the primary data workbook (S178) — Q51 UK leg resolved.</t>
        </is>
      </c>
      <c r="D67" s="77" t="inlineStr">
        <is>
          <t>Adversarial cross-review of ChatGPT v40 (v40_adversarial_review.md); QEP + FES primaries downloaded and verified this session; EnFG cap confirmed via S179.</t>
        </is>
      </c>
      <c r="E67" s="77" t="inlineStr">
        <is>
          <t>User-approved 2026-07-19</t>
        </is>
      </c>
    </row>
    <row r="68">
      <c r="A68" s="77" t="inlineStr">
        <is>
          <t>D64</t>
        </is>
      </c>
      <c r="B68" s="77" t="inlineStr">
        <is>
          <t>2026-07-19</t>
        </is>
      </c>
      <c r="C68" s="77" t="inlineStr">
        <is>
          <t>PUBLICATION SPINE = industrial_electricity_master.xlsx (this workbook). The parallel ChatGPT "v40" workbook is designated a CHALLENGE ANNEX / adversarial audit companion: its scored P1–P6 recommendations and its six-bucket UK 2025 stack are NOT part of the canonical diagnosis (v40_adversarial_review.md §A1–A2: UK stack built on domestic price-cap components; commodity-led bridge and post-90% +$17 readout are convention artefacts). v40 findings continue to enter via the triage route used 2026-07-19: verify against primaries → escalate → import with register entries (D61–D63 pattern). Where the two books disagree, this workbooks published-tariff construction governs; disagreements are documented, not averaged.</t>
        </is>
      </c>
      <c r="D68" s="77" t="inlineStr">
        <is>
          <t>Owner decision resolving the two-canonical-workbooks fork surfaced in the v40 adversarial review (§D).</t>
        </is>
      </c>
      <c r="E68" s="77" t="inlineStr">
        <is>
          <t>User-approved 2026-07-19</t>
        </is>
      </c>
    </row>
    <row r="69">
      <c r="A69" s="77" t="inlineStr">
        <is>
          <t>D65</t>
        </is>
      </c>
      <c r="B69" s="77" t="inlineStr">
        <is>
          <t>2026-07-24</t>
        </is>
      </c>
      <c r="C69" s="77" t="inlineStr">
        <is>
          <t>COMPOSITE HEADLINE RE-BASED (reopens the headline aspect of D37/D62 with owner approval): the output composite headline is now the PRODUCT-WEIGHTED composite (stage5_output section K) — equal-weight arithmetic mean of the four per-product tonnage indices (2010=100), geometric-mean variant, band = arith/geo span. The electricity-weighted composite (section I) is demoted to VARIANT/sensitivity, retained in full (never deleted). Construction gates blank unless all four components are present (UK/DE 2025 blank per Q38; CN 2025 = 173.3).</t>
        </is>
      </c>
      <c r="D69" s="77" t="inlineStr">
        <is>
          <t>Owner concern 2026-07-24: electricity weighting is contestable as a proxy because plants become more efficient (route mix/coefficient vintage). Fixed coefficients mean efficiency drift cannot move the index itself, but the weights remain a modelling choice; product weights remove it. Robustness verified before deciding: 2024 UK 56.4/46.2 vs 47.2; DE 78.6/77.1 vs 82.5; CN 173.7/162.0 vs 170.9 — ranking and UK severity survive all constructions. Value-weighted variant considered and not pursued (new sourcing).</t>
        </is>
      </c>
      <c r="E69" s="77" t="inlineStr">
        <is>
          <t>User-approved 2026-07-24</t>
        </is>
      </c>
    </row>
    <row r="70">
      <c r="A70" s="77" t="inlineStr">
        <is>
          <t>D66</t>
        </is>
      </c>
      <c r="B70" s="77" t="inlineStr">
        <is>
          <t>2026-07-24</t>
        </is>
      </c>
      <c r="C70" s="77" t="inlineStr">
        <is>
          <t>FOUR-BUCKET PRESENTATION RECUT — additive presentation layer; 5-bucket engine UNCHANGED. Buckets: (i) Wholesale = engine b1 commodity; (ii) Network incl system services &amp; balancing = b3+b4; (iii) Levies &amp; taxes incl levy-routed gen-capital recovery = b2+b5; (iv) supply wedge = MEMO 6 residual (observed − modelled E1; same under E1/E2; retail costs + margin + hedging timing + band mix — label per Q88; UK/DE only; CN wedge n/a, pre-2022 catalogue bundle = separate non-splittable line spanning W+N+L&amp;T). Implemented stage6_decomp SECTION R (r195–268), 10 blocks, formulas reference engine bucket rows gated on block REFERENCE rows; numeric RECON rows vs engine totals (must = 0 — verified 0 everywhere). Scope: workbook + dashboard tab 3 (four-bucket view = default); report ch.2/ch.3 re-presentation deferred to v1.2 pass; gen-capital stays visible as engine sub-line (ch.3 headline +$47 vs DE intact). NOTE: the original D66 edit (session 2026-07-24 am) was lost to an open-Excel save revert before this row was entered; SECTION R re-applied and re-verified same day (Q88 session).</t>
        </is>
      </c>
      <c r="D70" s="77" t="inlineStr">
        <is>
          <t>Owner request 2026-07-24: simpler four-bucket public presentation (wholesale / network / levies&amp;taxes / supply wedge). Taxes = unearmarked (VAT/CCL/Stromsteuer) vs levies = hypothecated — combined for simplicity; gen capital is levy-ROUTED capital recovery so it sits in (iii).</t>
        </is>
      </c>
      <c r="E70" s="77" t="inlineStr">
        <is>
          <t>User-approved 2026-07-24</t>
        </is>
      </c>
    </row>
    <row r="71">
      <c r="A71" s="77" t="inlineStr">
        <is>
          <t>D67</t>
        </is>
      </c>
      <c r="B71" s="77" t="inlineStr">
        <is>
          <t>2026-07-24</t>
        </is>
      </c>
      <c r="C71" s="77" t="inlineStr">
        <is>
          <t>WEDGE YARDSTICK = POPULATION-MATCHED (amends D66 bucket iv). The supply wedge is measured against the modelled case that matches the population inside the OBSERVED series: UK = obs − E1 (QEP XL/Large band averages are unrelieved-dominated; exempt volume ≈15% of XL band, Q88); DE = obs − E2 central (Eurostat IF/ID band averages are relieved-dominated in the BesAR era; implied relieved share ≈50–80% 2012–21 at ≈$10 margin). Under the old uniform obs−E1 basis the DE wedge was negative nearly every year (≈ margin − embedded relief, min −$74 in 2019) — economically correct but unreadable as a supply wedge. New DE basis: wedge ≈ margin + retail costs + unrelieved-minority blend; 2025 anchors +41.74 large / +51.27 medium; 2023 stays −$180 (hedge-vintage + Strompreisbremse — flagged on charts). Same-value-under-E1/E2 convention retained (DE E2 view: stack + wedge ≈ observed; DE E1 view totals exceed observed by the relief span — noted in chart caption). Implemented: stage6 SECTION R DE wedge rows r229/236/243/250 → timeseries obs r86 (IF, large) / r88 (ID, medium) − engine E2 totals r66/r88; UK rows unchanged; memo6 rows r121–142 (obs − E1 for both countries) RETAINED as the historical variant. Dashboard re-based same day.</t>
        </is>
      </c>
      <c r="D71" s="77" t="inlineStr">
        <is>
          <t>Owner decision 2026-07-24 after reviewing why the DE wedge was negative nearly all years (session analysis: DE observed sits INSIDE [E2,E1] every normal year — the gate result — so obs−E1 measures blended relief, not margin). One yardstick per country, chosen by observed-population composition, keeps the wedge interpretable in both.</t>
        </is>
      </c>
      <c r="E71" s="77" t="inlineStr">
        <is>
          <t>User-approved 2026-07-24</t>
        </is>
      </c>
    </row>
    <row r="72">
      <c r="A72" s="77" t="inlineStr">
        <is>
          <t>D68</t>
        </is>
      </c>
      <c r="B72" s="77" t="inlineStr">
        <is>
          <t>2026-07-24</t>
        </is>
      </c>
      <c r="C72" s="77" t="inlineStr">
        <is>
          <t>WEDGE IS PER-CASE (amends D66 "same value under E1/E2" and supersedes D67's single per-country yardstick as the DISPLAY rule; D67's population-matching logic survives as the interpretation guide). Each SECTION R block's wedge = observed − that block's own stack, so stack + wedge ≈ observed in every chart view. Values 2025: UK large E1 +79.59 / E2 +158.48; UK medium E1 +111.70 / E2 +194.44; DE large E1 −6.31 / E2 +41.74; DE medium E1 +28.39 / E2 +51.27. Interpretation: UK E1 = retail costs + margin + band mix (CSS split, Q88 — headline); UK E2 = + unclaimed-relief premium (band unrelieved-dominated); DE E1 = supply − embedded relief (negative — band relieved-dominated); DE E2 = supply + relief-spectrum premium (headline; 2014 peak +$86 because unrelieved-minority levies exceeded wholesale). Bases: UK CCL-consistent (QEP obs excl CCL vs stack minus CCL); DE raw (Eurostat X_VAT vs full stack). Implemented: SECTION R r201/208/215/222/229/236/243/250 (UK E2 = memo6 + (E1−E2) totals; DE E1 reverted to memo6; DE E2 = obs − engine E2 per D67); memo6 r121–142 unchanged (obs−E1 archive). Dashboard: margin data per-case {E1,E2}; CSS two-part split shown in UK E1 view only.</t>
        </is>
      </c>
      <c r="D72" s="77" t="inlineStr">
        <is>
          <t>Owner decision 2026-07-24 (third iteration same day, after reviewing DE wedge magnitude): a single wedge series either hides relief (obs−E1, negative DE) or bundles it (obs−E2, DE wedge as large as wholesale mid-2010s). Making the wedge follow the displayed case keeps every view additive and forces the interpretation to be stated per view.</t>
        </is>
      </c>
      <c r="E72" s="77" t="inlineStr">
        <is>
          <t>User-approved 2026-07-24</t>
        </is>
      </c>
    </row>
    <row r="73">
      <c r="A73" s="77" t="inlineStr">
        <is>
          <t>D69</t>
        </is>
      </c>
      <c r="B73" s="77" t="inlineStr">
        <is>
          <t>2026-07-24</t>
        </is>
      </c>
      <c r="C73" s="77" t="inlineStr">
        <is>
          <t>COMPOSITE WEIGHTS = COMMON VALUE-ADDED SHARES (amends D65; the equal-weight construction is retained as an archive, not deleted). The headline output composite is now a weighted mean of the four per-product tonnage indices, using ONE weight vector applied identically to the UK, Germany and China: Eurostat SBS EU27 value added at factor cost for NACE 24.10 / 24.42 / 23.51 / 17.12, base year 2010 — steel 0.442, primary aluminium 0.145, cement 0.131, paper 0.282. Band = span of three weighting variants (arithmetic, weighted-geometric, scope-adjusted). stage5_output section K r184-220.</t>
        </is>
      </c>
      <c r="D73" s="77" t="inlineStr">
        <is>
          <t>Owner 2026-07-24: "I am considering changing the product-weighted indices of industrial production for value-weighted, which is the norm in economics." Correct as to weighting, with one clarification carried into the build: the norm is value-added WEIGHTS applied to VOLUME indices (ONS IoP, Destatis Produktionsindex, NBS all do this), NOT output measured in value. Measuring in value would import global commodity price cycles unrelated to domestic electricity policy, and would let an energy-cost margin squeeze register as falling output — the mechanism under test, which would compromise the falsifiability rule. COMMON rather than country-specific weights chosen by the owner so the composite stays a like-for-like basket; country-specific GVA shares are the stricter norm but would stop the three indices measuring the same thing. EU27 is the workable "advanced economy" proxy — verified that NO OECD-wide aggregate exists in SDBS, STAN or National Accounts (49 individual countries, zero zone codes; US absent at 4-digit). 2010 base matches the index base and sits within 1.7pp of the pooled 2008-2023 mean on every component. Equal weights (D65) were themselves adopted only because electricity weighting (D37) was contestable on efficiency/route-mix grounds; value weights carry no such problem, so this is a progression rather than a reversal.</t>
        </is>
      </c>
      <c r="E73" s="77" t="inlineStr">
        <is>
          <t>User-approved 2026-07-24</t>
        </is>
      </c>
    </row>
    <row r="74">
      <c r="A74" s="77" t="inlineStr">
        <is>
          <t>D70</t>
        </is>
      </c>
      <c r="B74" s="77" t="inlineStr">
        <is>
          <t>2026-07-24</t>
        </is>
      </c>
      <c r="C74" s="77" t="inlineStr">
        <is>
          <t>LINE LOSSES ADDED TO THE UK BUILD; DELIBERATELY NOT ADDED TO GERMANY. The UK E1/E2 stacks now carry a loss gross-up on the energy purchase: TLM 1.008 for all archetypes (Elexon BSC Section T), times LLF 1.000 large / 1.024 medium (HV, Northern Powergrid Annex 5). Applied to wholesale + BSUoS + CfD + Capacity Market, which are settled on delivered energy; NOT to RO, FiT, DUoS or TNUoS, which are levied on metered volume. Germany takes no equivalent term because EnWG §22 + StromNEV §10 put Verlustenergie inside the Netzentgelt already — the asymmetry is substantive, not an omission. Effect (2025, nominal GBP/MWh): UK large E1 156.684 -&gt; 157.526, large E2 96.882 -&gt; 97.520, medium E1 161.554 -&gt; 164.516, medium E2 98.831 -&gt; 101.396. All golden numbers reproduce; stage6 gates 152 PASS / 0 FAIL unchanged; all 10 RECONCILIATION rows exactly 0.</t>
        </is>
      </c>
      <c r="D74" s="77" t="inlineStr">
        <is>
          <t>Q92 found that losses were absent from the UK and German builds entirely (only the Chinese 线损 rows existed, per Q49) while the UK observed price sat above even the unrelieved modelled stack. Losses were the cheapest of the identified gaps to close, and closing them properly also settled the German question: no gross-up there. Owner-approved 2026-07-24 ("sure") to model rather than document the exclusion.</t>
        </is>
      </c>
      <c r="E74" s="77" t="inlineStr">
        <is>
          <t>User-approved 2026-07-24</t>
        </is>
      </c>
    </row>
    <row r="75">
      <c r="A75" s="77" t="inlineStr">
        <is>
          <t>D71</t>
        </is>
      </c>
      <c r="B75" s="77" t="inlineStr">
        <is>
          <t>2026-07-26</t>
        </is>
      </c>
      <c r="C75" s="77" t="inlineStr">
        <is>
          <t>CCL RE-BASING — LIKE-FOR-LIKE ON BOTH SIDES, AND THE MINERALOGICAL/METALLURGICAL EXEMPTION MODELLED. Owner-approved 2026-07-26 after owner asked 'so firms can be exempted from the CCL?' and observed that a like-for-like comparison must include CCL on both the observed and modelled side or exclude it on both. THREE CHANGES: (1) OBSERVED re-based from QEP table 3.4.1 (excl CCL) to 3.4.2 (INCL CCL) for both bands — stage4_uk r51/r52, flowing to timeseries r20/r30/r78/r79. Rationale: CCL is NOT recoverable, so the Eurostat X_VAT basis used for Germany (which includes the Stromsteuer) corresponds to 3.4.2, not 3.4.1; the previous pairing compared an excl-tax UK observed line against an incl-tax UK stack AND against an incl-tax German observed line. (2) E2 CCL SET TO ZERO: mineralogical and metallurgical processes are EXEMPT from the CCL main rates (HMRC Excise Notice CCL1/3 s3.14 + Annex A, from 01.04.2014) — this covers the steel, aluminium and cement archetypes on which the study's output index is built. timeseries r19/r29 lose their +CCL term; the 32 E2 CCL rows in data_lineitems return 0. A non-min/met EII (e.g. paper) would pay 8% of the main rate under a CCA (92% electricity discount, gov.uk CCL rates) — FLAGGED, NOT MODELLED, so E2 is a floor for such firms. (3) WEDGE/GATES SIMPLIFIED: the 32 memo rows drop their '-CCL' correction (obs - (E1 - CCL) -&gt; obs - E1) and the validation gates compare plain obs vs [E2, E1]; the D68 'UK CCL-consistent' basis is retired as no longer needed. SUPERSEDES the CCL clause of D68 and the D29 assumption that UK CCA coverage is unpublishable — see Q98: the 3.4.2-minus-3.4.1 difference MEASURES the relief actually taken across the band (19% of the main rate in 2010 rising to 91% in 2021, 58% in 2025), banked timeseries r132-134. HEADLINE EFFECTS (real 2025 USD, 2025): UK large E2 128.65 -&gt; 118.42; UK medium E2 133.76 -&gt; 123.54; observed XL 276.06 -&gt; 282.03; observed Large band 315.0 -&gt; 321.90; E1 UNCHANGED (still carries full CCL). The section-5 convergence claim inverts: relieved UK large all-in 132.7 vs DE 141.5, i.e. Britain ~9 USD/MWh CHEAPER rather than level. Battery after change: 188 PASS / 35 FAIL (one gate legitimately flips to PASS), golden numbers reproduce, RECON=0, zero error cells.</t>
        </is>
      </c>
      <c r="D75" s="77" t="inlineStr">
        <is>
          <t>Owner-approved 2026-07-26 (AskUserQuestion: "Full fix — both sides, both cases")</t>
        </is>
      </c>
      <c r="E75" s="77" t="inlineStr">
        <is>
          <t>Applied 2026-07-26; article revs 50+; S209</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E10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77" min="1" max="1"/>
    <col width="60" customWidth="1" style="77" min="2" max="3"/>
    <col width="16" customWidth="1" style="77" min="4" max="4"/>
    <col width="14" customWidth="1" style="77" min="5" max="5"/>
  </cols>
  <sheetData>
    <row r="1" ht="15.75" customHeight="1" s="78">
      <c r="A1" s="93" t="inlineStr">
        <is>
          <t>QC — discrepancy and open-items log</t>
        </is>
      </c>
    </row>
    <row r="3" ht="15" customHeight="1" s="78">
      <c r="A3" s="97" t="inlineStr">
        <is>
          <t>ID</t>
        </is>
      </c>
      <c r="B3" s="97" t="inlineStr">
        <is>
          <t>Item</t>
        </is>
      </c>
      <c r="C3" s="97" t="inlineStr">
        <is>
          <t>Detail / required action</t>
        </is>
      </c>
      <c r="D3" s="97" t="inlineStr">
        <is>
          <t>Severity</t>
        </is>
      </c>
      <c r="E3" s="97" t="inlineStr">
        <is>
          <t>Status</t>
        </is>
      </c>
    </row>
    <row r="4" ht="34.5" customHeight="1" s="78">
      <c r="A4" s="101" t="inlineStr">
        <is>
          <t>Q1</t>
        </is>
      </c>
      <c r="B4" s="101" t="inlineStr">
        <is>
          <t>CN 4th-period T&amp;D notice 发改价格〔2026〕1077号</t>
        </is>
      </c>
      <c r="C4" s="101" t="inlineStr">
        <is>
          <t>CLOSED: retrieved from ndrc.gov.cn at primary level 2026-07-14 (notice + 34pp annex). D13-R applies: 2026 = month-weighted 7/12 third + 5/12 fourth period (effective 01.08.2026). All 7 provinces in cn_td tab.</t>
        </is>
      </c>
      <c r="D4" s="101" t="inlineStr">
        <is>
          <t>—</t>
        </is>
      </c>
      <c r="E4" s="101" t="inlineStr">
        <is>
          <t>CLOSED (D13-R)</t>
        </is>
      </c>
    </row>
    <row r="5" ht="34.5" customHeight="1" s="78">
      <c r="A5" s="139" t="inlineStr">
        <is>
          <t>Q2</t>
        </is>
      </c>
      <c r="B5" s="139" t="inlineStr">
        <is>
          <t>German §19 implied-discount method infeasible as specified</t>
        </is>
      </c>
      <c r="C5" s="139" t="inlineStr">
        <is>
          <t>Privileged volumes not published. RESOLVED via decision D8 (user-approved): E2 = published tariff × (1−0.76) from AgNes aggregates, banded [10% floor, full tariff], estimated=Y.</t>
        </is>
      </c>
      <c r="D5" s="139" t="inlineStr">
        <is>
          <t>High</t>
        </is>
      </c>
      <c r="E5" s="139" t="inlineStr">
        <is>
          <t>RESOLVED (D8)</t>
        </is>
      </c>
    </row>
    <row r="6" ht="45.75" customHeight="1" s="78">
      <c r="A6" s="101" t="inlineStr">
        <is>
          <t>Q3</t>
        </is>
      </c>
      <c r="B6" s="101" t="inlineStr">
        <is>
          <t>NPg (Yorkshire) licence attribution for Immingham/Scunthorpe</t>
        </is>
      </c>
      <c r="C6" s="101" t="inlineStr">
        <is>
          <t>High-confidence inference from GSP-group geography + two retrieved sources naming Northern Powergrid for N. Lincolnshire; not document-level verified. ACTION: confirm from NPg LC14 statement or Ofgem licence map when accessible (page is JS-rendered). || RESOLVED: ENA operator finder (energynetworks.org) returns verbatim "Your electricity distribution network operator is Northern Powergrid (Yorkshire)" for BOTH DN40 1QT (Immingham) and DN16 1AD (Scunthorpe) — the licence entity, not just the brand. ENA good-faith disclaimer noted; combined with National Grid Grimsby-Walpole docs (D5) this closes the attribution.</t>
        </is>
      </c>
      <c r="D6" s="101" t="inlineStr">
        <is>
          <t>Medium</t>
        </is>
      </c>
      <c r="E6" s="101" t="inlineStr">
        <is>
          <t>RESOLVED 2026-07-16</t>
        </is>
      </c>
    </row>
    <row r="7" ht="23.25" customHeight="1" s="78">
      <c r="A7" s="101" t="inlineStr">
        <is>
          <t>Q4</t>
        </is>
      </c>
      <c r="B7" s="101" t="inlineStr">
        <is>
          <t>NPg LC14 CDCM charging statement contents unread</t>
        </is>
      </c>
      <c r="C7" s="101" t="inlineStr">
        <is>
          <t>CLOSED 2026-07-15: statements 2017/18–2026/27 read (rates in stage4_uk); time-band definitions verified from 2019/20 statement (4821.pdf via Wayback 20221130063623): red 16:00–19:30, amber 08:00–16:00 &amp; 19:30–22:00 Mon–Fri, green rest. Band definitions assumed unchanged 2018/19–2026/27 (estimated=Y). 2017/18 uses different bands — flagged.</t>
        </is>
      </c>
      <c r="D7" s="101" t="inlineStr">
        <is>
          <t>Medium</t>
        </is>
      </c>
      <c r="E7" s="101" t="inlineStr">
        <is>
          <t>CLOSED</t>
        </is>
      </c>
    </row>
    <row r="8" ht="23.25" customHeight="1" s="78">
      <c r="A8" s="101" t="inlineStr">
        <is>
          <t>Q5</t>
        </is>
      </c>
      <c r="B8" s="101" t="inlineStr">
        <is>
          <t>UK medium archetype TCR band HV4 inferred, not published</t>
        </is>
      </c>
      <c r="C8" s="101" t="inlineStr">
        <is>
          <t>estimated=Y (decision D12). Sanity-check against DNO banding guidance in stage 4.</t>
        </is>
      </c>
      <c r="D8" s="101" t="inlineStr">
        <is>
          <t>Low</t>
        </is>
      </c>
      <c r="E8" s="101" t="inlineStr">
        <is>
          <t>OPEN</t>
        </is>
      </c>
    </row>
    <row r="9" ht="60" customHeight="1" s="78">
      <c r="A9" s="101" t="inlineStr">
        <is>
          <t>Q6</t>
        </is>
      </c>
      <c r="B9" s="101" t="inlineStr">
        <is>
          <t>Sichuan 2024 industrial/secondary-industry consumption unavailable — 全社会 total used in all weight sets</t>
        </is>
      </c>
      <c r="C9" s="101" t="inlineStr">
        <is>
          <t>CLOSED 2026-07-15: SC 2024 第二产业用电量 = 2404.56 亿千瓦时 (+3.36%) from 硕电汇 year-end summary via 北极星 (bjx 1424280, chart images read; split sums exactly to 全社会 3999.69: 一产 38.84 / 二产 2404.56 / 三产 780.93 / 居民 775.36). Set-C weight updated in assumptions D42 (was 全社会 fallback). Tier 2–3 (grid-data republication) — 统计年鉴 confirmation still welcome; tjj.sc.gov.cn geo-blocked even from EU browser.</t>
        </is>
      </c>
      <c r="D9" s="101" t="inlineStr">
        <is>
          <t>Medium</t>
        </is>
      </c>
      <c r="E9" s="101" t="inlineStr">
        <is>
          <t>CLOSED (Set-C fallback removed)</t>
        </is>
      </c>
    </row>
    <row r="10" ht="63" customHeight="1" s="78">
      <c r="A10" s="101" t="inlineStr">
        <is>
          <t>Q7</t>
        </is>
      </c>
      <c r="B10" s="101" t="inlineStr">
        <is>
          <t>Set C residual category issues</t>
        </is>
      </c>
      <c r="C10" s="101" t="inlineStr">
        <is>
          <t>GD: no 第二产业 published anywhere official — 工业 fallback per D11 (understates GD weight by ~construction share; derived alternative 5320.07 logged). IM: 第二产业 figure verified only via industry-association republication of grid data. ZJ: grid-company data via Xinhua, bulletin not retrievable.</t>
        </is>
      </c>
      <c r="D10" s="101" t="inlineStr">
        <is>
          <t>Medium</t>
        </is>
      </c>
      <c r="E10" s="101" t="inlineStr">
        <is>
          <t>OPEN</t>
        </is>
      </c>
    </row>
    <row r="11" ht="23.25" customHeight="1" s="78">
      <c r="A11" s="101" t="inlineStr">
        <is>
          <t>Q8</t>
        </is>
      </c>
      <c r="B11" s="101" t="inlineStr">
        <is>
          <t>BDEW Strompreisanalyse Jan 2026 edition not retrievable (HTML error)</t>
        </is>
      </c>
      <c r="C11" s="101" t="inlineStr">
        <is>
          <t>April 2026 edition used instead (S13). The widely reported 16.0 ct/kWh Jan figure is UNVERIFIED — do not use.</t>
        </is>
      </c>
      <c r="D11" s="101" t="inlineStr">
        <is>
          <t>Low</t>
        </is>
      </c>
      <c r="E11" s="101" t="inlineStr">
        <is>
          <t>OPEN</t>
        </is>
      </c>
    </row>
    <row r="12" ht="23.25" customHeight="1" s="78">
      <c r="A12" s="101" t="inlineStr">
        <is>
          <t>Q9</t>
        </is>
      </c>
      <c r="B12" s="101" t="inlineStr">
        <is>
          <t>TransnetBW '~57% avg transmission-charge cut' (6.65→2.86 ct/kWh) seen in search snippet only</t>
        </is>
      </c>
      <c r="C12" s="101" t="inlineStr">
        <is>
          <t>TSO-sourced but verbatim unverified. Do not chart until read from the press release or the ÜNB-Preisblatt 2026 delta is computed directly. || RESOLVED: joint UeNB press release read at source (transnetbw.de, 01.10.2025): average HoeS/Umspann charge falls "um 57 Prozent ... von aktuell 6,65 Cent pro Kilowattstunde auf 2,86 Cent pro Kilowattstunde" with the EUR 6.5bn KTF subsidy (par.24c EnWG); full pass-through legally required. Chartable.</t>
        </is>
      </c>
      <c r="D12" s="101" t="inlineStr">
        <is>
          <t>Low</t>
        </is>
      </c>
      <c r="E12" s="101" t="inlineStr">
        <is>
          <t>RESOLVED 2026-07-16</t>
        </is>
      </c>
    </row>
    <row r="13" ht="23.25" customHeight="1" s="78">
      <c r="A13" s="101" t="inlineStr">
        <is>
          <t>Q10</t>
        </is>
      </c>
      <c r="B13" s="101" t="inlineStr">
        <is>
          <t>Ofgem TCR 2019 decision text not retrieved</t>
        </is>
      </c>
      <c r="C13" s="101" t="inlineStr">
        <is>
          <t>Band framework as republished by NESO tariff documents is used; original decision to be cited in methodology annex. || RESOLVED: Ofgem TCR Decision and Impact Assessment (21.11.2019, upd. 18.12.2019, 167pp) retrieved from ofgem.gov.uk (full_decision_doc_updated.pdf). Decision annex pp.55-57: four fixed charging bands per voltage group; boundaries at 40th/70th/85th percentiles of customer numbers by INCREASING AGREED CAPACITY (EHV/HV/LV-with-capacity) — directly supports D12/Q5 banding basis.</t>
        </is>
      </c>
      <c r="D13" s="101" t="inlineStr">
        <is>
          <t>Low</t>
        </is>
      </c>
      <c r="E13" s="101" t="inlineStr">
        <is>
          <t>RESOLVED 2026-07-16</t>
        </is>
      </c>
    </row>
    <row r="14" ht="23.25" customHeight="1" s="78">
      <c r="A14" s="101" t="inlineStr">
        <is>
          <t>Q11</t>
        </is>
      </c>
      <c r="B14" s="101" t="inlineStr">
        <is>
          <t>Westnetz service-area sentence verbatim unverified (Cloudflare-blocked page)</t>
        </is>
      </c>
      <c r="C14" s="101" t="inlineStr">
        <is>
          <t>Substance corroborated via site metadata. Cosmetic. || RESOLVED: westnetz.de "Wir ueber uns" read in browser: "Westnetz ist der Strom- und Gasverteilnetzbetreiber im Westen Deutschlands... ein Netz vom Emsland bis in den Hunsrueck, von der niederlaendischen Grenze bis ins Weserbergland" (~175,000 km Stromnetz; Dortmund HQ; 100% Westenergie AG).</t>
        </is>
      </c>
      <c r="D14" s="101" t="inlineStr">
        <is>
          <t>Low</t>
        </is>
      </c>
      <c r="E14" s="101" t="inlineStr">
        <is>
          <t>RESOLVED 2026-07-16</t>
        </is>
      </c>
    </row>
    <row r="15" ht="34.5" customHeight="1" s="78">
      <c r="A15" s="101" t="inlineStr">
        <is>
          <t>Q12</t>
        </is>
      </c>
      <c r="B15" s="101" t="inlineStr">
        <is>
          <t>Golden-number verification (this session)</t>
        </is>
      </c>
      <c r="C15" s="101" t="inlineStr">
        <is>
          <t>All 5 GN values retrieved from primary sources and piped through FX/CPI formulas; arithmetic verified after recalc (see verification note in session log).</t>
        </is>
      </c>
      <c r="D15" s="101" t="inlineStr">
        <is>
          <t>—</t>
        </is>
      </c>
      <c r="E15" s="101" t="inlineStr">
        <is>
          <t>PASS pending recalc</t>
        </is>
      </c>
    </row>
    <row r="16" ht="48.75" customHeight="1" s="78">
      <c r="A16" s="101" t="inlineStr">
        <is>
          <t>Q13</t>
        </is>
      </c>
      <c r="B16" s="101" t="inlineStr">
        <is>
          <t>CREEI 造价报告 2024 primary PDF not retrievable</t>
        </is>
      </c>
      <c r="C16" s="101" t="inlineStr">
        <is>
          <t>CN renewables LCOE verified via 2 independent reproductions of the Tier-1 source (CPEM; 光伏們/Sina). Discount-rate basis (real vs nominal) unstated in reproduced material. ACTION: obtain primary PDF if possible; state caveat in chapter 4 text.</t>
        </is>
      </c>
      <c r="D16" s="101" t="inlineStr">
        <is>
          <t>Medium</t>
        </is>
      </c>
      <c r="E16" s="101" t="inlineStr">
        <is>
          <t>OPEN</t>
        </is>
      </c>
    </row>
    <row r="17" ht="45.75" customHeight="1" s="78">
      <c r="A17" s="101" t="inlineStr">
        <is>
          <t>Q14</t>
        </is>
      </c>
      <c r="B17" s="101" t="inlineStr">
        <is>
          <t>WEO 2025 China thermal/nuclear WACC point unpublished</t>
        </is>
      </c>
      <c r="C17" s="101" t="inlineStr">
        <is>
          <t>WEO states 8–9% band ('based on stage of economic development'); harmonised model uses 8.5% mid-band, estimated=Y. Sensitivity: ±0.5pp moves the re-annuitised harmonised LCOE by &lt;2 USD/MWh (capital share is small at WEO capex levels).</t>
        </is>
      </c>
      <c r="D17" s="101" t="inlineStr">
        <is>
          <t>Low</t>
        </is>
      </c>
      <c r="E17" s="101" t="inlineStr">
        <is>
          <t>OPEN (documented)</t>
        </is>
      </c>
    </row>
    <row r="18" ht="23.25" customHeight="1" s="78">
      <c r="A18" s="101" t="inlineStr">
        <is>
          <t>Q15</t>
        </is>
      </c>
      <c r="B18" s="101" t="inlineStr">
        <is>
          <t>Lifetimes not published in WEO Annex B tables; CREEI lifetime not disclosed</t>
        </is>
      </c>
      <c r="C18" s="101" t="inlineStr">
        <is>
          <t>EGC 2020 conventions applied (coal 40 / gas 30 / nuclear 60; renewables 25), estimated=Y, stated in model notes.</t>
        </is>
      </c>
      <c r="D18" s="101" t="inlineStr">
        <is>
          <t>Low</t>
        </is>
      </c>
      <c r="E18" s="101" t="inlineStr">
        <is>
          <t>OPEN (documented)</t>
        </is>
      </c>
    </row>
    <row r="19" ht="45.75" customHeight="1" s="78">
      <c r="A19" s="101" t="inlineStr">
        <is>
          <t>Q16</t>
        </is>
      </c>
      <c r="B19" s="101" t="inlineStr">
        <is>
          <t>Fraunhofer publishes bands only (no central); internal discrepancies in source</t>
        </is>
      </c>
      <c r="C19" s="101" t="inlineStr">
        <is>
          <t>Band-edge convention (low capex+best resource / high capex+worst) reproduced in harmonised model. Source-internal discrepancies retained verbatim: GuD upper 18,1 (pp.3/19) vs 18,0 (p.4); GT 32,6 vs '32,67'; biogas 20,1 vs 20,2.</t>
        </is>
      </c>
      <c r="D19" s="101" t="inlineStr">
        <is>
          <t>Low</t>
        </is>
      </c>
      <c r="E19" s="101" t="inlineStr">
        <is>
          <t>OPEN (documented)</t>
        </is>
      </c>
    </row>
    <row r="20" ht="45.75" customHeight="1" s="78">
      <c r="A20" s="101" t="inlineStr">
        <is>
          <t>Q17</t>
        </is>
      </c>
      <c r="B20" s="101" t="inlineStr">
        <is>
          <t>UK 2023-edition carbon methodology superseded (D16 consequence)</t>
        </is>
      </c>
      <c r="C20" s="101" t="inlineStr">
        <is>
          <t>EGC 2025 changed the carbon-price series (no convergence to appraisal value by 2040). UK LCOE from the 2023 edition embeds the old series. Chapter 4 must not compare UK gas LCOE across editions and must state the carbon assumption explicitly.</t>
        </is>
      </c>
      <c r="D20" s="101" t="inlineStr">
        <is>
          <t>Medium</t>
        </is>
      </c>
      <c r="E20" s="101" t="inlineStr">
        <is>
          <t>OPEN — chapter 4 drafting constraint</t>
        </is>
      </c>
    </row>
    <row r="21" ht="51.75" customHeight="1" s="78">
      <c r="A21" s="101" t="inlineStr">
        <is>
          <t>Q18</t>
        </is>
      </c>
      <c r="B21" s="101" t="inlineStr">
        <is>
          <t>CREEI PV residual slightly negative (−4 元/MWh)</t>
        </is>
      </c>
      <c r="C21" s="101" t="inlineStr">
        <is>
          <t>Published PV LCOE (0.20 元/kWh) is marginally below the pure capital annuity at 5%/25y — implied opex ≈ 0; consistent with rounding in the published '约0.20'. Residual carried as-is (NEG-flag visible in model); does not affect onshore/offshore.</t>
        </is>
      </c>
      <c r="D21" s="101" t="inlineStr">
        <is>
          <t>Low</t>
        </is>
      </c>
      <c r="E21" s="101" t="inlineStr">
        <is>
          <t>OPEN (documented)</t>
        </is>
      </c>
    </row>
    <row r="22" ht="45.75" customHeight="1" s="78">
      <c r="A22" s="101" t="inlineStr">
        <is>
          <t>Q19</t>
        </is>
      </c>
      <c r="B22" s="101" t="inlineStr">
        <is>
          <t>NPg (Yorkshire) CDCM/DUoS archive 2010–2016 not verified online</t>
        </is>
      </c>
      <c r="C22" s="101" t="inlineStr">
        <is>
          <t>UPDATED 2026-07-15: 2012/13 (Common Crawl), 2015/16 + 2016/17 (Wayback) retrieved — S51. 2010/11, 2011/12 (Apr+Oct), 2013/14, 2014/15 provably un-archived (CDX/CC/arquivo.pt exhausted; UK Web Archive down — British Library incident). Reconstructed per D28 (flat-hold/interp, estimated=Y). Retry when UKWA restores; doczz.net/doc/7296928 mirror (unidentified year) is a browser candidate.</t>
        </is>
      </c>
      <c r="D22" s="101" t="inlineStr">
        <is>
          <t>Medium</t>
        </is>
      </c>
      <c r="E22" s="101" t="inlineStr">
        <is>
          <t>RESOLVED (D28 reconstruction; document retry open)</t>
        </is>
      </c>
    </row>
    <row r="23" ht="34.5" customHeight="1" s="78">
      <c r="A23" s="101" t="inlineStr">
        <is>
          <t>Q20</t>
        </is>
      </c>
      <c r="B23" s="101" t="inlineStr">
        <is>
          <t>Westnetz MS price sheets 2013–2019 not on current site</t>
        </is>
      </c>
      <c r="C23" s="101" t="inlineStr">
        <is>
          <t>Old CMS URLs dead; Wayback Machine attempt planned (D20). Pre-2013 predecessor (RWE Rhein-Ruhr Verteilnetz) likely irretrievable → MB-average bridge 2006–12 per D20.</t>
        </is>
      </c>
      <c r="D23" s="101" t="inlineStr">
        <is>
          <t>Medium</t>
        </is>
      </c>
      <c r="E23" s="101" t="inlineStr">
        <is>
          <t>OPEN</t>
        </is>
      </c>
    </row>
    <row r="24" ht="45.75" customHeight="1" s="78">
      <c r="A24" s="101" t="inlineStr">
        <is>
          <t>Q21</t>
        </is>
      </c>
      <c r="B24" s="101" t="inlineStr">
        <is>
          <t>Eurostat band IG (≥150 GWh) DE confidentiality</t>
        </is>
      </c>
      <c r="C24" s="101" t="inlineStr">
        <is>
          <t>ANSWERED 2026-07-15: IG published from 2019-S2; annualisable from 2020. IF remains the long overlay (per archetype table); IG overlaid 2020+.</t>
        </is>
      </c>
      <c r="D24" s="101" t="inlineStr">
        <is>
          <t>Medium</t>
        </is>
      </c>
      <c r="E24" s="101" t="inlineStr">
        <is>
          <t>CLOSED</t>
        </is>
      </c>
    </row>
    <row r="25" ht="51.75" customHeight="1" s="78">
      <c r="A25" s="101" t="inlineStr">
        <is>
          <t>Q22</t>
        </is>
      </c>
      <c r="B25" s="101" t="inlineStr">
        <is>
          <t>CN pre-2021 market prices often disclosed as 价差 (spread vs catalogue), uneven by province; exchange portals registration-gated</t>
        </is>
      </c>
      <c r="C25" s="101" t="inlineStr">
        <is>
          <t>GD/JS/SD good, HEN/ZJ/SC partial, 蒙西 from 2010 sparse. Plan: 北极星/exchange-announcement mirrors as locators to primary annual reports; large-archetype 2016–21 market leg may carry wider uncertainty bands — own it in text.</t>
        </is>
      </c>
      <c r="D25" s="101" t="inlineStr">
        <is>
          <t>Medium</t>
        </is>
      </c>
      <c r="E25" s="101" t="inlineStr">
        <is>
          <t>OPEN</t>
        </is>
      </c>
    </row>
    <row r="26" ht="23.25" customHeight="1" s="78">
      <c r="A26" s="101" t="inlineStr">
        <is>
          <t>Q23</t>
        </is>
      </c>
      <c r="B26" s="101" t="inlineStr">
        <is>
          <t>UK CCL historic rates pruned from live gov.uk page</t>
        </is>
      </c>
      <c r="C26" s="101" t="inlineStr">
        <is>
          <t>RESOLVED 2026-07-15: full 2009–2027 rate history retrieved from HMRC Environmental Taxes Bulletin historical rates table (staging file).</t>
        </is>
      </c>
      <c r="D26" s="101" t="inlineStr">
        <is>
          <t>—</t>
        </is>
      </c>
      <c r="E26" s="101" t="inlineStr">
        <is>
          <t>RESOLVED</t>
        </is>
      </c>
    </row>
    <row r="27" ht="34.5" customHeight="1" s="78">
      <c r="A27" s="101" t="inlineStr">
        <is>
          <t>Q19b</t>
        </is>
      </c>
      <c r="B27" s="101" t="inlineStr">
        <is>
          <t>NPg DUoS 2018/19–2026/27</t>
        </is>
      </c>
      <c r="C27" s="101" t="inlineStr">
        <is>
          <t>RESOLVED 2026-07-15 via Claude in Chrome + direct asset download (LC14 PDFs, /tmp/npg/). Remaining DUoS gap: 2010/11–2016/17 only.</t>
        </is>
      </c>
      <c r="D27" s="101" t="inlineStr">
        <is>
          <t>—</t>
        </is>
      </c>
      <c r="E27" s="101" t="inlineStr">
        <is>
          <t>RESOLVED (partial — pre-2017 open)</t>
        </is>
      </c>
    </row>
    <row r="28" ht="45.75" customHeight="1" s="78">
      <c r="A28" s="101" t="inlineStr">
        <is>
          <t>Q24</t>
        </is>
      </c>
      <c r="B28" s="101" t="inlineStr">
        <is>
          <t>UK wholesale: pre-2021 year-ahead does not exist freely; day-ahead proxy adopted (D22)</t>
        </is>
      </c>
      <c r="C28" s="101" t="inlineStr">
        <is>
          <t>Proxy error quantified from 2021+ overlap (YA–DA wedge). Partial-year coverage flags: DA 2010 Jun–Dec; YA 2021 Feb–Dec; convention asymmetry vs DE Cal-Y marked on charts. Everviz chart data is Ofgem-republished third-party assessment — cite as Tier 1 carrier.</t>
        </is>
      </c>
      <c r="D28" s="101" t="inlineStr">
        <is>
          <t>Medium</t>
        </is>
      </c>
      <c r="E28" s="101" t="inlineStr">
        <is>
          <t>OPEN (documented)</t>
        </is>
      </c>
    </row>
    <row r="29" ht="15" customHeight="1" s="78">
      <c r="A29" s="77" t="inlineStr">
        <is>
          <t>Q25</t>
        </is>
      </c>
      <c r="B29" s="77" t="inlineStr">
        <is>
          <t>UK E1/E2 completeness pre-2024</t>
        </is>
      </c>
      <c r="C29" s="77" t="inlineStr">
        <is>
          <t>CLOSED 2026-07-15: FiT levelisation (SY1–SY15, D27 for 2010–14), CM (D30, derived per-MWh 2017–2026), BSUoS outturn 2010/11–2022/23 (own comp., CMP250-x-checked) + FT1/FT2 primary-verified, AAHEDC 2010/11–2020/21 all integrated. Residual: FiT SY16 (2025/26) unpublished — see Q32; CM DY22/23 final total unpublished — see Q33. ESL added (Q28→D31). Gates re-run this session.</t>
        </is>
      </c>
      <c r="D29" s="77" t="inlineStr">
        <is>
          <t>High</t>
        </is>
      </c>
      <c r="E29" s="77" t="inlineStr">
        <is>
          <t>CLOSED (residuals → Q32/Q33)</t>
        </is>
      </c>
    </row>
    <row r="30" ht="16.5" customHeight="1" s="78">
      <c r="A30" s="77" t="inlineStr">
        <is>
          <t>Q26</t>
        </is>
      </c>
      <c r="B30" s="77" t="inlineStr">
        <is>
          <t>CN 系统运行费 annual series missing</t>
        </is>
      </c>
      <c r="C30" s="77" t="inlineStr">
        <is>
          <t>PARTIAL 2026-07-15: JS replaced with TRUE ANNUALS from 42 monthly 公告 (2023 Jun–Dec 0.02090; 2024 0.03443; 2025 0.04682; 2026H1 0.08682 元/kWh) — S54; formulas repointed (r81). GD/SD/HN still single-month snapshots, estimated=Y. NOTE trap: official JS archive attaches Sep-24 PDF to Oct-24 page and Mar-25 PDF to Apr-25 page (MD5-verified) — mirrors used for those months.</t>
        </is>
      </c>
      <c r="D30" s="77" t="inlineStr">
        <is>
          <t>Medium</t>
        </is>
      </c>
      <c r="E30" s="77" t="inlineStr">
        <is>
          <t>PARTIALLY RESOLVED (JS done; GD/SD/HN open)</t>
        </is>
      </c>
    </row>
    <row r="31" ht="15" customHeight="1" s="78">
      <c r="A31" s="77" t="inlineStr">
        <is>
          <t>Q27</t>
        </is>
      </c>
      <c r="B31" s="77" t="inlineStr">
        <is>
          <t>DE wholesale delivery-2026 GAP</t>
        </is>
      </c>
      <c r="C31" s="77" t="inlineStr">
        <is>
          <t>RESOLVED 2026-07-15 (provisional): delivery-2026 = 87.57 €/MWh partial-year Cal-26 mean per D29 (Tier-4 carrier, x-checked). REPLACE with official average when MB 2026 / SMARD Jan-2027 release lands — diarise.</t>
        </is>
      </c>
      <c r="D31" s="77" t="inlineStr">
        <is>
          <t>Medium</t>
        </is>
      </c>
      <c r="E31" s="77" t="inlineStr">
        <is>
          <t>RESOLVED (provisional, D29)</t>
        </is>
      </c>
    </row>
    <row r="32" ht="15" customHeight="1" s="78">
      <c r="A32" s="77" t="inlineStr">
        <is>
          <t>Q28</t>
        </is>
      </c>
      <c r="B32" s="77" t="inlineStr">
        <is>
          <t>UK ESL (EII Support Levy) pass-through not modelled in E1</t>
        </is>
      </c>
      <c r="C32" s="77" t="inlineStr">
        <is>
          <t>RESOLVED 2026-07-15: ESL modelled per D31 (2025 = 0.9158 actual-total-based; 2026 = 1.0373 est). E2 = 0 statutory carve-out (reg 18(4)(a) SI 2024/409). Incidence-(ii) exhibit now feedable.</t>
        </is>
      </c>
      <c r="D32" s="77" t="inlineStr">
        <is>
          <t>Medium</t>
        </is>
      </c>
      <c r="E32" s="77" t="inlineStr">
        <is>
          <t>RESOLVED (D31)</t>
        </is>
      </c>
    </row>
    <row r="33" ht="15" customHeight="1" s="78">
      <c r="A33" s="77" t="inlineStr">
        <is>
          <t>Q29</t>
        </is>
      </c>
      <c r="B33" s="77" t="inlineStr">
        <is>
          <t>DE §19 individual-charge era 2011–2013 not modelled</t>
        </is>
      </c>
      <c r="C33" s="77" t="inlineStr">
        <is>
          <t>RESOLVED 2026-07-15: E2 network 2011 = 0 (exemption); 2012–13 = 10% retroactive floor per D32 (BGBl I 2013/50 §32(7); OLG/BGH citations S53). Stromsteuer 2010 §9(3) 12.30 filled. REMAINING documented caveat: §10 Spitzenausgleich (through 2023) and SPK still unmodelled in E2 → E2 overstated, direction flagged in text.</t>
        </is>
      </c>
      <c r="D33" s="77" t="inlineStr">
        <is>
          <t>Medium</t>
        </is>
      </c>
      <c r="E33" s="77" t="inlineStr">
        <is>
          <t>RESOLVED (D32; §10/SPK caveat documented)</t>
        </is>
      </c>
    </row>
    <row r="34" ht="15" customHeight="1" s="78">
      <c r="A34" s="77" t="inlineStr">
        <is>
          <t>Q30</t>
        </is>
      </c>
      <c r="B34" s="77" t="inlineStr">
        <is>
          <t>Validation gate results (recorded post-recalc 2026-07-15)</t>
        </is>
      </c>
      <c r="C34" s="77" t="inlineStr">
        <is>
          <t>RE-RECORDED 2026-07-15 POST-GAP-FILL (recalc clean, GN reproduce): UK large: PASS 2018 only; 2010–17 &amp; 2019–20 &amp; 2024–25 FAIL with observed ABOVE E1 by ~5–25 £/MWh — known gaps now FILLED (FiT/CM/BSUoS/AAHEDC/ESL integrated), residual gap attributable to supply cost+margin (excluded by design) and D27-understated FiT pre-2015; 2021–23 FAIL with observed BELOW E2/inside-crisis dynamics (front-year model vs real hedged books). UK medium: PASS 2018–19; 2010–16 (newly computable via D28 reconstruction) near-miss FAILs, observed above E1−CCL by ~2–8 £/MWh — margin-sized. DE large: PASS 2011–2021 (2011–13 newly gated via D32) + 2025; FAIL 2022–24 (crisis hedging 2022–23; 2024 observed 141.2 below E2 central 151.0). DE medium: PASS 2012–2021 + 2024; FAIL 2022–23 (crisis), 2025 (observed 192.7 &gt; E1 167.6 — margin excluded; BDEW GN3 176.0 sits between). INTERPRETATION (not tuned): the systematic UK obs&gt;E1 in normal years is margin-shaped and stable; crisis years 2021–23 invert as expected from hedging. Gate values in timeseries rows 92–95.</t>
        </is>
      </c>
      <c r="D34" s="77" t="inlineStr">
        <is>
          <t>High</t>
        </is>
      </c>
      <c r="E34" s="77" t="inlineStr">
        <is>
          <t>RECORDED post-gap-fill — margin wedge is a chapter-5 exhibit, not a model error || SUPERSEDED IN PART 2026-07-24 by Q92: the residual was attributed to supply cost + margin, but Q88 measures that block at USD 14.3/MWh (2025) — about a quarter of the UK large residual and a sixth of the medium one. Re-word when Q92 closes.</t>
        </is>
      </c>
    </row>
    <row r="35" ht="15" customHeight="1" s="78">
      <c r="A35" s="77" t="inlineStr">
        <is>
          <t>Q31</t>
        </is>
      </c>
      <c r="B35" s="77" t="inlineStr">
        <is>
          <t>CN catalogue-era province gaps</t>
        </is>
      </c>
      <c r="C35" s="77" t="inlineStr">
        <is>
          <t>LARGELY CLOSED 2026-07-15 (browser+agent pass): SD 2017–19 (fgw.shandong.gov.cn consolidated PDF), ZJ 2021 (364号 annex), HN 2012–2021 full rebuild (187号/263号/1号/704号/711号/654号 chain — incl. CORRECTION of held 2015 anchor, see Q34), SC 2012–2020 full chain (2623号/228号/129号/272号/379号/257号/629号), IM 2015–19 (431号/1299号/954号/950号/465号/1290号 chain, incl. 2020 1-10kV correction), GD 2012–2018 五市 (2618号价目表/179号/372号/498号). REMAINING: SD 2012–15 (city-varied, basket value ambiguous — unchanged); minor flags: GD 2016 Jan–May renewable-billing variant (+0.0016); HN 2017 residual −1.27分 unitemized; IM 2015 4-20 step inferred (closes exactly). Doc-number gaps for browser retry: GD 2011 粤价号 (chaozhou.gov.cn post_3508858), IM 2016 notice number (nmg.gov.cn WAF).</t>
        </is>
      </c>
      <c r="D35" s="77" t="inlineStr">
        <is>
          <t>Medium</t>
        </is>
      </c>
      <c r="E35" s="77" t="inlineStr">
        <is>
          <t>LARGELY CLOSED (SD pre-2016 open; minor flags documented)</t>
        </is>
      </c>
    </row>
    <row r="36" ht="15" customHeight="1" s="78">
      <c r="A36" s="77" t="inlineStr">
        <is>
          <t>Q32</t>
        </is>
      </c>
      <c r="B36" s="77" t="inlineStr">
        <is>
          <t>FiT SY16 (2025/26) annual report unpublished</t>
        </is>
      </c>
      <c r="C36" s="77" t="inlineStr">
        <is>
          <t>UK E1 2025+2026 exclude FiT (~7 £/MWh). Ofgem publishes SY16 report ~Dec 2026 — integrate then. Do not proxy (not approved).</t>
        </is>
      </c>
      <c r="D36" s="77" t="inlineStr">
        <is>
          <t>Medium</t>
        </is>
      </c>
      <c r="E36" s="77" t="inlineStr">
        <is>
          <t>OPEN (calendar: Dec 2026)</t>
        </is>
      </c>
    </row>
    <row r="37" ht="15" customHeight="1" s="78">
      <c r="A37" s="77" t="inlineStr">
        <is>
          <t>Q33</t>
        </is>
      </c>
      <c r="B37" s="77" t="inlineStr">
        <is>
          <t>CM DY2022/23 final reconciled total unpublished</t>
        </is>
      </c>
      <c r="C37" s="77" t="inlineStr">
        <is>
          <t>EMRS delisted the 2022/23 Key Figures doc; latest capture = pre-final £783.0m (31.03.2023 schedule). FY-split cross-check £761.7m. 2023 CM value flagged pre-final; revisit if EMRS republishes.</t>
        </is>
      </c>
      <c r="D37" s="77" t="inlineStr">
        <is>
          <t>Low</t>
        </is>
      </c>
      <c r="E37" s="77" t="inlineStr">
        <is>
          <t>OPEN (documented)</t>
        </is>
      </c>
    </row>
    <row r="38" ht="16.5" customHeight="1" s="78">
      <c r="A38" s="77" t="inlineStr">
        <is>
          <t>Q34</t>
        </is>
      </c>
      <c r="B38" s="77" t="inlineStr">
        <is>
          <t>Corrections to previously-held CN catalogue data (gap-fill pass 2)</t>
        </is>
      </c>
      <c r="C38" s="77" t="inlineStr">
        <is>
          <t>Three corrections, all document-anchored: (1) HN 2015-04-20 step was held as 0.5912/0.6292 — matches NO official table (likely a funds-deducted variant); corrected to 0.6112/0.6922 (263号 sealed PDF; = 187号 −1.75分 exact). (2) IM 2020 1-10kV back-computation 0.4528 → 0.4478 (2017/2018 tables; 2021+4.5分 exact). (3) 基本电价 in all-in formulas: HN 28→30 元/kW·月 (187号/654号); SC 39 (not 33) through 2020, 33 from 2021 (629号). Effects flow to CN baskets 2012–2021; original staging values superseded — see stage4_gapfill_staging.md §CN.</t>
        </is>
      </c>
      <c r="D38" s="77" t="inlineStr">
        <is>
          <t>High</t>
        </is>
      </c>
      <c r="E38" s="77" t="inlineStr">
        <is>
          <t>RESOLVED (corrections applied + logged)</t>
        </is>
      </c>
    </row>
    <row r="39" ht="15" customHeight="1" s="78">
      <c r="A39" s="77" t="inlineStr">
        <is>
          <t>Q35</t>
        </is>
      </c>
      <c r="B39" s="77" t="inlineStr">
        <is>
          <t>DE flat glass tonnage 2010–2021 gap</t>
        </is>
      </c>
      <c r="C39" s="77" t="inlineStr">
        <is>
          <t>BV Glas hosts only 2022-25 tables; earlier Jahresberichte offline. Closable via free GENESIS registration (statistic 42131 Produktionserhebung) or BV Glas archive/Wayback. Panel currently DE 2022-25 only.</t>
        </is>
      </c>
      <c r="D39" s="77" t="inlineStr">
        <is>
          <t>Low</t>
        </is>
      </c>
      <c r="E39" s="77" t="inlineStr">
        <is>
          <t>OPEN</t>
        </is>
      </c>
    </row>
    <row r="40" ht="15" customHeight="1" s="78">
      <c r="A40" s="77" t="inlineStr">
        <is>
          <t>Q36</t>
        </is>
      </c>
      <c r="B40" s="77" t="inlineStr">
        <is>
          <t>UK flat glass tonnage not publishable</t>
        </is>
      </c>
      <c r="C40" s="77" t="inlineStr">
        <is>
          <t>PRODCOM (Eurostat DS-059358) and ONS ProdCom volumes suppressed/confidential across the window — effectively single-producer (Pilkington) confidentiality; only partial m² codes published. Documented gap; the unpublishability is itself a finding for ch.5 text.</t>
        </is>
      </c>
      <c r="D40" s="77" t="inlineStr">
        <is>
          <t>Low</t>
        </is>
      </c>
      <c r="E40" s="77" t="inlineStr">
        <is>
          <t>DOCUMENTED GAP (finding)</t>
        </is>
      </c>
    </row>
    <row r="41" ht="16.5" customHeight="1" s="78">
      <c r="A41" s="77" t="inlineStr">
        <is>
          <t>Q37</t>
        </is>
      </c>
      <c r="B41" s="77" t="inlineStr">
        <is>
          <t>CN 造纸和纸制品业 VA growth: 2011-17 unpublished; 2018+ Tier-3 only</t>
        </is>
      </c>
      <c r="C41" s="77" t="inlineStr">
        <is>
          <t>Not in any Dec release/communiqué/yearbook (all checked). NDRC-official 2021 (6.3) / 2022 (-0.6) entered; 中商 askci cells (2018-20, 2023-25) NOT entered per Tier-3 rule. If a browser session on data.stats.gov.cn (user IP) verifies the annual sector table at primary level, a 2018+ growth-bars exhibit becomes possible; the 2010=100 chained line stays impossible either way. || UPDATED 2026-07-16: data.stats.gov.cn easyquery returns 403 reason:UrlACL from the user IP (Belgium) as well — geo/ACL block, not a cloud-IP artefact. Series unreachable without a CN IP; stage-5 exclusion stands.</t>
        </is>
      </c>
      <c r="D41" s="77" t="inlineStr">
        <is>
          <t>Medium</t>
        </is>
      </c>
      <c r="E41" s="77" t="inlineStr">
        <is>
          <t>DOCUMENTED (definitively unreachable)</t>
        </is>
      </c>
    </row>
    <row r="42" ht="16.5" customHeight="1" s="78">
      <c r="A42" s="77" t="inlineStr">
        <is>
          <t>Q38</t>
        </is>
      </c>
      <c r="B42" s="77" t="inlineStr">
        <is>
          <t>2025 tonnage gaps + provisionals</t>
        </is>
      </c>
      <c r="C42" s="77" t="inlineStr">
        <is>
          <t>Missing 2025: UK steel (worldsteel viewer login-walled), UK+DE cement (USGS ends 2023, BGS 2024), UK+DE aluminium (BGS 2024), UK paper. Provisional: DE paper 18.7 Mt (VDP PR 03.03.2026); DE alu 2024 220kt rounded; CN paper 2025 Tier-2 carriers. Revisit ~mid-2027 (WSIF 2026, BGS WMP 2021-25, FAOSTAT update, VDP 2026, 年鉴2026).</t>
        </is>
      </c>
      <c r="D42" s="77" t="inlineStr">
        <is>
          <t>Low</t>
        </is>
      </c>
      <c r="E42" s="77" t="inlineStr">
        <is>
          <t>OPEN (calendar)</t>
        </is>
      </c>
    </row>
    <row r="43" ht="15" customHeight="1" s="78">
      <c r="A43" s="77" t="inlineStr">
        <is>
          <t>Q39</t>
        </is>
      </c>
      <c r="B43" s="77" t="inlineStr">
        <is>
          <t>UK ONS steel index vs tonnage divergence</t>
        </is>
      </c>
      <c r="C43" s="77" t="inlineStr">
        <is>
          <t>K23I (24.1-3) CVM index native 2015=187 vs worldsteel tonnage 2015 +12% vs 2010; index 2021=69.9 while tonnage 7.2 Mt ≈ 2020. Group-level IoP CVM known volatile (deflator/mix effects). DRAFTING CONSTRAINT: ch.5 steel/metals prose must present tonnage alongside index and must not quote the index alone.</t>
        </is>
      </c>
      <c r="D43" s="77" t="inlineStr">
        <is>
          <t>Medium</t>
        </is>
      </c>
      <c r="E43" s="77" t="inlineStr">
        <is>
          <t>OPEN — chapter-5 drafting constraint</t>
        </is>
      </c>
    </row>
    <row r="44" ht="15" customHeight="1" s="78">
      <c r="A44" s="77" t="inlineStr">
        <is>
          <t>Q40</t>
        </is>
      </c>
      <c r="B44" s="77" t="inlineStr">
        <is>
          <t>Composite coefficient provenance (D37)</t>
        </is>
      </c>
      <c r="C44" s="77" t="inlineStr">
        <is>
          <t>Steel electricity-only kWh/t is published NOWHERE directly — central 745 derived from worldsteel total-energy (2023) × electricity shares (2018 fact sheet) × route mix (2024); mixed vintages, route mix differs by country — carried as the band, not a point. Cement: GCCA GNR world kWh/t gated (registration) — IEA ~100 used; retry GNR if registered access obtained. Paper: CEPI EU-scope, no global figure exists — stated on tab.</t>
        </is>
      </c>
      <c r="D44" s="77" t="inlineStr">
        <is>
          <t>Medium</t>
        </is>
      </c>
      <c r="E44" s="77" t="inlineStr">
        <is>
          <t>OPEN (documented; band carries it)</t>
        </is>
      </c>
    </row>
    <row r="45" ht="16.5" customHeight="1" s="78">
      <c r="A45" s="77" t="inlineStr">
        <is>
          <t>Q41</t>
        </is>
      </c>
      <c r="B45" s="77" t="inlineStr">
        <is>
          <t>CN 石油加工、炼焦和核燃料加工业 VA growth unavailable</t>
        </is>
      </c>
      <c r="C45" s="77" t="inlineStr">
        <is>
          <t>Sector absent from the 规模以上工业生产主要数据 table in ALL 15 December releases 2011–2025 (full-text verified) and from communiqués/yearbook growth tables. Refining therefore excluded from the CN EI aggregate (D38) — 2007 VA memo row kept for the coverage denominator. Same possible browser route as Q37 (data.stats.gov.cn annual database).</t>
        </is>
      </c>
      <c r="D45" s="77" t="inlineStr">
        <is>
          <t>Low</t>
        </is>
      </c>
      <c r="E45" s="77" t="inlineStr">
        <is>
          <t>DOCUMENTED (definitive absence)</t>
        </is>
      </c>
    </row>
    <row r="46" ht="15" customHeight="1" s="78">
      <c r="A46" s="77" t="inlineStr">
        <is>
          <t>Q42</t>
        </is>
      </c>
      <c r="B46" s="77" t="inlineStr">
        <is>
          <t>UKA 2025 annual average is a Tier-2 placeholder</t>
        </is>
      </c>
      <c r="C46" s="77" t="inlineStr">
        <is>
          <t>carbon!S6 = GBP 47.36 (ICAP). Official per-auction table for 2025 not yet published (functioning report ~Q4 2026). Replace and re-run when published.</t>
        </is>
      </c>
      <c r="D46" s="77" t="inlineStr">
        <is>
          <t>Medium</t>
        </is>
      </c>
      <c r="E46" s="77" t="inlineStr">
        <is>
          <t>OPEN (calendar: ~Q4 2026)</t>
        </is>
      </c>
    </row>
    <row r="47" ht="15" customHeight="1" s="78">
      <c r="A47" s="77" t="inlineStr">
        <is>
          <t>Q43</t>
        </is>
      </c>
      <c r="B47" s="77" t="inlineStr">
        <is>
          <t>CN system-operation fee split — RESOLVED via full monthly itemisation</t>
        </is>
      </c>
      <c r="C47" s="77" t="inlineStr">
        <is>
          <t>RESOLVED 2026-07-16: all 24 monthly JS daigou-gongdian notices 2024-2025 itemise the fee in prose (archive js.sgcc.com.cn djhsfbz; 2025-06 via Nanjing-company mirror; 2025-12/2024-06 read from image attachments). 12-month unweighted means (CNY/kWh): 2024 total 0.0349 = capacity 0.043242 + cross-subsidy 0.004758 - 0.013100 residual P&amp;L; 2025 total 0.047317 = 0.042742 + 0.008383 - 0.003808. Split applied to stage4_cn r104-106 and data_lineitems (D42). NOTE: capacity charges EXCEED the total fee in most months — the negative TOU/line-loss P&amp;L items mask them.</t>
        </is>
      </c>
      <c r="D47" s="77" t="inlineStr">
        <is>
          <t>Medium</t>
        </is>
      </c>
      <c r="E47" s="77" t="inlineStr">
        <is>
          <t>RESOLVED (D42)</t>
        </is>
      </c>
    </row>
    <row r="48" ht="15" customHeight="1" s="78">
      <c r="A48" s="77" t="inlineStr">
        <is>
          <t>Q44</t>
        </is>
      </c>
      <c r="B48" s="77" t="inlineStr">
        <is>
          <t>DE taxpayer-EEG counterfactual — year-specific levy bases RESOLVED</t>
        </is>
      </c>
      <c r="C48" s="77" t="inlineStr">
        <is>
          <t>RESOLVED 2026-07-16 (browser): Datenbasis zu par.19 StromNEV-Umlage 2024 (22.12.2023): Letztverbrauch 450,843,900,337 kWh (A-prime 255.87 / B-prime 115.99 / C-prime 70.81 / Speichergas 8.17 TWh; A-prime rate 0.643 ct cross-checks workbook); Datenbasis zum Aufschlag fuer besondere Netznutzung 2025 (25.10.2024): 446,144,452,137 kWh (252.25/111.21/71.49/11.19; rate 1.558 cross-checks). Counterfactual now: 2024 EUR 41.01/MWh; 2025 EUR 36.98/MWh (was 41.95/37.44 on 2026 base). Remains estimated=Y by nature (counterfactual).</t>
        </is>
      </c>
      <c r="D48" s="77" t="inlineStr">
        <is>
          <t>Medium</t>
        </is>
      </c>
      <c r="E48" s="77" t="inlineStr">
        <is>
          <t>RESOLVED</t>
        </is>
      </c>
    </row>
    <row r="49" ht="15" customHeight="1" s="78">
      <c r="A49" s="77" t="inlineStr">
        <is>
          <t>Q45</t>
        </is>
      </c>
      <c r="B49" s="77" t="inlineStr">
        <is>
          <t>CORRECTION — stage4_cn r93 (CN medium market era) line-loss term lacked x1000</t>
        </is>
      </c>
      <c r="C49" s="77" t="inlineStr">
        <is>
          <t>S92*D78 (CNY/kWh) was added to a CNY/MWh total -&gt; line loss contributed ~0.014 instead of ~14 CNY/MWh. Understated CN MEDIUM 2023/2024/2025/2026 by ~8.5/14.2/13.9/11.5 CNY/MWh (~1.1-1.9 pct). Fixed 2026-07-16 (cols Q-T, x1000 added). CN MEDIUM USD 2025 moves ~109.9 -&gt; ~111.8. Under the 5 pct escalation bar (analyst-level fix, logged). Stage-5 outputs unaffected.</t>
        </is>
      </c>
      <c r="D49" s="77" t="inlineStr">
        <is>
          <t>High (resolved)</t>
        </is>
      </c>
      <c r="E49" s="77" t="inlineStr">
        <is>
          <t>RESOLVED 2026-07-16</t>
        </is>
      </c>
    </row>
    <row r="50" ht="15" customHeight="1" s="78">
      <c r="A50" s="77" t="inlineStr">
        <is>
          <t>Q46</t>
        </is>
      </c>
      <c r="B50" s="77" t="inlineStr">
        <is>
          <t>Stage-6 reconciliation gate results</t>
        </is>
      </c>
      <c r="C50" s="77" t="inlineStr">
        <is>
          <t>RECORDED POST-RECALC 2026-07-16: see stage6_decomp GATE rows. Expected PASS everywhere by construction (lineitems mirror stage-4 addends); any FAIL = build error, not a data finding.</t>
        </is>
      </c>
      <c r="D50" s="77" t="inlineStr">
        <is>
          <t>High</t>
        </is>
      </c>
      <c r="E50" s="77" t="inlineStr">
        <is>
          <t>RECORDED post-recalc</t>
        </is>
      </c>
    </row>
    <row r="51" ht="16.5" customHeight="1" s="78">
      <c r="A51" s="77" t="inlineStr">
        <is>
          <t>Q47</t>
        </is>
      </c>
      <c r="B51" s="77" t="inlineStr">
        <is>
          <t>CORRECTION — JS 系统运行费 annuals revised on complete verified monthly set</t>
        </is>
      </c>
      <c r="C51" s="77" t="inlineStr">
        <is>
          <t>stage4_cn r81: 2024 0.0344 -&gt; 0.0349, 2025 0.04682 -&gt; 0.047317 CNY/kWh (12-month unweighted means over the complete itemised notice set, incl. months previously missing: 2024-01/02 [.doc], 2024-06/2025-12 [images], 2025-06 [NJ mirror]). CN large/medium totals move ~+0.5 CNY/MWh (~0.07 pct). Month-level values in stage6_qcsweep_staging.md.</t>
        </is>
      </c>
      <c r="D51" s="77" t="inlineStr">
        <is>
          <t>Low (correction, resolved)</t>
        </is>
      </c>
      <c r="E51" s="77" t="inlineStr">
        <is>
          <t>RESOLVED 2026-07-16</t>
        </is>
      </c>
    </row>
    <row r="52" ht="15" customHeight="1" s="78">
      <c r="A52" s="77" t="inlineStr">
        <is>
          <t>Q48</t>
        </is>
      </c>
      <c r="B52" s="77" t="inlineStr">
        <is>
          <t>Q35 constraint noted: GENESIS table 42131 requires a registered account</t>
        </is>
      </c>
      <c r="C52" s="77" t="inlineStr">
        <is>
          <t>Account creation is out of scope for the assistant (policy). If the user registers at genesis.destatis.de and retrieves DE flat-glass 2010-21 (table 42131), stage-5 Q35 can close.</t>
        </is>
      </c>
      <c r="D52" s="77" t="inlineStr">
        <is>
          <t>Low</t>
        </is>
      </c>
      <c r="E52" s="77" t="inlineStr">
        <is>
          <t>OPEN (user action)</t>
        </is>
      </c>
    </row>
    <row r="53" ht="15" customHeight="1" s="78">
      <c r="A53" s="77" t="inlineStr">
        <is>
          <t>Q49</t>
        </is>
      </c>
      <c r="B53" s="77" t="inlineStr">
        <is>
          <t>UK projection basis mix</t>
        </is>
      </c>
      <c r="C53" s="77" t="inlineStr">
        <is>
          <t>Central path chains three bases: Final tariffs (25/26, 26/27) -&gt; Initial Forecast 27/28 (FD basis, 11.05.2026) -&gt; FYV v3.0 (DD basis, 18.09.2025) rescaled per D46. NESO moves the next Five-Year View to September 2026 (ETYS delay; letter 29.01/30.04.2026) — REFRESH the 2028/29+ leg when it lands.</t>
        </is>
      </c>
      <c r="D53" s="77" t="inlineStr">
        <is>
          <t>Medium</t>
        </is>
      </c>
      <c r="E53" s="77" t="inlineStr">
        <is>
          <t>OPEN (calendar: 09/2026)</t>
        </is>
      </c>
    </row>
    <row r="54" ht="16.5" customHeight="1" s="78">
      <c r="A54" s="77" t="inlineStr">
        <is>
          <t>Q50</t>
        </is>
      </c>
      <c r="B54" s="77" t="inlineStr">
        <is>
          <t>D13-R "reported deltas" superseded</t>
        </is>
      </c>
      <c r="C54" s="77" t="inlineStr">
        <is>
          <t>1077号 annex parsed at primary level: 220kV volumetric fell up to 14.5% (JS -13.2%) — NOT "-&lt;=5%"; 220kV demand charges FLAT (JS 41.6 unchanged) — NOT "+3-5%". Workbook cn_td values were already correct (annex-sourced); only the D13-R commentary was stale. Also: P4 publishes per-province line-loss rates (JS 2.83% vs P3 3.18%) — 2026 JS blend not yet applied (impact ~0.5 CNY/MWh, minor).</t>
        </is>
      </c>
      <c r="D54" s="77" t="inlineStr">
        <is>
          <t>Low</t>
        </is>
      </c>
      <c r="E54" s="77" t="inlineStr">
        <is>
          <t>DOCUMENTED (D13-R note superseded; line-loss blend open, minor)</t>
        </is>
      </c>
    </row>
    <row r="55" ht="15" customHeight="1" s="78">
      <c r="A55" s="77" t="inlineStr">
        <is>
          <t>Q51</t>
        </is>
      </c>
      <c r="B55" s="77" t="inlineStr">
        <is>
          <t>Forward utilisation pathways not yet loaded</t>
        </is>
      </c>
      <c r="C55" s="77" t="inlineStr">
        <is>
          <t>FES-2025 GB demand/peak pathway points and DE Szenariorahmen demand not retrieved this session (agent route failed on API overload; inline budget spent on charge paths). Historical utilisation complete (UK 2010-24; DE 2015-25; CN anchors). Add FES/Szenariorahmen points in a follow-up pass. || UK leg RESOLVED 2026-07-19: FES-2025 HT system-demand/ACS-peak/LF path imported at stage7 §G (rows 64–69) from the primary data workbook (S178, D63). DE Szenariorahmen leg remains open.</t>
        </is>
      </c>
      <c r="D55" s="77" t="inlineStr">
        <is>
          <t>Medium</t>
        </is>
      </c>
      <c r="E55" s="77" t="inlineStr">
        <is>
          <t>PARTIALLY RESOLVED (UK done 2026-07-19; DE open)</t>
        </is>
      </c>
    </row>
    <row r="56" ht="15" customHeight="1" s="78">
      <c r="A56" s="77" t="inlineStr">
        <is>
          <t>Q52</t>
        </is>
      </c>
      <c r="B56" s="77" t="inlineStr">
        <is>
          <t>UK medium DUoS not projected</t>
        </is>
      </c>
      <c r="C56" s="77" t="inlineStr">
        <is>
          <t>No published NPg DUoS path beyond ED2 (to 2028); ED3 unquantified. DUoS held flat nominal in the medium-archetype projection — conservative, stated on the chart.</t>
        </is>
      </c>
      <c r="D56" s="77" t="inlineStr">
        <is>
          <t>Low</t>
        </is>
      </c>
      <c r="E56" s="77" t="inlineStr">
        <is>
          <t>OPEN (documented)</t>
        </is>
      </c>
    </row>
    <row r="57" ht="15" customHeight="1" s="78">
      <c r="A57" s="77" t="inlineStr">
        <is>
          <t>Q53</t>
        </is>
      </c>
      <c r="B57" s="77" t="inlineStr">
        <is>
          <t>DE scenario S2 continuation assumption</t>
        </is>
      </c>
      <c r="C57" s="77" t="inlineStr">
        <is>
          <t>2027 subsidy EUR 5.53bn is a cabinet DRAFT (15.07.2026), not law; 2028-2030 continuation at that scale is an assumption (editable input). S1 (lapse) is equally live. Never chart S2 as the central alone.</t>
        </is>
      </c>
      <c r="D57" s="77" t="inlineStr">
        <is>
          <t>Medium</t>
        </is>
      </c>
      <c r="E57" s="77" t="inlineStr">
        <is>
          <t>OPEN (documented)</t>
        </is>
      </c>
    </row>
    <row r="58" ht="15" customHeight="1" s="78">
      <c r="A58" s="77" t="inlineStr">
        <is>
          <t>Q54</t>
        </is>
      </c>
      <c r="B58" s="77" t="inlineStr">
        <is>
          <t>Stage 8 preserves signed Stages 1-7</t>
        </is>
      </c>
      <c r="C58" s="77" t="inlineStr">
        <is>
          <t>VERIFIED: no cells changed in assumptions A-D, fx_deflator, golden_numbers, lcoe, cn_td, timeseries, data_lineitems, stage4/5/6/7 tabs; only NEW rows appended to assumptions(E)/sources/decisions/qc and 5 new tabs added. Golden numbers must still reproduce post-recalc.</t>
        </is>
      </c>
      <c r="D58" s="77" t="inlineStr">
        <is>
          <t>High</t>
        </is>
      </c>
      <c r="E58" s="77" t="inlineStr">
        <is>
          <t>CHECK at recalc</t>
        </is>
      </c>
    </row>
    <row r="59" ht="15" customHeight="1" s="78">
      <c r="A59" s="77" t="inlineStr">
        <is>
          <t>Q55</t>
        </is>
      </c>
      <c r="B59" s="77" t="inlineStr">
        <is>
          <t>North Sea reserves 2010-2014 unavailable</t>
        </is>
      </c>
      <c r="C59" s="77" t="inlineStr">
        <is>
          <t>NSTA reserves regime starts end-2016 (2015 as prior-yr). 2010-14 = BLANK (not zero); would need legacy DECC Brown Book.</t>
        </is>
      </c>
      <c r="D59" s="77" t="inlineStr">
        <is>
          <t>Medium</t>
        </is>
      </c>
      <c r="E59" s="77" t="inlineStr">
        <is>
          <t>DOCUMENTED GAP</t>
        </is>
      </c>
    </row>
    <row r="60" ht="15" customHeight="1" s="78">
      <c r="A60" s="77" t="inlineStr">
        <is>
          <t>Q56</t>
        </is>
      </c>
      <c r="B60" s="77" t="inlineStr">
        <is>
          <t>Oil-only USD/bbl UK-vs-global comparison not constructable</t>
        </is>
      </c>
      <c r="C60" s="77" t="inlineStr">
        <is>
          <t>Disclosed UK oil-only USD/bbl anchor and production-weighted GLOBAL oil opex USD/bbl are paywalled/absent at primary level (Rystad/WoodMac/IHS). Mixed NSTA USD/boe used as the UK production-cost evidence; oil-only series BLANK with method noted. Do NOT compare mixed USD/boe with oil USD/bbl.</t>
        </is>
      </c>
      <c r="D60" s="77" t="inlineStr">
        <is>
          <t>Medium</t>
        </is>
      </c>
      <c r="E60" s="77" t="inlineStr">
        <is>
          <t>DOCUMENTED GAP (D50)</t>
        </is>
      </c>
    </row>
    <row r="61" ht="15" customHeight="1" s="78">
      <c r="A61" s="77" t="inlineStr">
        <is>
          <t>Q57</t>
        </is>
      </c>
      <c r="B61" s="77" t="inlineStr">
        <is>
          <t>OECD/NEA 2025 edition not found</t>
        </is>
      </c>
      <c r="C61" s="77" t="inlineStr">
        <is>
          <t>2020 edition is latest full edition; 2025 refresh GAP. Panel is 2018 USD deflated to 2025.</t>
        </is>
      </c>
      <c r="D61" s="77" t="inlineStr">
        <is>
          <t>Low</t>
        </is>
      </c>
      <c r="E61" s="77" t="inlineStr">
        <is>
          <t>DOCUMENTED</t>
        </is>
      </c>
    </row>
    <row r="62" ht="15" customHeight="1" s="78">
      <c r="A62" s="77" t="inlineStr">
        <is>
          <t>Q58</t>
        </is>
      </c>
      <c r="B62" s="77" t="inlineStr">
        <is>
          <t>Vogtle annual generation &amp; O&amp;M not disclosed</t>
        </is>
      </c>
      <c r="C62" s="77" t="inlineStr">
        <is>
          <t>Indicative LCOE proxy uses ASSUMED CF 0.90 and OECD/NEA US O&amp;M+fuel 20.93 $/MWh (2018); labelled EST(PROXY), not official LCOE. Broader in-service scope is the principal chart value.</t>
        </is>
      </c>
      <c r="D62" s="77" t="inlineStr">
        <is>
          <t>Medium</t>
        </is>
      </c>
      <c r="E62" s="77" t="inlineStr">
        <is>
          <t>DOCUMENTED (D49)</t>
        </is>
      </c>
    </row>
    <row r="63" ht="15" customHeight="1" s="78">
      <c r="A63" s="77" t="inlineStr">
        <is>
          <t>Q59</t>
        </is>
      </c>
      <c r="B63" s="77" t="inlineStr">
        <is>
          <t>UK/German nuclear model cells blank</t>
        </is>
      </c>
      <c r="C63" s="77" t="inlineStr">
        <is>
          <t>No OECD/NEA nuclear observation for UK/DE -&gt; cells BLANK (not zero/substitute). Country context (BEIS 2016 UK; DIW DE) kept in a SEPARATE table, not merged into panel A or B.</t>
        </is>
      </c>
      <c r="D63" s="77" t="inlineStr">
        <is>
          <t>Low</t>
        </is>
      </c>
      <c r="E63" s="77" t="inlineStr">
        <is>
          <t>DOCUMENTED</t>
        </is>
      </c>
    </row>
    <row r="64" ht="15" customHeight="1" s="78">
      <c r="A64" s="77" t="inlineStr">
        <is>
          <t>Q60</t>
        </is>
      </c>
      <c r="B64" s="77" t="inlineStr">
        <is>
          <t>UK AGS geothermal cost blank; superhot GAP</t>
        </is>
      </c>
      <c r="C64" s="77" t="inlineStr">
        <is>
          <t>DESNZ: insufficient data for AGS LCOH/LCOE -&gt; BLANK (vendor target NOT substituted). Quaise superhot no observed cost -&gt; GAP. IEA 2035 labelled GLOBAL scenario. DESNZ granite = partial EGS proxy (excl. stimulation).</t>
        </is>
      </c>
      <c r="D64" s="77" t="inlineStr">
        <is>
          <t>Low</t>
        </is>
      </c>
      <c r="E64" s="77" t="inlineStr">
        <is>
          <t>DOCUMENTED</t>
        </is>
      </c>
    </row>
    <row r="65" ht="15" customHeight="1" s="78">
      <c r="A65" s="77" t="inlineStr">
        <is>
          <t>Q61</t>
        </is>
      </c>
      <c r="B65" s="77" t="inlineStr">
        <is>
          <t>Flexibility avoided-reinforcement unit value derived, not published</t>
        </is>
      </c>
      <c r="C65" s="77" t="inlineStr">
        <is>
          <t>£33/kW-yr = ENA 2024 £300m / 9 GW contracted (derived). Published £/kW-yr benchmark GAP. Industrial relief is scenario (pass-through), residual relief ~£0 under TCR.</t>
        </is>
      </c>
      <c r="D65" s="77" t="inlineStr">
        <is>
          <t>Medium</t>
        </is>
      </c>
      <c r="E65" s="77" t="inlineStr">
        <is>
          <t>DOCUMENTED (D50)</t>
        </is>
      </c>
    </row>
    <row r="66" ht="15" customHeight="1" s="78">
      <c r="A66" s="77" t="inlineStr">
        <is>
          <t>Q62</t>
        </is>
      </c>
      <c r="B66" s="77" t="inlineStr">
        <is>
          <t>Blank-vs-zero + estimate labelling audit</t>
        </is>
      </c>
      <c r="C66" s="77" t="inlineStr">
        <is>
          <t>Every unavailable cell left empty; every estimate/proxy/scenario carries a tag column. Chart series reference calc cells (no hard-coded chart values).</t>
        </is>
      </c>
      <c r="D66" s="77" t="inlineStr">
        <is>
          <t>High</t>
        </is>
      </c>
      <c r="E66" s="77" t="inlineStr">
        <is>
          <t>CHECK at recalc</t>
        </is>
      </c>
    </row>
    <row r="67" ht="27.75" customHeight="1" s="78">
      <c r="A67" s="92" t="inlineStr">
        <is>
          <t>Q63</t>
        </is>
      </c>
      <c r="B67" s="92" t="inlineStr">
        <is>
          <t>Stage 9 preserves signed Stages 1-8</t>
        </is>
      </c>
      <c r="C67" s="92" t="inlineStr">
        <is>
          <t>Verify no cells changed in Stages 1-8 tabs; only stage9_policy + appended log rows added.</t>
        </is>
      </c>
      <c r="D67" s="92" t="inlineStr">
        <is>
          <t>High</t>
        </is>
      </c>
      <c r="E67" s="92" t="inlineStr">
        <is>
          <t>CHECK at recalc</t>
        </is>
      </c>
    </row>
    <row r="68" ht="27.75" customHeight="1" s="78">
      <c r="A68" s="92" t="inlineStr">
        <is>
          <t>Q64</t>
        </is>
      </c>
      <c r="B68" s="92" t="inlineStr">
        <is>
          <t>Policy values are options/announcements</t>
        </is>
      </c>
      <c r="C68" s="92" t="inlineStr">
        <is>
          <t>Not this study's forecasts; every mechanism carries a status tag (D54); £/MWh savings labelled scheme ESTIMATES.</t>
        </is>
      </c>
      <c r="D68" s="92" t="inlineStr">
        <is>
          <t>High</t>
        </is>
      </c>
      <c r="E68" s="92" t="inlineStr">
        <is>
          <t>DOCUMENTED (D54)</t>
        </is>
      </c>
    </row>
    <row r="69" ht="41.25" customHeight="1" s="78">
      <c r="A69" s="92" t="inlineStr">
        <is>
          <t>Q65</t>
        </is>
      </c>
      <c r="B69" s="92" t="inlineStr">
        <is>
          <t>BICS funding evolution</t>
        </is>
      </c>
      <c r="C69" s="92" t="inlineStr">
        <is>
          <t>June-2025 bill-socialisation framing superseded by Apr-2026 Exchequer + energy-system funding; latest primary used; scope RO/FiT/CM not CfD.</t>
        </is>
      </c>
      <c r="D69" s="92" t="inlineStr">
        <is>
          <t>Medium</t>
        </is>
      </c>
      <c r="E69" s="92" t="inlineStr">
        <is>
          <t>DOCUMENTED (D55)</t>
        </is>
      </c>
    </row>
    <row r="70" ht="27.75" customHeight="1" s="78">
      <c r="A70" s="92" t="inlineStr">
        <is>
          <t>Q66</t>
        </is>
      </c>
      <c r="B70" s="92" t="inlineStr">
        <is>
          <t>EGL benchmark discrepancy</t>
        </is>
      </c>
      <c r="C70" s="92" t="inlineStr">
        <is>
          <t>£75/MWh (gov announcement) vs £82/MWh (Carbon Brief, indexed); gov figure noted; EGL not used in the cost stack, context only.</t>
        </is>
      </c>
      <c r="D70" s="92" t="inlineStr">
        <is>
          <t>Low</t>
        </is>
      </c>
      <c r="E70" s="92" t="inlineStr">
        <is>
          <t>DOCUMENTED</t>
        </is>
      </c>
    </row>
    <row r="71" ht="41.25" customHeight="1" s="78">
      <c r="A71" s="92" t="inlineStr">
        <is>
          <t>Q67</t>
        </is>
      </c>
      <c r="B71" s="92" t="inlineStr">
        <is>
          <t>UK-EU ETS linkage status</t>
        </is>
      </c>
      <c r="C71" s="92" t="inlineStr">
        <is>
          <t>Recorded as IN-NEGOTIATION (not concluded as of 2026-07-18); reported summit postponement is secondary color, not asserted as a central fact.</t>
        </is>
      </c>
      <c r="D71" s="92" t="inlineStr">
        <is>
          <t>Medium</t>
        </is>
      </c>
      <c r="E71" s="92" t="inlineStr">
        <is>
          <t>DOCUMENTED</t>
        </is>
      </c>
    </row>
    <row r="72" ht="27.75" customHeight="1" s="78">
      <c r="A72" s="92" t="inlineStr">
        <is>
          <t>Q68</t>
        </is>
      </c>
      <c r="B72" s="92" t="inlineStr">
        <is>
          <t>Secondary-tier sources tagged</t>
        </is>
      </c>
      <c r="C72" s="92" t="inlineStr">
        <is>
          <t>ICAP, ZfK, Carbon Brief, Energy UK, onvista tagged Tier 2; not the sole basis for a load-bearing value where a primary exists.</t>
        </is>
      </c>
      <c r="D72" s="92" t="inlineStr">
        <is>
          <t>Medium</t>
        </is>
      </c>
      <c r="E72" s="92" t="inlineStr">
        <is>
          <t>DOCUMENTED</t>
        </is>
      </c>
    </row>
    <row r="73" ht="41.25" customHeight="1" s="78">
      <c r="A73" s="92" t="inlineStr">
        <is>
          <t>Q69</t>
        </is>
      </c>
      <c r="B73" s="92" t="inlineStr">
        <is>
          <t>CISAF exact caps GAP</t>
        </is>
      </c>
      <c r="C73" s="92" t="inlineStr">
        <is>
          <t>EU CISAF precise electricity-aid caps not extractable at primary level; German scheme design (5 ct/kWh on 50%) used as consistent proxy, flagged.</t>
        </is>
      </c>
      <c r="D73" s="92" t="inlineStr">
        <is>
          <t>Low</t>
        </is>
      </c>
      <c r="E73" s="92" t="inlineStr">
        <is>
          <t>DOCUMENTED GAP</t>
        </is>
      </c>
    </row>
    <row r="74" ht="41.25" customHeight="1" s="78">
      <c r="A74" s="92" t="inlineStr">
        <is>
          <t>Q70</t>
        </is>
      </c>
      <c r="B74" s="92" t="inlineStr">
        <is>
          <t>German 2027 tranches are DRAFT</t>
        </is>
      </c>
      <c r="C74" s="92" t="inlineStr">
        <is>
          <t>2027 network subsidy €5.53bn and Industriestrompreis ~€2.5bn = KTF Wirtschaftsplan draft (cabinet 15 Jul 2026), pending Bundestag; tagged DRAFT.</t>
        </is>
      </c>
      <c r="D74" s="92" t="inlineStr">
        <is>
          <t>Medium</t>
        </is>
      </c>
      <c r="E74" s="92" t="inlineStr">
        <is>
          <t>DOCUMENTED</t>
        </is>
      </c>
    </row>
    <row r="75" ht="27.75" customHeight="1" s="78">
      <c r="A75" s="92" t="inlineStr">
        <is>
          <t>Q71</t>
        </is>
      </c>
      <c r="B75" s="92" t="inlineStr">
        <is>
          <t>Blank-vs-zero + tag audit (stage9)</t>
        </is>
      </c>
      <c r="C75" s="92" t="inlineStr">
        <is>
          <t>CN cross-subsidy (ii)/(iii) cells left BLANK (not zero); every relief value carries EST/status tag; comparative native-unit caveat present.</t>
        </is>
      </c>
      <c r="D75" s="92" t="inlineStr">
        <is>
          <t>High</t>
        </is>
      </c>
      <c r="E75" s="92" t="inlineStr">
        <is>
          <t>CHECK at recalc</t>
        </is>
      </c>
    </row>
    <row r="76" ht="27.75" customHeight="1" s="78">
      <c r="A76" s="92" t="inlineStr">
        <is>
          <t>Q72</t>
        </is>
      </c>
      <c r="B76" s="92" t="inlineStr">
        <is>
          <t>Chart references calc cells</t>
        </is>
      </c>
      <c r="C76" s="92" t="inlineStr">
        <is>
          <t>Relief-per-MWh chart (Section E) references the visible calc table; no hard-coded chart values.</t>
        </is>
      </c>
      <c r="D76" s="92" t="inlineStr">
        <is>
          <t>Medium</t>
        </is>
      </c>
      <c r="E76" s="92" t="inlineStr">
        <is>
          <t>CHECK at recalc</t>
        </is>
      </c>
    </row>
    <row r="77" ht="28.35" customHeight="1" s="78">
      <c r="A77" s="92" t="inlineStr">
        <is>
          <t>Q73</t>
        </is>
      </c>
      <c r="B77" s="92" t="inlineStr">
        <is>
          <t>stage10 front-page live checks</t>
        </is>
      </c>
      <c r="C77" s="92" t="inlineStr">
        <is>
          <t>5/5 cross-stage consistency PASS; integrity panel PASS (stage6 151 PASS, 0 FAIL, sheets 24).</t>
        </is>
      </c>
      <c r="D77" s="92" t="inlineStr">
        <is>
          <t>High</t>
        </is>
      </c>
      <c r="E77" s="92" t="inlineStr">
        <is>
          <t>PASS (verified)</t>
        </is>
      </c>
    </row>
    <row r="78" ht="68.65000000000001" customHeight="1" s="78">
      <c r="A78" s="92" t="inlineStr">
        <is>
          <t>Q74</t>
        </is>
      </c>
      <c r="B78" s="92" t="inlineStr">
        <is>
          <t>Source/decision/QC reference integrity</t>
        </is>
      </c>
      <c r="C78" s="92" t="inlineStr">
        <is>
          <t>Every S###/D##/Q## token resolves to a defined ID EXCEPT S101 &amp; S106 (cited but undefined — see Q79). No other dangling refs; the two D78/D80 hits are prose/label false positives. Independently verified.</t>
        </is>
      </c>
      <c r="D78" s="92" t="inlineStr">
        <is>
          <t>High</t>
        </is>
      </c>
      <c r="E78" s="92" t="inlineStr">
        <is>
          <t>PASS — all IDs resolve (S101/S106 backfilled; see D60)</t>
        </is>
      </c>
    </row>
    <row r="79" ht="28.35" customHeight="1" s="78">
      <c r="A79" s="92" t="inlineStr">
        <is>
          <t>Q75</t>
        </is>
      </c>
      <c r="B79" s="92" t="inlineStr">
        <is>
          <t>Full-workbook formula-error sweep</t>
        </is>
      </c>
      <c r="C79" s="92" t="inlineStr">
        <is>
          <t>0 #VALUE!/#REF!/#NAME?/#N/A/#DIV0 across all 24 sheets on the recalculated workbook.</t>
        </is>
      </c>
      <c r="D79" s="92" t="inlineStr">
        <is>
          <t>High</t>
        </is>
      </c>
      <c r="E79" s="92" t="inlineStr">
        <is>
          <t>PASS (verified)</t>
        </is>
      </c>
    </row>
    <row r="80" ht="28.35" customHeight="1" s="78">
      <c r="A80" s="92" t="inlineStr">
        <is>
          <t>Q76</t>
        </is>
      </c>
      <c r="B80" s="92" t="inlineStr">
        <is>
          <t>Signed Stages 1-9 preserved</t>
        </is>
      </c>
      <c r="C80" s="92" t="inlineStr">
        <is>
          <t>Only the new front page + appended log rows added; existing ranges byte-for-byte unchanged.</t>
        </is>
      </c>
      <c r="D80" s="92" t="inlineStr">
        <is>
          <t>High</t>
        </is>
      </c>
      <c r="E80" s="92" t="inlineStr">
        <is>
          <t>PASS (verified, 0 changed)</t>
        </is>
      </c>
    </row>
    <row r="81" ht="28.35" customHeight="1" s="78">
      <c r="A81" s="92" t="inlineStr">
        <is>
          <t>Q77</t>
        </is>
      </c>
      <c r="B81" s="92" t="inlineStr">
        <is>
          <t>Blank-vs-zero final audit</t>
        </is>
      </c>
      <c r="C81" s="92" t="inlineStr">
        <is>
          <t>Genuine blanks retained across all stages (CN cost/split, reserves 2010-14, AGS, etc.) — never zeroed.</t>
        </is>
      </c>
      <c r="D81" s="92" t="inlineStr">
        <is>
          <t>High</t>
        </is>
      </c>
      <c r="E81" s="92" t="inlineStr">
        <is>
          <t>PASS (verified)</t>
        </is>
      </c>
    </row>
    <row r="82" ht="28.35" customHeight="1" s="78">
      <c r="A82" s="92" t="inlineStr">
        <is>
          <t>Q78</t>
        </is>
      </c>
      <c r="B82" s="92" t="inlineStr">
        <is>
          <t>Chart integrity</t>
        </is>
      </c>
      <c r="C82" s="92" t="inlineStr">
        <is>
          <t>All charts formula-linked to visible calc tables; count reconciled (Stage 8: 5; Stage 9: 1).</t>
        </is>
      </c>
      <c r="D82" s="92" t="inlineStr">
        <is>
          <t>Medium</t>
        </is>
      </c>
      <c r="E82" s="92" t="inlineStr">
        <is>
          <t>PASS (6 charts, verified)</t>
        </is>
      </c>
    </row>
    <row r="83" ht="124.6" customHeight="1" s="78">
      <c r="A83" s="92" t="inlineStr">
        <is>
          <t>Q79</t>
        </is>
      </c>
      <c r="B83" s="92" t="inlineStr">
        <is>
          <t>Sources S101-S106 missing definition rows</t>
        </is>
      </c>
      <c r="C83" s="92" t="inlineStr">
        <is>
          <t>FINDING (pre-existing, signed stages ≤7): sources tab jumps S100→S107. Only S101 (cited stage7_network!T9, German €6.5bn joint-TSO) and S106 (cited sources!B111, JS 代理购电 notices) are cited-but-undefined; S102–S105 are cited NOWHERE (unused numbering gaps). NOT fabricated/fixed here (anti-fabrication) — flagged for owner: supply the 2 missing definitions or confirm leave-as-gap.  RESOLVED 2026-07-18 (D60): S101 &amp; S106 definitions backfilled from citing context; S102–S105 marked VOID. All source references now resolve.</t>
        </is>
      </c>
      <c r="D83" s="92" t="inlineStr">
        <is>
          <t>Medium</t>
        </is>
      </c>
      <c r="E83" s="92" t="inlineStr">
        <is>
          <t>RESOLVED 2026-07-18 (D60)</t>
        </is>
      </c>
    </row>
    <row r="84" ht="68.65000000000001" customHeight="1" s="78">
      <c r="A84" s="92" t="inlineStr">
        <is>
          <t>Q80</t>
        </is>
      </c>
      <c r="B84" s="92" t="inlineStr">
        <is>
          <t>Independent adversarial verification</t>
        </is>
      </c>
      <c r="C84" s="92" t="inlineStr">
        <is>
          <t>A separate verifier re-computed all 8 QC claims from the file (0 errors; golden numbers; 151/0 gates; 0 changed cells; front-page 5/5; blank-vs-zero; S101/S106 gap; no dupe IDs) — ALL CONFIRMED. It also corrected Q74/Q79 overstatements (now fixed) and noted the front-page sheet-count cell is static.</t>
        </is>
      </c>
      <c r="D84" s="92" t="inlineStr">
        <is>
          <t>High</t>
        </is>
      </c>
      <c r="E84" s="92" t="inlineStr">
        <is>
          <t>PASS (verified 2026-07-18)</t>
        </is>
      </c>
    </row>
    <row r="85">
      <c r="A85" s="77" t="inlineStr">
        <is>
          <t>Q81</t>
        </is>
      </c>
      <c r="B85" s="77" t="inlineStr">
        <is>
          <t>CN tonnage per-cell yearbook locators were never banked (S69 broken pointer)</t>
        </is>
      </c>
      <c r="C85" s="77" t="inlineStr">
        <is>
          <t>S69 said "per-edition URLs in staging" but stage5_output_staging.md carried only entered values + key census deltas; per-cell breadcrumbs lived only in the stage-5 retrieval agent session log (ephemeral). Flagged by external review 2026-07-19 (could not reproduce e.g. 2013 crude steel 81313.89 vs communique 77904.1). CLOSED 2026-07-19: stage5_cn_locator_annex.md banked - 15-edition catalogue (table 14-22/14-12/13-12 with per-edition URLs), per-cell citations 2010-2024, four-vintage first-release panel (Dec release / gongbao / first yearbook print / final), census + non-census revision reconciliation (2013 steel = census +3409.79 exactly). Independent re-derivation, 80/80 regression vs stage5_output ALL PASS; zero discrepancies vs 2026-07-16 transcription. Process rule: locator-grade detail from retrieval agents must be banked to a staging file in the same session.</t>
        </is>
      </c>
      <c r="D85" s="77" t="inlineStr">
        <is>
          <t>Medium</t>
        </is>
      </c>
      <c r="E85" s="77" t="inlineStr">
        <is>
          <t>CLOSED 2026-07-19</t>
        </is>
      </c>
    </row>
    <row r="86">
      <c r="A86" s="77" t="inlineStr">
        <is>
          <t>Q82</t>
        </is>
      </c>
      <c r="B86" s="77" t="inlineStr">
        <is>
          <t>External review triage &amp; fix pass (2026-07-19)</t>
        </is>
      </c>
      <c r="C86" s="77" t="inlineStr">
        <is>
          <t>ChatGPT audit: 5 must-fix + QC items verified cell-by-cell and against live primaries (gov.uk BICS 15.04.2026: combination funding, detail at Budget 2026, IA Autumn 2026; worldsteel energy page May-2026 ranges; IEA cement page lacks kWh/t). All confirmed → fixes per D61/D62. NOT adopted: demoting composite to sensitivity-only (kept per D37, relabelled CENTRAL); CN annex migration into workbook (annex + S69 pointer retained). v40 evidence-extension tabs not migrated (file not provided). Independent-validation framing added to stage10 SecD (Q30 gates incl. UK FAILs).</t>
        </is>
      </c>
      <c r="D86" s="77" t="inlineStr">
        <is>
          <t>Medium</t>
        </is>
      </c>
      <c r="E86" s="77" t="inlineStr">
        <is>
          <t>RESOLVED 2026-07-19 (D61/D62)</t>
        </is>
      </c>
    </row>
    <row r="87">
      <c r="A87" s="77" t="inlineStr">
        <is>
          <t>Q83</t>
        </is>
      </c>
      <c r="B87" s="77" t="inlineStr">
        <is>
          <t>CORRECTION — stage4_uk r52 observed-band transcription</t>
        </is>
      </c>
      <c r="C87" s="77" t="inlineStr">
        <is>
          <t>Very Large (70–150 GWh) column values sat under the "QEP Large (20,000–69,999 MWh)" label for all 16 years (v40 cross-review catch; confirmed cell-by-cell vs table_341.xlsx Dec-2025). Replaced with true Large at full precision; timeseries r79 and gate r93 recompute (gate remains FAIL with a LARGER wedge — strengthens the Q30 supply-margin exhibit). Dashboard medium overlay updated in the same pass.</t>
        </is>
      </c>
      <c r="D87" s="77" t="inlineStr">
        <is>
          <t>High (resolved)</t>
        </is>
      </c>
      <c r="E87" s="77" t="inlineStr">
        <is>
          <t>RESOLVED 2026-07-19 (D63)</t>
        </is>
      </c>
    </row>
    <row r="88">
      <c r="A88" s="77" t="inlineStr">
        <is>
          <t>Q84</t>
        </is>
      </c>
      <c r="B88" s="77" t="inlineStr">
        <is>
          <t>CN VAT basis vs house rule</t>
        </is>
      </c>
      <c r="C88" s="77" t="inlineStr">
        <is>
          <t>CN price series (catalogue/market/T&amp;D; GN5) are 含税 as published (stage4_cn A1, cn_td A2, staging) while UK/DE series and house-rule footnotes are ex-VAT. Documented: basis flags added at every cross-country point; de-VAT divisor (17/16/13%, switch years month-weighted) + CN comparator memos stage6 r189–191 (2025: large 76.9 / medium 96.7 USD). Full de-VAT rebuild of signed CN series DECLINED by owner (D63). Publication text must state the basis wherever CN meets UK/DE.</t>
        </is>
      </c>
      <c r="D88" s="77" t="inlineStr">
        <is>
          <t>Medium</t>
        </is>
      </c>
      <c r="E88" s="77" t="inlineStr">
        <is>
          <t>DOCUMENTED 2026-07-19 (D63)</t>
        </is>
      </c>
    </row>
    <row r="89">
      <c r="A89" s="77" t="inlineStr">
        <is>
          <t>Q85</t>
        </is>
      </c>
      <c r="B89" s="77" t="inlineStr">
        <is>
          <t>DE E2 privileged KWKG/Offshore umlagen</t>
        </is>
      </c>
      <c r="C89" s="77" t="inlineStr">
        <is>
          <t>No published privileged flat rate exists (KWKG 2017+, Offshore 2019+ — BesAR/EnFG company-specific; staging-documented); E2 keeps non-privileged rates (anti-fabrication). EnFG BesAR caps = 15% (list-1) / 25% (list-2) beyond the first GWh (S179). Sensitivity memos stage6 r192–193: 2023–25 with the 15% cap ≈ −€8.1–9.3/MWh (2025: large ≈111.0 / medium ≈156.1 USD). Verify §§28–31 statute text at publication.</t>
        </is>
      </c>
      <c r="D89" s="77" t="inlineStr">
        <is>
          <t>Medium</t>
        </is>
      </c>
      <c r="E89" s="77" t="inlineStr">
        <is>
          <t>DOCUMENTED (memo added 2026-07-19, D63)</t>
        </is>
      </c>
    </row>
    <row r="90">
      <c r="A90" s="77" t="inlineStr">
        <is>
          <t>Q86</t>
        </is>
      </c>
      <c r="B90" s="77" t="inlineStr">
        <is>
          <t>Report draft v1 — clean-context adversarial QC (instructions §QC)</t>
        </is>
      </c>
      <c r="C90" s="77" t="inlineStr">
        <is>
          <t>"Paying for Power" DRAFT v1.0 (built 2026-07-19 from this workbook at D64/Q85/S179) verified by an independent no-drafting-context checker: 214 claims re-derived; verdict FAIL — 4 blockers (Barakah $66 not a workbook cell — dashboard nuclear panel still carries it, reconcile at next dashboard pass; DE flat-glass claim spanned the Q35 gap; CN system-fee coal-share misread of sources F111; harmonised capital span quoted on native-WACC basis) + 10 minor + 2 unverifiable world-claims. ALL 16 corrected in v1.1 and re-verified against cells; unverifiable claims replaced with workbook-internal equivalents. Log: report_v1_adversarial_qc_log.md. Standing rule stands: fresh-session QC gate re-runs on the final submitted text; the report does not ship on a fail.</t>
        </is>
      </c>
      <c r="D90" s="77" t="inlineStr">
        <is>
          <t>High</t>
        </is>
      </c>
      <c r="E90" s="77" t="inlineStr">
        <is>
          <t>v1.1 CORRECTED 2026-07-20 (pre-publication gate OPEN)</t>
        </is>
      </c>
    </row>
    <row r="91">
      <c r="A91" s="77" t="inlineStr">
        <is>
          <t>Q87</t>
        </is>
      </c>
      <c r="B91" s="77" t="inlineStr">
        <is>
          <t>Composite headline re-based to product weights (D65) — report relabel pending</t>
        </is>
      </c>
      <c r="C91" s="77" t="inlineStr">
        <is>
          <t>stage5_output section K added (product-weighted headline + geometric variant + band, formulas off section-F tonnage rows 80-91, COUNT-gated blanks); section I relabelled VARIANT. Report v1.1 ch.5 and exec-summary composite figures (47.2/82.5/170.9, 2024) now cite the VARIANT — relabel to product-weighted headline (56.4/78.6/173.7) at the v1.2 final-text pass before publication (same pass as the Q86 gate re-run). Dashboard tab 5 updated to the new headline 2026-07-24 (electricity-weighted kept as a toggle variant).</t>
        </is>
      </c>
      <c r="D91" s="77" t="inlineStr">
        <is>
          <t>Medium</t>
        </is>
      </c>
      <c r="E91" s="77" t="inlineStr">
        <is>
          <t>OPEN — report ch.5 relabel pending (v1.2 final-text pass)</t>
        </is>
      </c>
    </row>
    <row r="92">
      <c r="A92" s="77" t="inlineStr">
        <is>
          <t>Q88</t>
        </is>
      </c>
      <c r="B92" s="77" t="inlineStr">
        <is>
          <t>Independent supply-margin estimate (Ofgem CSS panel) — wedge decomposition, bracket test, D66 bucket-(iv) relabel</t>
        </is>
      </c>
      <c r="C92" s="77" t="inlineStr">
        <is>
          <t>Ofgem Consolidated Segmental Statements panel 2012–2024 (8 supplier groups, 73 nondom-electricity segment rows; NO aggregated Ofgem dataset exists): EBIT ≈£1–2/MWh pre-crisis (1–2% of revenue), −£1–3 in 2020–21, £4–8 (1.8–2.9%) 2022–24; retail opex (EDF+Centrica+SSE indirect costs) ≈£5–6 pre-crisis, £10–13 crisis (bad debt). The wedge (Q30/D66 iv) is NOT mainly margin: 2024 nominal wedge £19.2 = £6.2 opex + £7.2 EBIT + £5.8 residual. Bracket test (excl-CCL both sides): netted observed ABOVE E1 in stable years (+£10–20 pre-relief 2012–16 = band-mix premium; +£5.8 in 2024), BELOW E2 in 2021/2023 (−£19/−£109) — crisis sign-flips confirmed as hedge-vintage in suppliers' direct-fuel line (panel EBIT stayed small/positive). Illustrative exempt-volume share of XL band 2024 ≈15%. ENTERED THIS SESSION: stage4_uk r55–59 overlay (EBIT £/MWh, EBIT %, opex £/MWh, panel TWh); stage6 SECTION R bucket (iv) relabelled "supply wedge"; dashboard tab 3 relabel + CSS footnote + two-way wedge split (UK 2012–24: CSS-measured supply cost+margin [solid accent colour] vs hedging+band-mix residual [hatched]; DE unsplit — no CSS equivalent; 2010–11/2025 unsplit — no CSS data). Staging: css_margin_bracket_staging.md + css_nondom_margin_panel.csv (project folder; S180/S181). ALSO LOGGED: original D66 workbook edit found REVERTED by an open-Excel save (dashboard already recut, workbook pre-D66) — SECTION R re-applied this session, recon re-verified; Excel-open-during-commit is a standing hazard. || 2026-07-24 D67 ADDENDUM: DE wedge re-based to obs − E2 central (population-matched; was obs − E1, negative ≈ margin − embedded BesAR-era relief); UK unchanged (obs − E1). Dashboard re-cut same day. || 2026-07-24 D68: wedge made PER-CASE (obs − displayed stack; every view additive); CSS split shown in UK E1 view only; D67 population-matching retained as interpretation guide.</t>
        </is>
      </c>
      <c r="D92" s="77" t="inlineStr">
        <is>
          <t>Medium</t>
        </is>
      </c>
      <c r="E92" s="77" t="inlineStr">
        <is>
          <t>OPEN — report relabel + CSS numbers at v1.2 pass; re-run ~Q4 2026 (2025 CSS filings; Centrica 2024 if published)</t>
        </is>
      </c>
    </row>
    <row r="93">
      <c r="A93" s="77" t="inlineStr">
        <is>
          <t>Q89</t>
        </is>
      </c>
      <c r="B93" s="77" t="inlineStr">
        <is>
          <t>Independent DE supply-side opex+margin estimate (BNetzA MB2025 "Vertrieb und Marge") — UK CSS symmetry and D68 wedge constraint</t>
        </is>
      </c>
      <c r="C93" s="77" t="inlineStr">
        <is>
          <t>BNetzA/BKartA Monitoringbericht 2025 (pub. 26.11.2025) is the FIRST edition to split the supply block for non-household cases — MB2023/MB2024 published only a bundled "vom Lieferanten beeinflussbarer Preisbestandteil (Restbetrag)". This supersedes the standing project note that Germany reports procurement and margin as one block. MEASURED (stage4_de r48-54): Industriekunde 24 GWh/a 2025 "Vertrieb und Marge" 1.77 ct/kWh = EUR 17.7/MWh (P10-P90 0.00-5.62, 127 suppliers); Gewerbe 50 MWh/a 3.03; household band DC 4.45 (by contract category: Ersatzversorgung 7.91 / Grundversorgung 6.72 / non-incumbent 3.57 — German retail margin sits in incumbent default tariffs); E.ON Energy Retail Germany column adj. EBITDA EUR 6.5/MWh (FY24) and 7.5 (FY25); Fraunhofer ISI in-band (70-150 GWh, 2013) implied mark-up = 0. ADOPTED BRACKET for the XL archetype (r57-62): USD 0.0 floor / 8.5 central / 20.0 ceiling, nominal 2025 USD at D1 FX 1.1306. CONSEQUENCES. (1) UK-DE symmetry: UK CSS 2024 non-dom = USD 8.1 opex + 9.4 EBIT = 17.5/MWh (Q88) vs DE ceiling 20.0 / central 8.5 — supplier opex+margin is NOT a material UK-DE differentiator. A null result in the same family as the relieved-EII network-charge convergence; report ch.2 should say so in a sentence rather than imply a supply-margin gap. (2) D68 wedge constraint: the DE large E1 2025 wedge of -6.31 cannot accommodate any positive supplier margin, confirming E1 is a relieved-band construct not a headline; DE E2 +41.74 is therefore dominated by relief-spectrum position, not margin. Both readings are consistent with D68 as written — no decision reopened. (3) The pre-2025 bundled residual (r52) nets to approx +0.7 EUR/MWh in 2020 but -10 in 2024 and strongly negative in 2023: hedge vintage, identical pathology to the D68 crisis sign-flips, and independent corroboration of that reading. ROUTES REJECTED (documented so they are not re-attempted): Eurostat SBS / Destatis NACE 35.14 — turnover embeds wholesale churn (DE 2023 EUR 475bn over ~465 TWh implies ~EUR 1,020/MWh, ~3x physical value), the class explicitly includes brokers and power exchanges, purchases-for-resale is [C] confidential 2021-23, GOS is EBITDA-like not CSS-comparable EBIT, population break at 2021, and NACE Rev. 2.1 renumbers trade-of-electricity 35.14 to 35.15 while 35.14 becomes DISTRIBUTION (splicing trap). ACER/CEER mark-up — household-only, the single non-household German figure is Eurostat band IB (~125 MWh), and the indicator was discontinued after the 2023 MMR. BDEW industrial series — bundles NETWORK CHARGES into the supply block, strictly worse than BNetzA here. VEA Strompreisvergleich — states in writing that a market-standard supplier margin is embedded, never quantifies it, and covers only medium-voltage cases far below 70 GWh. Bundesanzeiger/Unternehmensregister Vertriebsgesellschaft panel — feasible (~60-120 usable entities of ~1,300; EBIT reconstructible above the Gewinnabführung line per HGB §277(3) S.2) but DEFERRED: §276 HGB lets small AND medium companies collapse revenue and material cost into "Rohergebnis", volumes appear in roughly half of large Lageberichte only, missingness is size-correlated (upward margin bias), and group transfer pricing sets Materialaufwand with no visible arm's-length constraint. NEGATIVE CONFIRMED (S187): no German or EU instrument requires CSS-style supply-margin disclosure — EnWG §6b Abs.3 S.1 lists seven activities and Vertrieb is not among them, and Dir. 2009/72 Art. 31(3), the only EU provision that ever mandated separate supply accounts, was dropped from Dir. (EU) 2019/944. Monopolkommission 9. and 10. Sektorgutachten Energie contain no quantitative electricity retail margin.</t>
        </is>
      </c>
      <c r="D93" s="77" t="inlineStr">
        <is>
          <t>Medium</t>
        </is>
      </c>
      <c r="E93" s="77" t="inlineStr">
        <is>
          <t>OPEN — report ch.2 sentence + bracket at v1.2 pass; re-run on MB2026 (~Nov/Dec 2026, second industry-split year — pairs with the Q88 re-run) || ADDENDUM 2026-07-24: series extended to FY2021 (stage4_de r66–r70, S188) and DRAWN in the article (paying_for_power_article.html figs 3/4/6, DATA.deWedge) per owner decision — margin segment on BOTH DE cases, pre-2021 imputed at the 2024–25 average $7.877. CONCEPT ASYMMETRY r71 must stay in every caption: DE segment is margin-only, UK segment is opex+EBIT. Article prose corrected in 7 places where it asserted no German split exists. || ADDENDUM 2 (same day, owner): DRAWN SERIES SWITCHED from the E.ON margin-only series to the BNetzA "Vertrieb und Marge" observation held constant in real terms (stage4_de r72–r75) — resolves the concept mismatch, since "Vertrieb und Marge" is selling cost + margin, the same construct as the UK CSS overlay. E.ON retained as the profit-only cross-check in the article data tables. Live caveats now: single observation (no shape), and band — near-direct read on the MEDIUM archetype (24 vs 20 GWh/a), CEILING on LARGE.</t>
        </is>
      </c>
    </row>
    <row r="94">
      <c r="A94" s="77" t="inlineStr">
        <is>
          <t>Q90</t>
        </is>
      </c>
      <c r="B94" s="77" t="inlineStr">
        <is>
          <t>DE BesAR regime mis-dated: EEG 2012 tranche ladder applied from 2012, but it first binds benefit year 2013 — 2010–12 is the EEG 2009 Selbstbehalt regime</t>
        </is>
      </c>
      <c r="C94" s="77" t="inlineStr">
        <is>
          <t>TRIGGER: the DE MEDIUM E2 stack was blank in 2011 while LARGE E2 produced a 2011 value — spotted by the owner in the article figs. ROOT CAUSE (two independent research passes, primary statute verified verbatim by both): the workbook modelled the German BesAR from 2012 using the EEG 2012 tranche ladder, and had no BesAR treatment at all before that. Both are wrong. (1) REGIME DATING. The EEG 2012 §41(3) ladder (≤1 GWh full / 1–10 GWh 10% / 10–100 GWh 1% / &gt;100 GWh 0.05 ct) FIRST APPLIES TO BENEFIT YEAR 2013, not 2012: §43(1) makes applications due 30 June effective 1 January of the FOLLOWING year, and §66(13) EEG 2012 applies §41 to applications made IN 2012. Benefit year 2012 rests on applications filed 30.06.2011, decided 16.12.2011 under EEG 2009. Empirical confirmation: privileged undertakings 734 (2012) → 1,691 (2013), Abnahmestellen 979 → 2,262, when the 1 GWh threshold bit. (2) THE 2010–2012 REGIME. EEG 2009 §§40–44 (Stammfassung, unamended to 31.12.2011) + §6 Abs.1 Nr.1 AusglMechV: NO tranches. A flat 0.05 ct/kWh on the privileged volume, plus a 10% SELBSTBEHALT charged at the full Umlage, disapplied only where the site clears BOTH ≥100 GWh AND ≥20% Stromkosten/Bruttowertschöpfung (§41(3) S.1 — "oder", so failing either limb keeps the Selbstbehalt). Eligibility &gt;10 GWh and &gt;15% BWS plus certification. Effective rate is therefore SCALE-INVARIANT for every teilbegünstigt site: 0.1×U + 0.9×0.05 ct. FIXES APPLIED: timeseries r62 (medium E2 EEG) 2010/2011/2012 = 2.497 / 3.980 / 4.042 €/MWh — 2012 CORRECTED from 3.592 (the old 10%×U dropped the 0.05 ct floor on the remaining 90%, understating by 0.45 €/MWh); r45 (large E2 EEG) 2010/2011 = 0.5 €/MWh, the vollbegünstigt archetype being &gt;=100 GWh and assumed &gt;=20% BWS, unchanged from 2012+; r46 band HIGH 2010/2011 = the teilbegünstigt outcome; r64 (medium E2 total) 2010/2011 formulas added. ALSO FIXED — LATENT BLANK-AS-ZERO: r51 (large E2 total) gated only on wholesale and network and added the EEG term as a bare "+E45", so 2011 silently priced the privileged EEG at ZERO and still printed a number ($130.74 real) while the medium panel blanked on the same missing input. Gate hardened to require ISNUMBER of the EEG term. Large E2 2011 moves 65.57 → 66.07 €/MWh nominal. NOT CHANGED, and must not be: r62 for 2013 = 0.1×U looks like the old error but is EXACTLY right — at precisely 20 GWh the EEG 2012 ladder collapses to 10% of the Umlage, (1×U + 9×0.1U + 10×0.01U)/20 = 2U/20. 2014+ EEG 2014/2017/2021 §64 15% structure unchanged. STILL BLANK: DE 2010 in every view — a WHOLESALE gap, not a levy gap. The DE wholesale input is the EEX Phelix year-ahead price by TRADING year with delivery Y+1, so delivery-2010 needs trading-year 2009, which the BNetzA Monitoringbericht series does not cover. The EEG rows are now filled for 2010 so the stack completes automatically if that gap is ever closed (would need an older MB or an EEX historical series). CROSS-CHECK: the ÜNB testierte EEG-Jahresabrechnung 2011 reconciles to the cent at 377.087 TWh × 3.530 ct + 85.118 TWh × 0.050 ct = €13,353,740,622.46 = published Soll-Einnahmen (S190). Note the Selbstbehalt is booked in the NON-privileged column there, so the published 0.050 ct/kWh is the rate on the privileged slice, NOT the site-level average — the site-level average for a teilbegünstigt site is 0.398 ct/kWh in 2011.</t>
        </is>
      </c>
      <c r="D94" s="77" t="inlineStr">
        <is>
          <t>Medium</t>
        </is>
      </c>
      <c r="E94" s="77" t="inlineStr">
        <is>
          <t>RESOLVED 2026-07-24 — 2011 filled for both archetypes, 2012 corrected, large E2 blank-as-zero gate hardened; article DATA re-spliced. DE 2010 remains blank on the separate wholesale gap.</t>
        </is>
      </c>
    </row>
    <row r="95">
      <c r="A95" s="77" t="inlineStr">
        <is>
          <t>Q91</t>
        </is>
      </c>
      <c r="B95" s="77" t="inlineStr">
        <is>
          <t>EII eligibility definitions UK vs DE — and whether an eligibility-based output index is buildable</t>
        </is>
      </c>
      <c r="C95" s="77" t="inlineStr">
        <is>
          <t>Established while checking whether an output index could be built on the relief-eligibility lists (owner question 2026-07-24 about which index matches which archetype). UK: 71 four-digit NACE classes (SI 2015/721 Schedule) PLUS a hard firm-level test — electricity cost impact &gt;= 20% of gross value added over three years (reg 8). GERMANY: 116 four-digit WZ classes (EnFG Anlage 2 = CEEAG Annex 1 verbatim) and NO intensity test at all — §30 requires only &gt;1 GWh at the Abnahmestelle, an energy management system, and an efficiency/decarbonisation condition. The BesAR 14%/20% thresholds were abolished in the move to CEEAG. CONSEQUENCE FOR D67/D68: German eligibility is far easier to clear than British, so the German relieved population is much more fully populated within its sectors. This is INDEPENDENT CORROBORATION, from statute rather than from price data, of the population-matching reading — DE Eurostat band relief-dominated (implied relieved share 50-80% in the BesAR era) versus UK QEP band unrelieved-dominated (exempt ~15%). Two register corrections: the UK eligible-sector list lives in SI 2015/721, not SI 2024/409 (which only cross-refers); and Germany has no electricity-intensity test under EnFG. ALSO ESTABLISHED — an eligibility-based output index is NOT constructible symmetrically. ONS publishes the Index of Production at 3-digit at finest (96 industry labels, ZERO 4-digit CVM series) and five UK-eligible codes sit inside divisions 25-28 with no usable proxy; the one clean match is chemicals, where ONS 20A+20B is exactly the seven eligible division-20 classes. Germany is fully matchable (GENESIS 42153-0003, 195 four-digit series, 116/116 EnFG codes resolve). So the middle-tier output exhibit must remain the DIVISION-level energy-intensity definition (17/19/20/23/24) — which is what stage5 sections H/J already build and what Destatis itself publishes as "Energieintensive Industriezweige" (S196). Note that aggregate is an ENERGY-INTENSITY selection that deliberately excludes food, and is therefore NOT the relief list — two different populations; captions must say which is shown.</t>
        </is>
      </c>
      <c r="D95" s="77" t="inlineStr">
        <is>
          <t>Medium</t>
        </is>
      </c>
      <c r="E95" s="77" t="inlineStr">
        <is>
          <t>RESOLVED as a finding — no model change. Feeds the D69 exhibit structure and corroborates D67/D68. Sources S194/S195/S196.</t>
        </is>
      </c>
    </row>
    <row r="96">
      <c r="A96" s="77" t="inlineStr">
        <is>
          <t>Q92</t>
        </is>
      </c>
      <c r="B96" s="77" t="inlineStr">
        <is>
          <t>UK observed sits above even the UNRELIEVED stack — losses now modelled (D70) but close only 1.6%/4.0% of it; residual corrected UPWARD to ~GBP 34 large / ~GBP 54 medium; QEP-basis hypothesis untested</t>
        </is>
      </c>
      <c r="C96" s="77" t="inlineStr">
        <is>
          <t>OWNER CHALLENGE 2026-07-24: "there was a massive gap for the unrelieved too". Correct, and it materially weakens the relief-take-up explanation. 2025 real-2025 USD/MWh, supplier block included on both sides: UK LARGE observed 276.1 vs unrelieved-plus-supplier 221.0 = +55.1 ABOVE E1; UK MEDIUM observed 314.6 vs 227.4 = +87.2. DE is the mirror image and has NO residual: large observed 163.2 sits 26.3 BELOW its unrelieved stack, medium only +8.4 above. So of the UK large gap to the relieved case (133.9), only 78.9 (59%) is relief the average band member does not hold; 55.1 (41%) sits above even a no-relief modelled bill. At medium size the residual is the LARGER half (87.2 of 169.9). Q30 SUPERSEDED: it attributed this residual to "supply cost + margin, excluded by design". Q88 has since MEASURED that block at USD 14.3/MWh (2025), which covers about a quarter of the large residual and a sixth of the medium one. Q30 no longer closes the gap and its resolution is stale. LOAD FACTOR IS RULED OUT ARITHMETICALLY (owner point: the medium archetype is already only 5,000 h and the gap is still large). Post-TCR the UK residual is a per-SITE-per-day charge, so it scales with volume, not with peak: the only genuinely load-factor-sensitive term in the whole UK build is DUoS capacity at GBP 2.45/MWh (medium, 2025). The workbook sensitivity confirms it — UK large E1 at 6,500 h is 156.68407221207, IDENTICAL to the 8,000 h headline. Even an implausibly poor load factor moves the medium bill a couple of GBP/MWh against a GBP 66.1/MWh residual. The "modelled prices are a frontier" defence therefore cannot rest on load factor. TWO REAL MISSING COMPONENTS FOUND. (1) FiT 2025/26 is unpublished and excluded — timeseries r16 already flags it at ~GBP 7/MWh. (2) LINE LOSSES ARE NOT MODELLED ANYWHERE IN THE UK OR GERMAN BUILD — a search for any loss term across assumptions/stage4_uk/timeseries/qc/decisions returns only the Chinese line-loss rows (Q49). Suppliers pass distribution and transmission losses through, so a HV-connected site pays for roughly 5-6% more energy than it meters and a transmission-connected site 1-2%; at the 2025 wholesale of GBP 79.7/MWh that is ~GBP 4.8/MWh medium and ~GBP 1.2-1.6 large. RESIDUAL AFTER THOSE: medium GBP 66.1 gap less margin 10.9, FiT ~7, losses ~4.8, load factor ~2 leaves ~GBP 41/MWh (~USD 54) unexplained; large leaves ~GBP 20 (~USD 26). REMAINING HYPOTHESES, none tested: (a) the QEP series is total spend divided by consumption and therefore includes reactive-power and excess-capacity penalties, metering and data-collection charges, and contract-specific adders that a published-tariff build cannot contain by construction — i.e. part of the residual is definitional, not error; (b) contract-level shape, imbalance and credit premia above the CSS book average; (c) the QEP Large band (20-70 GWh) average is composed of firms LARGER than the 20 GWh archetype, which should push the band average DOWN per MWh and therefore makes the medium residual harder to explain, not easier; (d) an understated obligation rate (RO 33.06, CfD 8.99, CM 3.30 GBP/MWh 2025 — not re-verified this pass). ACTION: no confident causal sentence about the British observed-versus-modelled gap goes into the article until (a) is tested against the QEP methodology note and losses are either modelled or documented as a deliberate exclusion. Losses are the cheapest fix and should be done first. Q30 to be re-worded when this closes.  ||  LOSSES NOW MODELLED 2026-07-24 (D70) — AND THEY ARE SMALLER THAN THIS ENTRY ESTIMATED. The estimate above (~GBP 4.8/MWh medium, ~GBP 1.2-1.6 large) was reasoned from the ~5-6% system-wide distribution loss figure. That is the wrong number for an HV-connected industrial site: the applicable Line Loss Factor for HV in the reference DNO area is 1.024, not ~1.06, because HV sites sit above the LV network where most distribution losses occur. Sourced build (assumptions r78-80, timeseries r107-110, S197): TLM 1.008 (Elexon BSC Section T, zonal TLF + TLMO- since P350) applied to every archetype; LLF 1.000 large (CVA transmission-connected, no distribution network) and 1.024 medium (HV). Gross-up applied to wholesale + BSUoS + CfD + CM only; RO, FiT, DUoS and TNUoS are levied on metered volume and are correctly excluded. Germany takes NO equivalent term: Verlustenergie is procured by the network operator under EnWG §22 and recovered inside the Netzentgelt under StromNEV §10, so it is already inside the published tariff and adding it would double-count. ACTUAL 2025 UPLIFTS (nominal GBP/MWh): large E1 0.842, large E2 0.638, medium E1 2.961, medium E2 2.566. Losses therefore close 1.6% of the large gap and 4.0% of the medium one — real, correct to have, but not an explanation. || ARITHMETIC CORRECTION TO THIS ENTRY. The residual line above ("leaves ~GBP 41 medium / ~GBP 20 large") DEDUCTED THE SUPPLIER BLOCK TWICE: it started from the gap to E1-PLUS-SUPPLIER (87.2 / 55.1 USD) and then subtracted the supplier block (GBP 10.9) again. Corrected ledger, 2025, real-2025 USD/MWh, starting from the statutory E1 stack (supplier block excluded by construction) and now INCLUSIVE of losses: LARGE — observed 276.06 less modelled E1 207.81 = gross gap 68.25 (GBP 51.74); identified = supplier opex+margin 14.30 (Q88 CSS) + FiT 2025/26 unpublished ~9.2 + load factor ~0 (ruled out) = 23.5; RESIDUAL 44.7 USD (GBP 33.9). MEDIUM — observed 314.60 less modelled E1 217.03 = gross gap 97.57 (GBP 73.96); identified = supplier 14.30 + FiT ~9.2 + load factor ~2.6 (whole DUoS capacity charge, an upper bound) = 26.1; RESIDUAL 71.4 USD (GBP 54.1). So the unexplained residual is LARGER than this entry previously recorded, not smaller — GBP 34 large and GBP 54 medium — for two reasons: the double-deduction, and losses landing at roughly half the estimate. The gating action is UNCHANGED and now more binding: hypothesis (a) — that QEP is total spend divided by consumption and therefore definitionally broader than any published-tariff build — is the only remaining candidate large enough to matter, and it is still UNTESTED against the QEP methodology note. No causal sentence about the British observed-versus-modelled gap goes into the article until it is.</t>
        </is>
      </c>
      <c r="D96" s="77" t="inlineStr">
        <is>
          <t>High</t>
        </is>
      </c>
      <c r="E96" s="77" t="inlineStr">
        <is>
          <t>OPEN — losses CLOSED (modelled, D70/S197). FiT 2025/26 still a known exclusion. ~GBP 34 (large) / ~GBP 54 (medium) per MWh unexplained; residual REVISED UP after removing a double-deduction. SUPERSEDED IN PART BY Q93 (2026-07-25): procurement vintage accounts for 28.9 (large) and 60.0 (medium) GBP/MWh of the 2025 gap, and the 2021/2023 negative years rule out a purely definitional QEP-breadth story. The QEP methodology note is still worth reading but is no longer the leading candidate. Blocks any causal claim about the UK gap in the article. || 2026-07-26: methodology note READ (S204) — QEP price = value/volume over ALL contracts in force (PT survey, ~60% electricity coverage, 100% response). The breadth/definitional candidate is further demoted; the note contains no contract-vintage discussion, so the Q93 attribution stands as the leading explanation. Real exempt share now MEASURED under Q97 (14.5% of industrial consumption 2024-25).</t>
        </is>
      </c>
    </row>
    <row r="97">
      <c r="A97" s="77" t="inlineStr">
        <is>
          <t>Q93</t>
        </is>
      </c>
      <c r="B97" s="77" t="inlineStr">
        <is>
          <t>PROCUREMENT VINTAGE largely explains the 2024-25 UK observed-vs-modelled gap — and the sign flips in 2021/2023 rule out a purely definitional (QEP-basis) explanation. Demotes the Q92 gate.</t>
        </is>
      </c>
      <c r="C97" s="77" t="inlineStr">
        <is>
          <t>OWNER HYPOTHESIS 2026-07-25: "the difference between observed and modelled for UK in 2024 and 2025 is massive. I wonder if this is because industry got locked into very expensive contracts in 2023 ... the other being low uptake of exemptions." TESTED, and largely supported — with one date correction and one identification caveat. METHOD: back out the wholesale price IMPLIED by the observed bill = QEP (excl CCL) less every non-wholesale modelled component less the measured supply block, then compare it with the price the model assumes and with the forward curve (timeseries r113-118, diagnostic rows only — nothing downstream reads them). RESULT 1 — THE PLATEAU. UK LARGE implied wholesale: 2022 125.5 | 2023 130.3 | 2024 132.1 | 2025 132.4 GBP/MWh. Flat to within 7 GBP across four years while DAY-AHEAD went 211.8 -&gt; 97.3 -&gt; 75.7 -&gt; 83.9 and the modelled front-year went 89.5 -&gt; 273.7 -&gt; 127.5 -&gt; 79.7. UK MEDIUM plateaus higher: 166.5 / 165.2 / 154.6 for 2023-25. A four-year flat spot in a violently moving market is the smoothing signature of a laddered or multi-year-fixed book, not of a mis-specified stack. RESULT 2 — THE SIGN FLIPS ARE THE REAL EVIDENCE. Gap to E1 (excl CCL, nominal GBP/MWh), large: 2021 -46.6, 2022 +51.1, 2023 -122.2, 2024 +18.0, 2025 +59.5. A hedge protects on the way up and penalises on the way down, which is exactly this pattern. NOTHING DEFINITIONAL PRODUCES A -122 YEAR. This materially DEMOTES Q92 hypothesis (a) — that QEP is total spend per MWh and therefore structurally broader than a published-tariff build. Breadth of that kind is a level effect and would have to be positive in every year; it is not. Q92's gate should be re-scoped accordingly: still worth reading the QEP methodology note, but it is no longer the leading candidate. RESULT 3 — GERMANY IS A CLEAN CONTROL. DE LARGE implied wholesale: 2022 97.2 | 2023 107.8 | 2024 78.8 | 2025 65.4 EUR/MWh — it UNWINDS, and by 2025 sits BELOW the modelled front-year (88.7). Britain's sits 66% ABOVE its own (132.4 vs 79.7). Same crisis, same broad forward curves, opposite persistence. (DE levels are not comparable in absolute terms — the DE E1 stack is a relieved-band construct with a negative wedge, per D68 — but the SHAPE is.) DECOMPOSITION 2025, nominal GBP/MWh excl CCL, against the UNRELIEVED stack. LARGE: gap 59.5 = supply block + FiT (2025/26 unpublished) 7.0 + calm-year profile/shape/imbalance baseline 10.3 + PROCUREMENT VINTAGE ~29-33. MEDIUM: gap 81.7 = supply block + 7.0 + baseline 1.4 + PROCUREMENT VINTAGE ~60-64. THE RANGE IS THE 2025 SUPPLY-BLOCK IMPUTATION, which is not a measured number in 2025: holding the 2024 CSS reading (13.3) gives the low end, the 2012-24 nominal mean (9.0, the convention in diagnostic row r113) the high end, the article's real-terms period average (10.85) the middle. Quote ~30 (large) and ~62 (medium) and say it is bracketed, not measured. 2024 LARGE: gap only 18.0 and procurement vintage is -5.7, i.e. ESSENTIALLY CLOSED — because the model's own front-year price for delivery 2024 (127.45, struck in 2023) already sat near what industry actually paid. 2024 MEDIUM: gap 51.1, vintage +36.4. So the 'massive 2024 gap' is a MEDIUM-archetype phenomenon; at large size 2024 is unremarkable and only 2025 is extreme. OWNER DATE CORRECTION: the expensive lock-in year was 2022, not 2023. Front-year prices averaged 273.71 GBP/MWh through 2022 (for 2023 delivery) against 127.45 through 2023. Contracts SIGNED IN 2022 covering 2023-25 delivery are the costly ones. ON THE SECOND MECHANISM: relief take-up is real but acts on a DIFFERENT part of the gap. By construction it cannot explain anything above E1 — E1 already assumes no relief. It explains the E1-to-E2 span (79 USD/MWh large in 2025), i.e. about 59% of the total observed-to-relieved gap. Both of the owner's mechanisms are live; they are not competing. IDENTIFICATION CAVEAT — STATE THIS WHENEVER THE NUMBER IS USED: 'procurement vintage' is a LABELLED RESIDUAL, not a measurement. Any unmodelled cost that grew after 2022 lands in the same bucket. What licenses the label is the plateau, the sign flips and the German control, not the arithmetic itself. FALSIFIABLE PREDICTION (the honest test): a hedge legacy MUST unwind. The modelled 2026 wholesale is 81.21 GBP/MWh. If the 2026 and 2027 QEP prints fall toward it, this is confirmed; if the implied series plateaus at ~130 for a fifth and sixth year, it is NOT hedging and something structural is being missed. Diarise against the QEP quarterly releases. || UPDATE 2026-07-26 (S204): (a) METHODOLOGY CONFIRMED — the DESNZ industrial-price methodology note states the QEP band price is total value / total volume across ALL sales the surveyed suppliers make in the quarter (PT survey, 6 electricity suppliers, ~60% coverage, bands per EU 2016/1952): an average over every contract in force, NOT new contracts — exactly the averaging a vintage story requires. (b) FIRST OUT-OF-SAMPLE PRINT — QEP June-2026 (Q1-2026, provisional): XL 20.973 p/kWh, Large 23.366. Q1-on-Q1 implied wholesale (each year's annual components): LARGE 143.5 (Q1-25) -&gt; 121.9 (Q1-26) GBP/MWh, -15%; MEDIUM 168.3 -&gt; 139.3, -17%; front-year flat 79.7 -&gt; 81.2. Excess over front-year: large 63.8 -&gt; 40.7 (-36%), medium 88.6 -&gt; 58.1 (-34%). FIRST decline since the plateau began — direction and pace consistent with 2022-vintage contracts rolling off. NOT yet confirmation: full-year 2026/2027 prints must continue toward 81.21; Q1 figures are provisional (finalised +3 months). Exhibit: out-of-sample panel added to procurement_vintage.html.</t>
        </is>
      </c>
      <c r="D97" s="77" t="inlineStr">
        <is>
          <t>High</t>
        </is>
      </c>
      <c r="E97" s="77" t="inlineStr">
        <is>
          <t>SUPPORTED, first out-of-sample print PASSED (2026-07-26): Q1-2026 implied fell 15-17% y/y while front-year was flat; methodology note confirms all-contracts averaging. Remaining: full-year 2026/2027 QEP prints (diarise each quarterly release, next ~Sep-2026 incl Q1 finalisation); owner decision on article integration of the updated exhibit.</t>
        </is>
      </c>
    </row>
    <row r="98">
      <c r="A98" s="77" t="inlineStr">
        <is>
          <t>Q94</t>
        </is>
      </c>
      <c r="B98" s="77" t="inlineStr">
        <is>
          <t>GAS-SRMC IDENTITY TEST: British wholesale power IS gas marginal cost to within a few pounds in every non-crisis year; Germany only as a ceiling; China is a coal-anchor, not a market margin</t>
        </is>
      </c>
      <c r="C98" s="77" t="inlineStr">
        <is>
          <t>OWNER HYPOTHESIS 2026-07-25: high 2020s wholesale is gas, 'since it's the marginal producer'; proposed an LCOE chart. ANALYST RESPONSE: LCOE answers entry/anchor economics, not hourly price formation — the right test is the marginal-cost identity. BUILT: SRMC = (hub gas HHV + carbon x 0.18296 tCO2/MWh_th)/efficiency, central 50% HHV, corridor 46% (~NESO 0.394 intensity convention) to 55% (H-class). Inputs S198 (gas: Ofgem/ONS-SAP/BNetzA/EC/ACER primaries, EI SR 2025 bridge for UK 2010-13+2017 and TTF 2010-20, estimated=Y) and S199 (carbon cross-checks; prices themselves from the workbook's own carbon!r13/r5 series for house consistency). Diagnostic rows timeseries r119-125; nothing downstream reads them. RESULT UK — THE IDENTITY HOLDS: DA minus SRMC50, calm years (excl 2021-22), mean +3.7 GBP/MWh, SD 3.5; 2013 +1.4, 2023 +2.4, 2024 -1.8, 2025 -0.8. The only material excursions: 2016 +10.6 (French nuclear outage autumn) and the crisis years +24/+35 (scarcity + within-year shape at annual granularity). Gas does not merely set the British price often — at annual resolution there is essentially NOTHING in the British wholesale price except gas fuel cost and carbon. Carbon is not a minor term: the UK applicable price (UKA/EUA + CPS) contributes ~24-27% of SRMC in 2023-25 (2025: 11.96 of 84.7) and the CPS wedge is why UK carbon cost exceeded the German from 2013 to ~2020. RESULT DE — GAS IS A CEILING, NOT THE PRICE: DA minus SRMC50 runs -8.5 mean 2012-18 (hard coal/lignite at the margin; gas SRMC was NOT the German price), ~0 in 2019-21 (fuel-switch era), -13.9 mean 2023-25 (gas sets a shrinking share of hours; renewables/coal displace it). SO: the UK-DE observed wholesale difference is a MERIT-ORDER difference, not a hub-price difference — NBP and TTF track each other. RESULT CN: no marginal-pricing market at all (catalogue/benchmark +-20% band anchored on coal); the China gap is a FUEL-ANCHOR difference — coal LCOE ~$65-67 (lcoe r21) + regulated formation + zero carbon (carbon tab A2). LCOE'S PROPER ROLE (owner's chart, correctly placed): the anchor comparison — CN coal $67 / CN CCGT $103 vs UK CCGT $186 (DESNZ EGC 2023, incl fuel+carbon at DESNZ assumptions) and DE GuD $121-201 (Fraunhofer ISE 2024) — and the 'LCOE does not bid' point: UK onshore wind $62 / solar $67 LCOE do not lower the hourly price while gas is marginal; they lower COSTS via CfDs/PPAs (a levy-side story the article already tells) and volumes, not the marginal price. CAVEATS: annual-average identity, not hourly stack modelling — no capture of within- year shape (visible 2021-22); UK gas 2010-13/2017 and TTF 2010-20 are EI-SR-derived (secondary, flagged); efficiency convention spans 46-55%, central 50% chosen a priori not fitted; SRMC starts 2013 UK / 2012 DE where the workbook carbon series start (ICAP 2010-11 EUA in S199 if ever needed). EXHIBIT: wholesale_anatomy.html (artifact wholesale-anatomy). Staging: gas_srmc_staging.md.</t>
        </is>
      </c>
      <c r="D98" s="77" t="inlineStr">
        <is>
          <t>High</t>
        </is>
      </c>
      <c r="E98" s="77" t="inlineStr">
        <is>
          <t>RESOLVED as a finding 2026-07-25 (supported, with the DE qualification). Feeds the article wholesale section when the owner decides. Re-run when DESNZ QEP/SAP and BNetzA MB2026 update; UK 2010-13 gas primaries and TTF 2010-18 primaries remain open gaps (EC CIRCABC login-gated).</t>
        </is>
      </c>
    </row>
    <row r="99">
      <c r="A99" s="77" t="inlineStr">
        <is>
          <t>Q95</t>
        </is>
      </c>
      <c r="B99" s="77" t="inlineStr">
        <is>
          <t>GAS RENT LEDGER: UKCS extraction is CHEAP by world standards — the bill question is who collects the price-minus-cost wedge; nationalise-at-cost ceiling ~3.5bn/yr, largely funded by cancelling the Exchequer take, duration-capped by an 18-month gas inventory</t>
        </is>
      </c>
      <c r="C99" s="77" t="inlineStr">
        <is>
          <t>OWNER QUESTIONS 2026-07-25: international unit-operating-cost comparison; 'would increasing E&amp;P spending and perhaps even nationalising the companies extracting gas materially lower the cost of gas for the UK?'; owner hypothesis that UK extraction costs are high but domestic gas avoids liquefaction/transport. FINDINGS: (1) LIKE-FOR-LIKE UOC COMPARISON IS NOT CONSTRUCTABLE (already documented r22): NSTA UOC is mixed oil+gas; other jurisdictions publish on different bases. The constructable comparison is DELIVERED COST BY ROUTE (r47, OIES-based): UK domestic &lt;$5/MMBtu, Norway pipe &lt;$6, Qatar LNG ~$5-6, US LNG full-cycle ~$8.5-9 at 2025 HH — against a 2025 market price ~$12 (TTF; NBP within ~$0.5). SO: UK extraction is NOT expensive by world standards; the owner's liquefaction intuition is CORRECT (~$4-5/MMBtu avoided vs a US cargo) but under market pricing that saving accrues as PRODUCER RENT, not a consumer discount — Norway is the proof (cheapest producer in Europe, consumers pay market, rent goes to the fund). (2) MORE E&amp;P SPENDING does not move the consumer price (price-taker, 3.5% of traded gas, section 9); cheaper extraction just widens the rent. (3) NATIONALISE-AND-SELL-AT-COST is a RENT TRANSFER, not a cost reduction. Ledger 2025 (r45): price 30.40 GBP/MWh, full-cycle cost proxy 20.29 (MIXED basis, flagged), wedge 10.11; at the 78% marginal rate the wedge splits Exchequer 7.89 / producer 2.22. CEILING (r46): 10.11 x 344 TWh = ~3.5bn GBP/yr = ~5 GBP/MWh across all gas consumed — vs HMRC actual take 4.47bn FY2024-25 (all UKCS incl oil) and OBR 2.7bn forecast 2025-26: the scheme is largely a transfer FROM the Exchequer, i.e. from taxpayers to gas users. DURATION: proven gas inventory ~1,020 TWh = 18 months of consumption / 3 years of production; the scheme's sustainability depends on the E&amp;P investment whose returns it confiscates (and capex already collapsed 22bn-&gt;6bn real, r42). ELECTRICITY VARIANT: directing at-cost gas to power stations would cut power SRMC materially (gas at 12 vs 30 -&gt; SRMC ~36 GBP/MWh) but is the same transfer at larger scale — a Strompreisbremse funded by foregone tax, eroding with the inventory. CAVEATS: cost proxy is mixed oil+gas (no gas-only exists — NG-148); 78% is marginal not average (allowances/decom relief); delivered-cost bases heterogeneous (2021 real-2022$ marginal-field stacks vs 2025 build-ups); NBP~TTF approx unsourced. Article: section 9 extension + fig12 (two panels). S202.</t>
        </is>
      </c>
      <c r="D99" s="77" t="inlineStr">
        <is>
          <t>High</t>
        </is>
      </c>
      <c r="E99" s="77" t="inlineStr">
        <is>
          <t>RESOLVED as a finding 2026-07-25. Owner-directed exhibit (market-vs-nationalised split bars) drawn as fig12 right panel. Re-run pieces: HMRC stats each Sept; OBR EFO; OIES updates; OGPM regime from 2030.</t>
        </is>
      </c>
    </row>
    <row r="100">
      <c r="A100" s="77" t="inlineStr">
        <is>
          <t>Q96</t>
        </is>
      </c>
      <c r="B100" s="77" t="inlineStr">
        <is>
          <t>UKCS RESOURCE LADDER &amp; FINDING CURVE: 2C discovered-but-unsanctioned (6.2 bn boe) is &gt;3x proven; the exploration yield is stable (50% success, GBP 2-4/boe) — the INPUT collapsed; sanctioning, not geology, binds at the 2030 horizon</t>
        </is>
      </c>
      <c r="C100" s="77" t="inlineStr">
        <is>
          <t>OWNER QUESTION 2026-07-25: 'data on potential reserves if E&amp;P were increased? Or can we construct new reserves vs E&amp;P spending?' BOTH constructable (r48-51, S203). (1) LADDER end-2024: 1P 1.9 / 2P 2.9 / 2C 6.2 bn boe (gas 2.0 = ~3,400 TWh = FIVE years of UK consumption, on top of 1.5 yrs in 1P) / mapped prospective 4.6 risked mean / 11.2 play-level. The discovered-but-unsanctioned stock is &gt;3x the proven stock; 2.0 bn boe of it sits on UNLICENSED acreage; only 0.3 bn boe of prospects are drill-ready. (2) FINDING CURVE: yield is documented and STABLE - ~50% exploration success over two decades, historic finding cost GBP 2-4/boe; what collapsed is input: E&amp;A origin wells 49 (2010) -&gt; 7 (2024; 3 expl = 10-yr low), E&amp;A capex 1.4bn -&gt; 0.1-0.2bn, discoveries 239/240/212 mmboe (2018-20) -&gt; &lt;=100/yr (2021-24) vs production 401 -&gt; replacement ratio -14% in 2024, and in 2024 exactly TWO consents moved &lt;50 mmboe from 2C to reserves. At the OGA KPI-era rate (200 mmboe/yr on ~1-1.5bn E&amp;A) exploration replaces roughly a third to half of gas production - the bigger near-term lever is SANCTIONING the existing 2C. (3) SCENARIOS: Westwood/OEUK low 2.57 vs high 4.26 bn boe to 2050 (delta 1.69 bn boe ~ 2,870 TWh-e over 25 yrs); NSTA central halves output again by 2030; discovery-&gt;production ~5 yrs. (4) STUDY IMPLICATION: none of this touches the PRICE (Q95 price-taker); it moves import share (OEUK: LNG 14% -&gt; &gt;25% by 2030 no-action vs 6% with support), the current account, and the DURATION of the Q95 rent arithmetic - sanctioning the 2C gas stretches the nationalise-at-cost runway from ~18 months toward 5+ years of consumption, at the cost of the 'substantial investment' (NSTA) whose returns the 78% regime and any confiscation debate govern. CAVEATS: wells series is OWN TABULATION from NSTA open data (published anchors agree within definitional variance); 2021/23/24 discoveries are &lt;= bounds; 2C viability heterogeneous (marginal/unlicensed dominated); prospective volumes risked but pre-drill; Westwood/OEUK is an industry-commissioned scenario set. Article: section 9 extension + fig13.</t>
        </is>
      </c>
      <c r="D100" s="77" t="inlineStr">
        <is>
          <t>Medium</t>
        </is>
      </c>
      <c r="E100" s="77" t="inlineStr">
        <is>
          <t>RESOLVED as a finding 2026-07-25. Re-run on each NSTA R&amp;R edition (~Oct) and Wells Insights (~Oct/Nov); watch the Jackdaw/Rosebank reserves reclassification.</t>
        </is>
      </c>
    </row>
    <row r="101">
      <c r="A101" s="77" t="inlineStr">
        <is>
          <t>Q97</t>
        </is>
      </c>
      <c r="B101" s="77" t="inlineStr">
        <is>
          <t>MEASURED EII EXEMPT SHARE: 12.33 TWh certificated / 11.98 TWh exempted in 2024-25 = 15.0% / 14.5% of UK industrial consumption but only 4.74% of all GB licensed supply — the back-solved ~15% (D68) is confirmed by measurement; ~85% of industrial volume holds no exemption</t>
        </is>
      </c>
      <c r="C101" s="77" t="inlineStr">
        <is>
          <t>OWNER QUEUE ITEM 2026-07-26: replace the back-solved exempt share with a measured figure. RESOLVED from primary sources, all load-bearing numbers re-verified in-session against the downloaded primaries (RO SY23 PDF Figure 5.5, DUKES 5.1.2 xlsx, LCCC daily CSV re-aggregated). (1) CLEAN MEASURE = Ofgem RO annual reports: suppliers declare total supply, supply to EII certificate holders, and volume excluded from the obligation — EII-only, GB-only, no other exclusions bundled (unlike FiT levelisation, which mixes in the much larger green-import exemption — do NOT use). Series banked timeseries r127-131. 2018-19..2024-25 excluded: 9.25/8.97/8.81/10.43/9.67/9.72/11.98 TWh; certificated supply 11.55..12.33; GB supply 278.9-&gt;252.6. (2) SHARES: excluded/GB-supply 3.32-&gt;4.74% (Ofgem-printed); certificated/DUKES-industrial 12.5-&gt;15.0%; excluded/DUKES-industrial 10.0-&gt;14.5%. The study's back-solved ~15% corresponds EXACTLY to certificated-supply / industrial-consumption in 2024-25 (12.329/82.366 = 14.97%). Step-up in 2024-25 is policy (85%-&gt;100% exemption from Apr-2024, SI 2024/419; realised 78-83% -&gt; 97.2%), not industrial growth. (3) CORROBORATION: LCCC CfD settlement basis r130 (10.61 TWh 2024-25, below RO declaration basis as expected; partial FY2026-27 4.78% of eligible demand — still rising); RO level calc 2026-27 forecasts 11.9 TWh exempt. (4) COHORT: no public register of certificate holders exists (probed gov.uk content API — 404s); official counts c.300 (UKIA 2024/64) -&gt; 370 (Apr-2024) -&gt; c.500 (Oct-2025) -&gt; 550 (Hansard 04.02.2026); relief ~GBP 400m/yr pre-uplift, NCC 60%-&gt;90% from Apr-2026 'up to 420m more'; eligibility threshold cut 20%-&gt;15% of GVA. (5) STUDY IMPLICATIONS: D68's 'exempt ~15% back-solved, never print as fact' can be UPGRADED to a measured fact (owner sign-off pending for article integration); QEP band averages are ~85% unexempt-weighted, validating the E1-centric reading of observed prices; measured uptake path 10-11% pre-crisis -&gt; 14.5% shows take-up real, growing, minority. CAVEATS: DUKES industrial includes ineligible autogeneration (share conservative); GB numerator vs UK denominator (NI has no EII exemption; UK industrial includes NI ~ small); RO SY23 footnote 53 misprints 9.72 (prior-year carryover) — internally consistent figure 11.98; counts are statements not a register. Exhibit exempt_share.html / artifact exempt-share (standalone-first per owner rule). S205.</t>
        </is>
      </c>
      <c r="D101" s="77" t="inlineStr">
        <is>
          <t>Medium</t>
        </is>
      </c>
      <c r="E101" s="77" t="inlineStr">
        <is>
          <t>RESOLVED as a finding 2026-07-26. Owner review of standalone exhibit pending before article integration (candidate: section 4/5 relief passage + D68 caveat upgrade). Re-run each Ofgem RO annual report (~Feb/Mar); LCCC CSV live for in-year reads.</t>
        </is>
      </c>
    </row>
    <row r="102">
      <c r="A102" s="77" t="inlineStr">
        <is>
          <t>Q98</t>
        </is>
      </c>
      <c r="B102" s="77" t="inlineStr">
        <is>
          <t>CCL RELIEF IS MEASURABLE AND WAS UNDER-MODELLED: min/met processes are fully exempt (2014+), and the QEP 3.4.2-minus-3.4.1 difference publishes how much CCL the band actually pays — 58% of the main rate in 2025, as low as 19% in 2010</t>
        </is>
      </c>
      <c r="C102" s="77" t="inlineStr">
        <is>
          <t>TRIGGER 2026-07-26: owner asked why the observed line excludes CCL, then whether firms can be exempted from it. FINDINGS. (1) TWO RELIEF ROUTES, only one of which the build knew about. The CCA reduced rate (electricity discount 92% from 01.04.2023 through 01.04.2027 per gov.uk CCL rates) was known and deliberately not modelled (D29: 'no privileged rate publishable'). The FULL EXEMPTION for mineralogical and metallurgical processes (HMRC Notice CCL1/3 s3.14 + Annex A, in force 01.04.2014, ~30 listed processes: cement, lime, flat glass, ceramics / steel, aluminium and other metal processing; covers ELECTRICITY, not just fuels) was NOT in the workbook at all — no mention anywhere before today. Electrolytic processes (chlor-alkali; hydrogen from 12.03.2026) are non-fuel use and also outside the levy. THREE of the study's FOUR output-index commodities (steel, aluminium, cement) sit inside the exemption; paper does not. (2) THE RELIEF IS MEASURED, NOT UNMEASURABLE. DESNZ publishes the same bands both ways; 3.4.2 minus 3.4.1 = CCL actually borne by the band. Extra Large band, CCL paid as % of statutory main rate: 2010 19.4 / 2012 27.7 / 2015 33.8 / 2018 51.7 / 2020 80.6 / 2021 91.0 / 2022 87.5 / 2023 51.6 / 2024 57.9 / 2025 58.4. The 2010-14 level (~20-25%) is consistent with near-universal CCA coverage at the then-80% discount; the climb to 91% by 2021 implies relief coverage FELL sharply across the decade; the 2022-&gt;2023 drop (87.5 -&gt; 51.6) is unexplained and worth a look. CAVEAT: derived as the difference of two published series whose band composition shifts year to year — read the level and the direction, not single-year moves. Banked timeseries r132-134 (diagnostic; nothing downstream reads them). (3) CONSEQUENCE FOR THE MODEL — see D71. E2 carried the full main rate; correct figure for a min/met EII is zero. E2 overstated by ~10 USD/MWh 2024-25 (the CCL was the ENTIRE residual levy in the exempt case — E2 levies now compute to exactly 0.00 in 2024 and 2025, confirming the article's own 'the residual is mainly the CCL'). Section-5 convergence inverts: relieved UK large now ~9 USD/MWh BELOW Germany. (4) OWN-ERROR NOTE. The excl-CCL observed basis was defended on the ground that the incl-CCL series would embed unmeasurable CCA relief. That reasoning was repeated to the owner before it was tested; it is wrong twice over — the relief is published (2), and the excl-CCL choice created a worse asymmetry, pairing an excl-tax UK observed line with an incl-tax UK stack and an incl-tax German observed line. OPEN: the 2022-&gt;2023 effective-rate drop; whether any archetype-level split (min/met vs paper) is worth modelling separately; CCA scheme successor arrangements beyond the current targets.</t>
        </is>
      </c>
      <c r="D102" s="77" t="inlineStr">
        <is>
          <t>High</t>
        </is>
      </c>
      <c r="E102" s="77" t="inlineStr">
        <is>
          <t>RESOLVED and ACTIONED as D71 2026-07-26. Re-run the effective-CCL series on each QEP annual update; re-check CCL1/3 Annex A if the archetype definition changes; revisit if a CCA successor scheme changes the discount.</t>
        </is>
      </c>
    </row>
    <row r="103">
      <c r="A103" s="77" t="inlineStr">
        <is>
          <t>Q99</t>
        </is>
      </c>
      <c r="B103" s="77" t="inlineStr">
        <is>
          <t>SUPERSEDED TNUoS DEMAND RESIDUAL IN THE STAGE-7 PROJECTION. stage7_network r22 and assumptions r75 carry NESO Five Year View v3.0 (18.09.2025) for the 2026/27 demand residual, GBP 7,520.83m. The NESO FINAL 2026/27 TNUoS tariffs (30.01.2026, doc 376336) put it at GBP 6,265.2m — 17% lower (Draft 6,312.8m). Total to Collect Final GBP 7,610.7m vs FYV 8,918.9m. NESO Table 17 forecast walk: Initial 6,239.6 -&gt; August 8,918.9 -&gt; Dec Draft 7,655.6 -&gt; Jan Final 7,610.7. The whole FYV path to GBP 11,755m (2030/31) rests on RIIO-ET3 DRAFT determinations; the Final came in ~GBP 1.5bn below business plans. r14 T-Demand4 Final values are correct and unaffected. NET EFFECT: stage-7 PROJECTED network charges are more likely too high than too low; do not quote any 2026/27+ network revenue figure until this is re-based.</t>
        </is>
      </c>
      <c r="C103" s="77" t="inlineStr">
        <is>
          <t>TRIGGER 2026-07-26: raised by the standalone grid-charge exhibit (grid_charges.html, artifact `grid-charges`), which tested and FALSIFIED the falling-utilisation theory of rising grid costs (system load factor moved &lt;4% while the charge moved 280%; in logs numerator 91% / denominator 9%; the real driver is BSUoS — UK large E1 grid charge $7.92-&gt;$30.30/MWh 2010-&gt;2025 of which BSUoS $2.51-&gt;$17.43 = 67% of the rise). Two null results also banked there: UK grid charges are BELOW German ones for unrelieved users at both archetypes (2025 large E1 UK 30.30 vs DE 33.69; medium UK 36.72 vs DE 53.66), and the EII grid lever is largely already pulled (NCC 90% from 01.04.2026; Ofgem CfI 26.03.2026 para 4.8: EIIs at 90% "would not experience a significant locational signal from network charges"). REGISTER-COLLISION NOTE: that exhibit's memory proposed this item be numbered Q98, but Q98 was taken the same day by the CCL re-basing thread (D71) in the article-writing stream. This item is Q99. The exhibit session did NOT write the workbook (md5 unchanged at the time of registration), so nothing else from it is banked here — see memory note grid-charges-exhibit.</t>
        </is>
      </c>
      <c r="D103" s="77" t="inlineStr">
        <is>
          <t>High</t>
        </is>
      </c>
      <c r="E103" s="77" t="inlineStr">
        <is>
          <t>PARTIALLY RESOLVED 2026-07-26. (1) DONE: stage7_network r22 relabelled as the FYV path and the published Final added at r23 (GBP 6,265.17m, doc 376336 Table 10, re-verified against the primary); assumptions r75 re-based 7.52 -&gt; 6.26517 bn. (2) CORRECTION TO THIS REGISTRATION, surfaced on inspection: the claim that "stage-7 projected network charges are more likely too high than too low" does not follow from r22/r75. Neither cell is referenced by any formula in the workbook — both are documentation. The charge paths that actually drive stage 7 (r17 T-Demand4 CENTRAL, r21 HV4 CENTRAL) already read the published FINAL for 2025/26 and 2026/27 (r14/r18) and the Initial Forecast for 2027/28 (r16/r20), and rescale the FYV years 2028/29-2030/31 by the IF/FYV chain factors D6/D7 (0.8367 / 0.8258), which already corrects most of the RIIO-ET3 Draft basis. (3) STILL OPEN, narrowed: 2028/29-2030/31 rest on FYV v3.0 built on the RIIO-ET3 DRAFT determination, chain-rescaled but not re-derived; the ET3 Final landed ~GBP 1.5bn below business plans. Re-derive when the grid material is folded into the article, or at the Sep-2026 FYV (Q49). Nothing in the ARTICLE quotes a 2026/27+ network revenue number — re-verified 2026-07-26.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U5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77" min="1" max="1"/>
    <col width="12" customWidth="1" style="77" min="2" max="2"/>
    <col width="22" customWidth="1" style="77" min="3" max="3"/>
    <col width="90" customWidth="1" style="77" min="21" max="21"/>
  </cols>
  <sheetData>
    <row r="1" ht="15" customHeight="1" s="78">
      <c r="A1" s="109" t="inlineStr">
        <is>
          <t>STAGE 4 RAW — UK series (nominal GBP). Charging years (Apr–Mar) mapped to calendar year per D4 (2025/26→2025).</t>
        </is>
      </c>
    </row>
    <row r="2" ht="15" customHeight="1" s="78">
      <c r="A2" s="77" t="inlineStr">
        <is>
          <t>All values verbatim from primary sources via stage4_staging_uk_*.md (retr. 2026-07-15) plus in-session retrievals (retr. 2026-07-15): NESO tables workbooks (HV4 residuals), NPg 2019/20 LC14 via Wayback (time bands), DESNZ QEP table_341.xlsx (observed bands). GAPS left blank — no interpolation (anti-fabrication).</t>
        </is>
      </c>
    </row>
    <row r="4" ht="15" customHeight="1" s="78">
      <c r="A4" s="143" t="inlineStr">
        <is>
          <t>Series</t>
        </is>
      </c>
      <c r="B4" s="143" t="inlineStr">
        <is>
          <t>Unit</t>
        </is>
      </c>
      <c r="C4" s="143" t="inlineStr">
        <is>
          <t>Case/notes</t>
        </is>
      </c>
      <c r="D4" s="143" t="n">
        <v>2010</v>
      </c>
      <c r="E4" s="143" t="n">
        <v>2011</v>
      </c>
      <c r="F4" s="143" t="n">
        <v>2012</v>
      </c>
      <c r="G4" s="143" t="n">
        <v>2013</v>
      </c>
      <c r="H4" s="143" t="n">
        <v>2014</v>
      </c>
      <c r="I4" s="143" t="n">
        <v>2015</v>
      </c>
      <c r="J4" s="143" t="n">
        <v>2016</v>
      </c>
      <c r="K4" s="143" t="n">
        <v>2017</v>
      </c>
      <c r="L4" s="143" t="n">
        <v>2018</v>
      </c>
      <c r="M4" s="143" t="n">
        <v>2019</v>
      </c>
      <c r="N4" s="143" t="n">
        <v>2020</v>
      </c>
      <c r="O4" s="143" t="n">
        <v>2021</v>
      </c>
      <c r="P4" s="143" t="n">
        <v>2022</v>
      </c>
      <c r="Q4" s="143" t="n">
        <v>2023</v>
      </c>
      <c r="R4" s="143" t="n">
        <v>2024</v>
      </c>
      <c r="S4" s="143" t="n">
        <v>2025</v>
      </c>
      <c r="T4" s="143" t="n">
        <v>2026</v>
      </c>
      <c r="U4" s="143" t="inlineStr">
        <is>
          <t>Source (source — table/page — retrieval date)</t>
        </is>
      </c>
    </row>
    <row r="6" ht="15" customHeight="1" s="78">
      <c r="A6" s="109" t="inlineStr">
        <is>
          <t>WHOLESALE (D21/D22)</t>
        </is>
      </c>
    </row>
    <row r="7" ht="15" customHeight="1" s="78">
      <c r="A7" s="77" t="inlineStr">
        <is>
          <t>Day-ahead baseload, annual avg (2010 = Jun–Dec only; 2026 = Jan–Mar YTD)</t>
        </is>
      </c>
      <c r="B7" s="77" t="inlineStr">
        <is>
          <t>£/MWh</t>
        </is>
      </c>
      <c r="C7" s="77" t="inlineStr">
        <is>
          <t>estimated=Y (annualised)</t>
        </is>
      </c>
      <c r="D7" s="77" t="n">
        <v>44.96</v>
      </c>
      <c r="E7" s="77" t="n">
        <v>48.2</v>
      </c>
      <c r="F7" s="77" t="n">
        <v>45.21</v>
      </c>
      <c r="G7" s="77" t="n">
        <v>50.8</v>
      </c>
      <c r="H7" s="77" t="n">
        <v>42.43</v>
      </c>
      <c r="I7" s="77" t="n">
        <v>40.75</v>
      </c>
      <c r="J7" s="77" t="n">
        <v>42.63</v>
      </c>
      <c r="K7" s="77" t="n">
        <v>46.31</v>
      </c>
      <c r="L7" s="77" t="n">
        <v>58.23</v>
      </c>
      <c r="M7" s="77" t="n">
        <v>43.74</v>
      </c>
      <c r="N7" s="77" t="n">
        <v>36.94</v>
      </c>
      <c r="O7" s="77" t="n">
        <v>127.47</v>
      </c>
      <c r="P7" s="77" t="n">
        <v>211.85</v>
      </c>
      <c r="Q7" s="77" t="n">
        <v>97.3</v>
      </c>
      <c r="R7" s="77" t="n">
        <v>75.69</v>
      </c>
      <c r="S7" s="77" t="n">
        <v>83.93000000000001</v>
      </c>
      <c r="T7" s="77" t="n">
        <v>90.41</v>
      </c>
      <c r="U7" s="77" t="inlineStr">
        <is>
          <t>Ofgem data portal, Day Ahead Baseload Contracts – Monthly Average (GB), everviz n9WSDfgxc (chart CSV) — annual avg of monthly values — retr. 2026-07-15</t>
        </is>
      </c>
    </row>
    <row r="8" ht="15" customHeight="1" s="78">
      <c r="A8" s="77" t="inlineStr">
        <is>
          <t>Year-ahead forward, annual avg by OBSERVATION year (2021 = Feb–Dec; 2026 = 13 wks YTD)</t>
        </is>
      </c>
      <c r="B8" s="77" t="inlineStr">
        <is>
          <t>£/MWh</t>
        </is>
      </c>
      <c r="C8" s="77" t="inlineStr">
        <is>
          <t>estimated=Y (annualised)</t>
        </is>
      </c>
      <c r="O8" s="77" t="n">
        <v>89.48999999999999</v>
      </c>
      <c r="P8" s="77" t="n">
        <v>273.71</v>
      </c>
      <c r="Q8" s="77" t="n">
        <v>127.45</v>
      </c>
      <c r="R8" s="77" t="n">
        <v>79.7</v>
      </c>
      <c r="S8" s="77" t="n">
        <v>81.20999999999999</v>
      </c>
      <c r="T8" s="77" t="n">
        <v>84.62</v>
      </c>
      <c r="U8" s="77" t="inlineStr">
        <is>
          <t>Ofgem data portal, Forward Delivery Contracts – Weekly Average (GB), everviz 0eDBSsofl (chart CSV) — retr. 2026-07-15. Series begins 01.02.2021.</t>
        </is>
      </c>
    </row>
    <row r="9" ht="15" customHeight="1" s="78">
      <c r="A9" s="77" t="inlineStr">
        <is>
          <t>WHOLESALE INPUT by DELIVERY year: day-ahead proxy ≤2021 (D22); YA(obs Y−1) from 2022</t>
        </is>
      </c>
      <c r="B9" s="77" t="inlineStr">
        <is>
          <t>£/MWh</t>
        </is>
      </c>
      <c r="C9" s="77" t="inlineStr">
        <is>
          <t>estimated=Y</t>
        </is>
      </c>
      <c r="D9" s="77">
        <f>D7</f>
        <v/>
      </c>
      <c r="E9" s="77">
        <f>E7</f>
        <v/>
      </c>
      <c r="F9" s="77">
        <f>F7</f>
        <v/>
      </c>
      <c r="G9" s="77">
        <f>G7</f>
        <v/>
      </c>
      <c r="H9" s="77">
        <f>H7</f>
        <v/>
      </c>
      <c r="I9" s="77">
        <f>I7</f>
        <v/>
      </c>
      <c r="J9" s="77">
        <f>J7</f>
        <v/>
      </c>
      <c r="K9" s="77">
        <f>K7</f>
        <v/>
      </c>
      <c r="L9" s="77">
        <f>L7</f>
        <v/>
      </c>
      <c r="M9" s="77">
        <f>M7</f>
        <v/>
      </c>
      <c r="N9" s="77">
        <f>N7</f>
        <v/>
      </c>
      <c r="O9" s="77">
        <f>O7</f>
        <v/>
      </c>
      <c r="P9" s="77">
        <f>O8</f>
        <v/>
      </c>
      <c r="Q9" s="77">
        <f>P8</f>
        <v/>
      </c>
      <c r="R9" s="77">
        <f>Q8</f>
        <v/>
      </c>
      <c r="S9" s="77">
        <f>R8</f>
        <v/>
      </c>
      <c r="T9" s="77">
        <f>S8</f>
        <v/>
      </c>
      <c r="U9" s="77" t="inlineStr">
        <is>
          <t>D21/D22 convention: rolling year-ahead; pre-2021 no free YA exists → day-ahead proxy, flagged. Convention asymmetry vs DE marked on charts.</t>
        </is>
      </c>
    </row>
    <row r="11" ht="15" customHeight="1" s="78">
      <c r="A11" s="109" t="inlineStr">
        <is>
          <t>LEVIES</t>
        </is>
      </c>
    </row>
    <row r="12" ht="15" customHeight="1" s="78">
      <c r="A12" s="77" t="inlineStr">
        <is>
          <t>RO buy-out price (obligation yr = charging yr)</t>
        </is>
      </c>
      <c r="B12" s="77" t="inlineStr">
        <is>
          <t>£/ROC</t>
        </is>
      </c>
      <c r="C12" s="77" t="inlineStr">
        <is>
          <t>E1</t>
        </is>
      </c>
      <c r="D12" s="77" t="n">
        <v>36.99</v>
      </c>
      <c r="E12" s="77" t="n">
        <v>38.69</v>
      </c>
      <c r="F12" s="77" t="n">
        <v>40.71</v>
      </c>
      <c r="G12" s="77" t="n">
        <v>42.02</v>
      </c>
      <c r="H12" s="77" t="n">
        <v>43.3</v>
      </c>
      <c r="I12" s="77" t="n">
        <v>44.33</v>
      </c>
      <c r="J12" s="77" t="n">
        <v>44.77</v>
      </c>
      <c r="K12" s="77" t="n">
        <v>45.58</v>
      </c>
      <c r="L12" s="77" t="n">
        <v>47.22</v>
      </c>
      <c r="M12" s="77" t="n">
        <v>48.78</v>
      </c>
      <c r="N12" s="77" t="n">
        <v>50.05</v>
      </c>
      <c r="O12" s="77" t="n">
        <v>50.8</v>
      </c>
      <c r="P12" s="77" t="n">
        <v>52.88</v>
      </c>
      <c r="Q12" s="77" t="n">
        <v>59.01</v>
      </c>
      <c r="R12" s="77" t="n">
        <v>64.73</v>
      </c>
      <c r="S12" s="77" t="n">
        <v>67.06</v>
      </c>
      <c r="T12" s="77" t="n">
        <v>69.34</v>
      </c>
      <c r="U12" s="77" t="inlineStr">
        <is>
          <t>Ofgem RO guidance for suppliers (OFG1164), Table 1.1 — retr. 2026-07-15. RPI-indexed to 25-26; 26-27 first CPI-indexed.</t>
        </is>
      </c>
    </row>
    <row r="13" ht="15" customHeight="1" s="78">
      <c r="A13" s="77" t="inlineStr">
        <is>
          <t>RO GB obligation</t>
        </is>
      </c>
      <c r="B13" s="77" t="inlineStr">
        <is>
          <t>ROC/MWh</t>
        </is>
      </c>
      <c r="C13" s="77" t="inlineStr">
        <is>
          <t>E1</t>
        </is>
      </c>
      <c r="D13" s="77" t="n">
        <v>0.111</v>
      </c>
      <c r="E13" s="77" t="n">
        <v>0.124</v>
      </c>
      <c r="F13" s="77" t="n">
        <v>0.158</v>
      </c>
      <c r="G13" s="77" t="n">
        <v>0.206</v>
      </c>
      <c r="H13" s="77" t="n">
        <v>0.244</v>
      </c>
      <c r="I13" s="77" t="n">
        <v>0.29</v>
      </c>
      <c r="J13" s="77" t="n">
        <v>0.348</v>
      </c>
      <c r="K13" s="77" t="n">
        <v>0.409</v>
      </c>
      <c r="L13" s="77" t="n">
        <v>0.468</v>
      </c>
      <c r="M13" s="77" t="n">
        <v>0.484</v>
      </c>
      <c r="N13" s="77" t="n">
        <v>0.471</v>
      </c>
      <c r="O13" s="77" t="n">
        <v>0.492</v>
      </c>
      <c r="P13" s="77" t="n">
        <v>0.491</v>
      </c>
      <c r="Q13" s="77" t="n">
        <v>0.469</v>
      </c>
      <c r="R13" s="77" t="n">
        <v>0.491</v>
      </c>
      <c r="S13" s="77" t="n">
        <v>0.493</v>
      </c>
      <c r="T13" s="77" t="n">
        <v>0.472</v>
      </c>
      <c r="U13" s="77" t="inlineStr">
        <is>
          <t>Same, Table 1.1.</t>
        </is>
      </c>
    </row>
    <row r="14" ht="15" customHeight="1" s="78">
      <c r="A14" s="77" t="inlineStr">
        <is>
          <t>RO effective cost = buy-out × obligation (ignores recycle value)</t>
        </is>
      </c>
      <c r="B14" s="77" t="inlineStr">
        <is>
          <t>£/MWh</t>
        </is>
      </c>
      <c r="C14" s="77" t="inlineStr">
        <is>
          <t>estimated=Y</t>
        </is>
      </c>
      <c r="D14" s="77">
        <f>D12*D13</f>
        <v/>
      </c>
      <c r="E14" s="77">
        <f>E12*E13</f>
        <v/>
      </c>
      <c r="F14" s="77">
        <f>F12*F13</f>
        <v/>
      </c>
      <c r="G14" s="77">
        <f>G12*G13</f>
        <v/>
      </c>
      <c r="H14" s="77">
        <f>H12*H13</f>
        <v/>
      </c>
      <c r="I14" s="77">
        <f>I12*I13</f>
        <v/>
      </c>
      <c r="J14" s="77">
        <f>J12*J13</f>
        <v/>
      </c>
      <c r="K14" s="77">
        <f>K12*K13</f>
        <v/>
      </c>
      <c r="L14" s="77">
        <f>L12*L13</f>
        <v/>
      </c>
      <c r="M14" s="77">
        <f>M12*M13</f>
        <v/>
      </c>
      <c r="N14" s="77">
        <f>N12*N13</f>
        <v/>
      </c>
      <c r="O14" s="77">
        <f>O12*O13</f>
        <v/>
      </c>
      <c r="P14" s="77">
        <f>P12*P13</f>
        <v/>
      </c>
      <c r="Q14" s="77">
        <f>Q12*Q13</f>
        <v/>
      </c>
      <c r="R14" s="77">
        <f>R12*R13</f>
        <v/>
      </c>
      <c r="S14" s="77">
        <f>S12*S13</f>
        <v/>
      </c>
      <c r="T14" s="77">
        <f>T12*T13</f>
        <v/>
      </c>
      <c r="U14" s="77" t="inlineStr">
        <is>
          <t>Computed product — estimated=Y.</t>
        </is>
      </c>
    </row>
    <row r="15" ht="15" customHeight="1" s="78">
      <c r="A15" s="77" t="inlineStr">
        <is>
          <t>CfD Interim Levy Rate Q1</t>
        </is>
      </c>
      <c r="B15" s="77" t="inlineStr">
        <is>
          <t>£/MWh</t>
        </is>
      </c>
      <c r="C15" s="77" t="inlineStr">
        <is>
          <t>mid-qtr resets avg (est=Y)</t>
        </is>
      </c>
      <c r="K15" s="77" t="n">
        <v>0.956</v>
      </c>
      <c r="L15" s="77" t="n">
        <v>2.856</v>
      </c>
      <c r="M15" s="77" t="n">
        <v>3.528</v>
      </c>
      <c r="N15" s="77" t="n">
        <v>5.848</v>
      </c>
      <c r="O15" s="77" t="n">
        <v>8.282999999999999</v>
      </c>
      <c r="P15" s="77" t="n">
        <v>0</v>
      </c>
      <c r="Q15" s="77" t="n">
        <v>0</v>
      </c>
      <c r="R15" s="77" t="n">
        <v>4.54</v>
      </c>
      <c r="S15" s="77" t="n">
        <v>7.608</v>
      </c>
      <c r="T15" s="77" t="n">
        <v>10.576</v>
      </c>
      <c r="U15" s="77" t="inlineStr">
        <is>
          <t>LCCC, Actual ILR Income dataset (dp.lowcarboncontracts.uk) — retr. 2026-07-15. 2016Q4 &amp; 2023Q2 reset mid-quarter (simple within-qtr avg, estimated=Y). 2015/16 GAP.</t>
        </is>
      </c>
    </row>
    <row r="16" ht="15" customHeight="1" s="78">
      <c r="A16" s="77" t="inlineStr">
        <is>
          <t>CfD Interim Levy Rate Q2</t>
        </is>
      </c>
      <c r="B16" s="77" t="inlineStr">
        <is>
          <t>£/MWh</t>
        </is>
      </c>
      <c r="C16" s="77" t="inlineStr">
        <is>
          <t>mid-qtr resets avg (est=Y)</t>
        </is>
      </c>
      <c r="J16" s="77" t="n">
        <v>0</v>
      </c>
      <c r="K16" s="77" t="n">
        <v>1.513</v>
      </c>
      <c r="L16" s="77" t="n">
        <v>3.82</v>
      </c>
      <c r="M16" s="77" t="n">
        <v>4.88</v>
      </c>
      <c r="N16" s="77" t="n">
        <v>7.469</v>
      </c>
      <c r="O16" s="77" t="n">
        <v>9.954000000000001</v>
      </c>
      <c r="P16" s="77" t="n">
        <v>0</v>
      </c>
      <c r="Q16" s="77" t="n">
        <v>1.9095</v>
      </c>
      <c r="R16" s="77" t="n">
        <v>11.522</v>
      </c>
      <c r="S16" s="77" t="n">
        <v>9.257</v>
      </c>
      <c r="T16" s="77" t="n">
        <v>10.26</v>
      </c>
    </row>
    <row r="17" ht="15" customHeight="1" s="78">
      <c r="A17" s="77" t="inlineStr">
        <is>
          <t>CfD Interim Levy Rate Q3</t>
        </is>
      </c>
      <c r="B17" s="77" t="inlineStr">
        <is>
          <t>£/MWh</t>
        </is>
      </c>
      <c r="C17" s="77" t="inlineStr">
        <is>
          <t>mid-qtr resets avg (est=Y)</t>
        </is>
      </c>
      <c r="J17" s="77" t="n">
        <v>0.005</v>
      </c>
      <c r="K17" s="77" t="n">
        <v>1.553</v>
      </c>
      <c r="L17" s="77" t="n">
        <v>3.899</v>
      </c>
      <c r="M17" s="77" t="n">
        <v>5.448</v>
      </c>
      <c r="N17" s="77" t="n">
        <v>8.532</v>
      </c>
      <c r="O17" s="77" t="n">
        <v>6.373</v>
      </c>
      <c r="P17" s="77" t="n">
        <v>0</v>
      </c>
      <c r="Q17" s="77" t="n">
        <v>5.438</v>
      </c>
      <c r="R17" s="77" t="n">
        <v>11.816</v>
      </c>
      <c r="S17" s="77" t="n">
        <v>8.811999999999999</v>
      </c>
      <c r="T17" s="77" t="n">
        <v>10.559</v>
      </c>
    </row>
    <row r="18" ht="15" customHeight="1" s="78">
      <c r="A18" s="77" t="inlineStr">
        <is>
          <t>CfD Interim Levy Rate Q4</t>
        </is>
      </c>
      <c r="B18" s="77" t="inlineStr">
        <is>
          <t>£/MWh</t>
        </is>
      </c>
      <c r="C18" s="77" t="inlineStr">
        <is>
          <t>mid-qtr resets avg (est=Y)</t>
        </is>
      </c>
      <c r="J18" s="77" t="n">
        <v>0.805</v>
      </c>
      <c r="K18" s="77" t="n">
        <v>2.517</v>
      </c>
      <c r="L18" s="77" t="n">
        <v>3.669</v>
      </c>
      <c r="M18" s="77" t="n">
        <v>6.237</v>
      </c>
      <c r="N18" s="77" t="n">
        <v>9.733000000000001</v>
      </c>
      <c r="O18" s="77" t="n">
        <v>0</v>
      </c>
      <c r="P18" s="77" t="n">
        <v>0</v>
      </c>
      <c r="Q18" s="77" t="n">
        <v>5.798</v>
      </c>
      <c r="R18" s="77" t="n">
        <v>8.75</v>
      </c>
      <c r="S18" s="77" t="n">
        <v>10.298</v>
      </c>
    </row>
    <row r="19" ht="15" customHeight="1" s="78">
      <c r="A19" s="77" t="inlineStr">
        <is>
          <t>CfD ILR annual avg (2016 = Q2–Q4 only; 2026 = Q1–Q3)</t>
        </is>
      </c>
      <c r="B19" s="77" t="inlineStr">
        <is>
          <t>£/MWh</t>
        </is>
      </c>
      <c r="C19" s="77" t="inlineStr">
        <is>
          <t>estimated=Y</t>
        </is>
      </c>
      <c r="J19" s="77">
        <f>AVERAGE(J15:J18)</f>
        <v/>
      </c>
      <c r="K19" s="77">
        <f>AVERAGE(K15:K18)</f>
        <v/>
      </c>
      <c r="L19" s="77">
        <f>AVERAGE(L15:L18)</f>
        <v/>
      </c>
      <c r="M19" s="77">
        <f>AVERAGE(M15:M18)</f>
        <v/>
      </c>
      <c r="N19" s="77">
        <f>AVERAGE(N15:N18)</f>
        <v/>
      </c>
      <c r="O19" s="77">
        <f>AVERAGE(O15:O18)</f>
        <v/>
      </c>
      <c r="P19" s="77">
        <f>AVERAGE(P15:P18)</f>
        <v/>
      </c>
      <c r="Q19" s="77">
        <f>AVERAGE(Q15:Q18)</f>
        <v/>
      </c>
      <c r="R19" s="77">
        <f>AVERAGE(R15:R18)</f>
        <v/>
      </c>
      <c r="S19" s="77">
        <f>AVERAGE(S15:S18)</f>
        <v/>
      </c>
      <c r="T19" s="77">
        <f>AVERAGE(T15:T18)</f>
        <v/>
      </c>
      <c r="U19" s="77" t="inlineStr">
        <is>
          <t>Average of quarters above.</t>
        </is>
      </c>
    </row>
    <row r="20" ht="15" customHeight="1" s="78">
      <c r="A20" s="77" t="inlineStr">
        <is>
          <t>FiT levelisation effective cost = fund ÷ Total Relevant Electricity Supplied (Ofgem publishes no £/MWh). 2010–14: DUKES-anchored denominator (D27, estimated=Y). 2025/26 (SY16) unpublished — blank.</t>
        </is>
      </c>
      <c r="B20" s="77" t="inlineStr">
        <is>
          <t>£/MWh</t>
        </is>
      </c>
      <c r="C20" s="77" t="inlineStr">
        <is>
          <t>E1; 2010–14 estimated=Y (D27)</t>
        </is>
      </c>
      <c r="D20" s="77" t="n">
        <v>0.0463</v>
      </c>
      <c r="E20" s="77" t="n">
        <v>0.4998</v>
      </c>
      <c r="F20" s="77" t="n">
        <v>1.6761</v>
      </c>
      <c r="G20" s="77" t="n">
        <v>2.3011</v>
      </c>
      <c r="H20" s="77" t="n">
        <v>3.0107</v>
      </c>
      <c r="I20" s="77" t="n">
        <v>4.311</v>
      </c>
      <c r="J20" s="77" t="n">
        <v>4.621</v>
      </c>
      <c r="K20" s="77" t="n">
        <v>4.993</v>
      </c>
      <c r="L20" s="77" t="n">
        <v>5.303</v>
      </c>
      <c r="M20" s="77" t="n">
        <v>6.048</v>
      </c>
      <c r="N20" s="77" t="n">
        <v>6.743</v>
      </c>
      <c r="O20" s="77" t="n">
        <v>5.27</v>
      </c>
      <c r="P20" s="77" t="n">
        <v>6.268</v>
      </c>
      <c r="Q20" s="77" t="n">
        <v>7.266</v>
      </c>
      <c r="R20" s="77" t="n">
        <v>7.161</v>
      </c>
      <c r="U20" s="77" t="inlineStr">
        <is>
          <t>Ofgem FIT Annual Reports SY1–SY15 (fund £; relevant supply from SY6): ofgem.gov.uk …/feed_in_tariff_annual_report_sy15_20251210120852.pdf et al. — retr. 2026-07-15. 2010–14 denominator = DUKES 5.1.2 UK final consumption × 0.94773 (anchor: Ofgem SY6 GB total supply 288.006 TWh / DUKES 2015 303.89 TWh); base excludes GoO carve-out → £/MWh understated (direction stated). EII exemption from SY10 (2019/20) at 85%; 100% from 04/2024. Fund ≠ amount levelised (fund used).</t>
        </is>
      </c>
    </row>
    <row r="21" ht="15" customHeight="1" s="78">
      <c r="A21" s="77" t="inlineStr">
        <is>
          <t>Capacity Market per-MWh (uniform-operation): derived window rate (settled payments ÷ chargeable window demand) × window-hours share of DY (D30). Scheme from DY2016/17 (TA) — blank pre-2017 = structurally n/a.</t>
        </is>
      </c>
      <c r="B21" s="77" t="inlineStr">
        <is>
          <t>£/MWh</t>
        </is>
      </c>
      <c r="C21" s="77" t="inlineStr">
        <is>
          <t>E1; estimated=Y (derived, D30)</t>
        </is>
      </c>
      <c r="K21" s="77" t="n">
        <v>0.039</v>
      </c>
      <c r="L21" s="77" t="n">
        <v>0.8942</v>
      </c>
      <c r="M21" s="77" t="n">
        <v>2.3374</v>
      </c>
      <c r="N21" s="77" t="n">
        <v>2.1396</v>
      </c>
      <c r="O21" s="77" t="n">
        <v>2.9759</v>
      </c>
      <c r="P21" s="77" t="n">
        <v>1.4474</v>
      </c>
      <c r="Q21" s="77" t="n">
        <v>2.0275</v>
      </c>
      <c r="R21" s="77" t="n">
        <v>3.1982</v>
      </c>
      <c r="S21" s="77" t="n">
        <v>3.2975</v>
      </c>
      <c r="T21" s="77" t="n">
        <v>4.9812</v>
      </c>
      <c r="U21" s="77" t="inlineStr">
        <is>
          <t>EMRS Key Figures for Payments 2018/19–2025/26 (final recon. where done; 2022/23 pre-final — final delisted/unpublished; 2025/26 in-year 19.05.2026) via Wayback incl. SPN 20260715211143/20260715212444; DY2017/18 ESC APR 2018 (£390.1m / 12.4 TWh); DY2016/17 TA £17m w/ DY17/18 base (est). Window = 3h × E&amp;W working days Nov–Feb (82–84 d/yr); DY→later calendar yr. EII exempt from DY2024/25 (SI 2024/434, in force 01.04.2024). — retr. 2026-07-15</t>
        </is>
      </c>
    </row>
    <row r="22" ht="15" customHeight="1" s="78">
      <c r="A22" s="77" t="inlineStr">
        <is>
          <t>CCL electricity main rate (rate from 1 April of year, per D4 mapping)</t>
        </is>
      </c>
      <c r="B22" s="77" t="inlineStr">
        <is>
          <t>p/kWh</t>
        </is>
      </c>
      <c r="C22" s="77" t="inlineStr">
        <is>
          <t>E1+E2</t>
        </is>
      </c>
      <c r="D22" s="77" t="n">
        <v>0.47</v>
      </c>
      <c r="E22" s="77" t="n">
        <v>0.485</v>
      </c>
      <c r="F22" s="77" t="n">
        <v>0.509</v>
      </c>
      <c r="G22" s="77" t="n">
        <v>0.524</v>
      </c>
      <c r="H22" s="77" t="n">
        <v>0.541</v>
      </c>
      <c r="I22" s="77" t="n">
        <v>0.554</v>
      </c>
      <c r="J22" s="77" t="n">
        <v>0.5590000000000001</v>
      </c>
      <c r="K22" s="77" t="n">
        <v>0.5679999999999999</v>
      </c>
      <c r="L22" s="77" t="n">
        <v>0.583</v>
      </c>
      <c r="M22" s="77" t="n">
        <v>0.847</v>
      </c>
      <c r="N22" s="77" t="n">
        <v>0.8110000000000001</v>
      </c>
      <c r="O22" s="77" t="n">
        <v>0.775</v>
      </c>
      <c r="P22" s="77" t="n">
        <v>0.775</v>
      </c>
      <c r="Q22" s="77" t="n">
        <v>0.775</v>
      </c>
      <c r="R22" s="77" t="n">
        <v>0.775</v>
      </c>
      <c r="S22" s="77" t="n">
        <v>0.775</v>
      </c>
      <c r="T22" s="77" t="n">
        <v>0.801</v>
      </c>
      <c r="U22" s="77" t="inlineStr">
        <is>
          <t>HMRC Environmental Taxes Bulletin, historical rates Table 1 (upd. 31.03.2026) — retr. 2026-07-15. CCA discount NOT modelled in E2 (archetype not assumed to hold a CCA — qc).</t>
        </is>
      </c>
    </row>
    <row r="24" ht="15" customHeight="1" s="78">
      <c r="A24" s="109" t="inlineStr">
        <is>
          <t>NETWORK</t>
        </is>
      </c>
    </row>
    <row r="25" ht="15" customHeight="1" s="78">
      <c r="A25" s="77" t="inlineStr">
        <is>
          <t>TNUoS zone 5 (Yorkshire) HH demand tariff, triad era (2010 = effective incl. 01.12.2010 mid-year change)</t>
        </is>
      </c>
      <c r="B25" s="77" t="inlineStr">
        <is>
          <t>£/kW</t>
        </is>
      </c>
      <c r="C25" s="77" t="inlineStr">
        <is>
          <t>per archetype</t>
        </is>
      </c>
      <c r="D25" s="77" t="n">
        <v>17.669144</v>
      </c>
      <c r="E25" s="77" t="n">
        <v>19.582975</v>
      </c>
      <c r="F25" s="77" t="n">
        <v>23.180244</v>
      </c>
      <c r="G25" s="77" t="n">
        <v>25.485035</v>
      </c>
      <c r="H25" s="77" t="n">
        <v>30.248609</v>
      </c>
      <c r="I25" s="77" t="n">
        <v>36.28769</v>
      </c>
      <c r="J25" s="77" t="n">
        <v>42.493827</v>
      </c>
      <c r="K25" s="77" t="n">
        <v>44.967107</v>
      </c>
      <c r="L25" s="77" t="n">
        <v>44.073211</v>
      </c>
      <c r="M25" s="77" t="n">
        <v>48.039318</v>
      </c>
      <c r="N25" s="77" t="n">
        <v>47.83468</v>
      </c>
      <c r="O25" s="77" t="n">
        <v>48.696198</v>
      </c>
      <c r="P25" s="77" t="n">
        <v>51.83943</v>
      </c>
      <c r="U25" s="77" t="inlineStr">
        <is>
          <t>NESO compendium TNUoS Tariffs 2005-06 to 2019-20 (doc 50736), sheets Dem YYYY-YY; 2020/21–2022/23 per-year Final Tariffs workbooks (docs 162436/186181/235026) — retr. 2026-07-15. Charged on avg demand over the 3 triad half-hours (CUSC s.14); flat-baseload: triad demand = avg demand (analyst note, est=Y).</t>
        </is>
      </c>
    </row>
    <row r="26" ht="15" customHeight="1" s="78">
      <c r="A26" s="77" t="inlineStr">
        <is>
          <t>TNUoS T-Demand4 residual (transmission-connected, large archetype), TCR era</t>
        </is>
      </c>
      <c r="B26" s="77" t="inlineStr">
        <is>
          <t>£/site/day</t>
        </is>
      </c>
      <c r="C26" s="77" t="inlineStr">
        <is>
          <t>large</t>
        </is>
      </c>
      <c r="Q26" s="77" t="n">
        <v>11722.399177</v>
      </c>
      <c r="R26" s="77" t="n">
        <v>11958.120683</v>
      </c>
      <c r="S26" s="77" t="n">
        <v>12796.715359</v>
      </c>
      <c r="T26" s="77" t="n">
        <v>20829.236682</v>
      </c>
      <c r="U26" s="77" t="inlineStr">
        <is>
          <t>NESO Final TNUoS tables: 2023/24 doc 275726 T10; 2024/25 doc 301731 T10; 2025/26 doc 353086 Table 10 p.23; 2026/27 doc 376341 — retr. 2026-07-14/15. Zone-5 locational = 0 (floored) 2023/24+.</t>
        </is>
      </c>
    </row>
    <row r="27" ht="15" customHeight="1" s="78">
      <c r="A27" s="77" t="inlineStr">
        <is>
          <t>TNUoS HV4 residual (distribution-connected HV, medium archetype), TCR era</t>
        </is>
      </c>
      <c r="B27" s="77" t="inlineStr">
        <is>
          <t>£/site/day</t>
        </is>
      </c>
      <c r="C27" s="77" t="inlineStr">
        <is>
          <t>medium; band inferred (D12)</t>
        </is>
      </c>
      <c r="Q27" s="77" t="n">
        <v>276.988323</v>
      </c>
      <c r="R27" s="77" t="n">
        <v>243.634626</v>
      </c>
      <c r="S27" s="77" t="n">
        <v>317.597969</v>
      </c>
      <c r="T27" s="77" t="n">
        <v>528.912335</v>
      </c>
      <c r="U27" s="77" t="inlineStr">
        <is>
          <t>NESO Final TNUoS tables workbooks, Table 10 (Non-locational banded charges), Final column: 2023/24 doc 275726; 2024/25 doc 301731; 2025/26 doc 353061; 2026/27 doc 376341 — retr. 2026-07-15.</t>
        </is>
      </c>
    </row>
    <row r="28" ht="15" customHeight="1" s="78">
      <c r="A28" s="77" t="inlineStr">
        <is>
          <t>BSUoS fixed tariff Apr–Sep (FT3/5/7)</t>
        </is>
      </c>
      <c r="B28" s="77" t="inlineStr">
        <is>
          <t>£/MWh</t>
        </is>
      </c>
      <c r="C28" s="77" t="inlineStr">
        <is>
          <t>E1+E2</t>
        </is>
      </c>
      <c r="Q28" s="77" t="n">
        <v>13.41</v>
      </c>
      <c r="R28" s="77" t="n">
        <v>7.63</v>
      </c>
      <c r="S28" s="77" t="n">
        <v>10.74</v>
      </c>
      <c r="T28" s="77" t="n">
        <v>13.74</v>
      </c>
      <c r="U28" s="77" t="inlineStr">
        <is>
          <t>NESO Data Portal bsuos-fixed-tariffs.csv (dataset 6c862622…, Final rows): FT1 13.41 / FT2 14.03 (publ. 31.01.2023) — primary-verified 2026-07-15 (supersedes earlier GAP note); FT3–FT8 cross-checked identical. Demand-only from 2023/24 (CMP308/361).</t>
        </is>
      </c>
    </row>
    <row r="29" ht="15" customHeight="1" s="78">
      <c r="A29" s="77" t="inlineStr">
        <is>
          <t>BSUoS fixed tariff Oct–Mar (FT4/6/8)</t>
        </is>
      </c>
      <c r="B29" s="77" t="inlineStr">
        <is>
          <t>£/MWh</t>
        </is>
      </c>
      <c r="C29" s="77" t="inlineStr">
        <is>
          <t>E1+E2</t>
        </is>
      </c>
      <c r="Q29" s="77" t="n">
        <v>14.03</v>
      </c>
      <c r="R29" s="77" t="n">
        <v>12.17</v>
      </c>
      <c r="S29" s="77" t="n">
        <v>15.69</v>
      </c>
      <c r="T29" s="77" t="n">
        <v>12.49</v>
      </c>
      <c r="U29" s="77" t="inlineStr">
        <is>
          <t>NESO docs 317671 / 375861 — retr. 2026-07-15.</t>
        </is>
      </c>
    </row>
    <row r="30" ht="15" customHeight="1" s="78">
      <c r="A30" s="77" t="inlineStr">
        <is>
          <t>BSUoS charging-year avg (= calendar per D4)</t>
        </is>
      </c>
      <c r="B30" s="77" t="inlineStr">
        <is>
          <t>£/MWh</t>
        </is>
      </c>
      <c r="C30" s="77" t="inlineStr">
        <is>
          <t>estimated=Y (own computation from NESO HH RF files; unweighted = flat-profile user)</t>
        </is>
      </c>
      <c r="D30" s="77" t="n">
        <v>1.1005</v>
      </c>
      <c r="E30" s="77" t="n">
        <v>1.5049</v>
      </c>
      <c r="F30" s="77" t="n">
        <v>1.5095</v>
      </c>
      <c r="G30" s="77" t="n">
        <v>1.8574</v>
      </c>
      <c r="H30" s="77" t="n">
        <v>2.0209</v>
      </c>
      <c r="I30" s="77" t="n">
        <v>2.1759</v>
      </c>
      <c r="J30" s="77" t="n">
        <v>2.5868</v>
      </c>
      <c r="K30" s="77" t="n">
        <v>2.529</v>
      </c>
      <c r="L30" s="77" t="n">
        <v>3.095</v>
      </c>
      <c r="M30" s="77" t="n">
        <v>3.6718</v>
      </c>
      <c r="N30" s="77" t="n">
        <v>4.9484</v>
      </c>
      <c r="O30" s="77" t="n">
        <v>6.914</v>
      </c>
      <c r="P30" s="77" t="n">
        <v>9.311199999999999</v>
      </c>
      <c r="Q30" s="77">
        <f>AVERAGE(Q28,Q29)</f>
        <v/>
      </c>
      <c r="R30" s="77">
        <f>AVERAGE(R28,R29)</f>
        <v/>
      </c>
      <c r="S30" s="77">
        <f>AVERAGE(S28,S29)</f>
        <v/>
      </c>
      <c r="T30" s="77">
        <f>AVERAGE(T28,T29)</f>
        <v/>
      </c>
      <c r="U30" s="77" t="inlineStr">
        <is>
          <t>2010/11–2022/23: unweighted mean of NESO half-hourly RF settlement BSUoS prices (neso.energy docs 47481/47476/47471/47466/47461/104301 + Data Portal 2016-2023-rf.csv), full Apr–Mar coverage each yr; x-check CUSC CMP250 FMR Table 2 matches to the penny 2011/12–2015/16. Unweighted = what a flat-profile (archetype) user pays; volume-weighted variant banked in staging file. 2023 = avg(FT1,FT2). — retr. 2026-07-15</t>
        </is>
      </c>
    </row>
    <row r="31" ht="15" customHeight="1" s="78">
      <c r="A31" s="77" t="inlineStr">
        <is>
          <t>AAHEDC total scheme tariff</t>
        </is>
      </c>
      <c r="B31" s="77" t="inlineStr">
        <is>
          <t>p/kWh</t>
        </is>
      </c>
      <c r="C31" s="77" t="inlineStr">
        <is>
          <t>E1+E2 (not in NCC base — qc)</t>
        </is>
      </c>
      <c r="D31" s="77" t="n">
        <v>0.016091</v>
      </c>
      <c r="E31" s="77" t="n">
        <v>0.016297</v>
      </c>
      <c r="F31" s="77" t="n">
        <v>0.017886</v>
      </c>
      <c r="G31" s="77" t="n">
        <v>0.018972</v>
      </c>
      <c r="H31" s="77" t="n">
        <v>0.021361</v>
      </c>
      <c r="I31" s="77" t="n">
        <v>0.021649</v>
      </c>
      <c r="J31" s="77" t="n">
        <v>0.023129</v>
      </c>
      <c r="K31" s="77" t="n">
        <v>0.023116</v>
      </c>
      <c r="L31" s="77" t="n">
        <v>0.024527</v>
      </c>
      <c r="M31" s="77" t="n">
        <v>0.02627</v>
      </c>
      <c r="N31" s="77" t="n">
        <v>0.030446</v>
      </c>
      <c r="O31" s="77" t="n">
        <v>0.040427</v>
      </c>
      <c r="P31" s="77" t="n">
        <v>0.04067</v>
      </c>
      <c r="Q31" s="77" t="n">
        <v>0.042038</v>
      </c>
      <c r="R31" s="77" t="n">
        <v>0.042145</v>
      </c>
      <c r="S31" s="77" t="n">
        <v>0.040984</v>
      </c>
      <c r="T31" s="77" t="n">
        <v>0.044269</v>
      </c>
      <c r="U31" s="77" t="inlineStr">
        <is>
          <t>2010/11–2020/21: NG/ESO AAHEDC charging statements &amp; final tariff letters (neso.energy docs 47306/47316/47301/47271/47261/47236/47226/101676/119396/148076/173046) — retr. 2026-07-15. 2021/22+ NESO Data Portal CSV (incl. Shetland component from 2021/22 — step flagged). GAP closed.</t>
        </is>
      </c>
    </row>
    <row r="33" ht="15" customHeight="1" s="78">
      <c r="A33" s="109" t="inlineStr">
        <is>
          <t>DUoS — NPg (Yorkshire) CDCM, HV HH (medium archetype). 2012/13, 2015/16, 2016/17 RETRIEVED (archives); 2010/11–2011/12 flat-hold @2012/13, 2013/14–2014/15 linear interp — RECONSTRUCTED estimated=Y (D28). Oct-2011 in-year re-set unmodelled.</t>
        </is>
      </c>
    </row>
    <row r="34" ht="15" customHeight="1" s="78">
      <c r="A34" s="77" t="inlineStr">
        <is>
          <t>DUoS red unit rate</t>
        </is>
      </c>
      <c r="B34" s="77" t="inlineStr">
        <is>
          <t>p/kWh</t>
        </is>
      </c>
      <c r="C34" s="77" t="inlineStr">
        <is>
          <t>medium</t>
        </is>
      </c>
      <c r="D34" s="77" t="n">
        <v>4.954</v>
      </c>
      <c r="E34" s="77" t="n">
        <v>4.954</v>
      </c>
      <c r="F34" s="77" t="n">
        <v>4.954</v>
      </c>
      <c r="G34" s="77" t="n">
        <v>5.046</v>
      </c>
      <c r="H34" s="77" t="n">
        <v>5.138</v>
      </c>
      <c r="I34" s="77" t="n">
        <v>5.23</v>
      </c>
      <c r="J34" s="77" t="n">
        <v>6.086</v>
      </c>
      <c r="K34" s="77" t="n">
        <v>6.253</v>
      </c>
      <c r="L34" s="77" t="n">
        <v>2.691</v>
      </c>
      <c r="M34" s="77" t="n">
        <v>3.266</v>
      </c>
      <c r="N34" s="77" t="n">
        <v>2.84</v>
      </c>
      <c r="O34" s="77" t="n">
        <v>2.979</v>
      </c>
      <c r="P34" s="77" t="n">
        <v>1.763</v>
      </c>
      <c r="Q34" s="77" t="n">
        <v>1.652</v>
      </c>
      <c r="R34" s="77" t="n">
        <v>1.545</v>
      </c>
      <c r="S34" s="77" t="n">
        <v>1.93</v>
      </c>
      <c r="T34" s="77" t="n">
        <v>2.514</v>
      </c>
      <c r="U34" s="77" t="inlineStr">
        <is>
          <t>Retrieved: 2012/13 statement v1.0 via Common Crawl CC-MAIN-2013-20 (WARC offset 639035092); 2015/16 Final Notice via Wayback 20160530004600/downloads/1481; 2016/17 Notice v1.0 via Wayback 20170719052401/downloads/2466 (PDFs /tmp/npg_legacy, sha256 logged). 2010/11, 2011/12(Apr+Oct), 2013/14, 2014/15 provably un-archived (Wayback CDX, Common Crawl 2012–15, arquivo.pt exhausted; UK Web Archive down) → reconstructed per D28. 2012/13 band defs match 2018/19+ era (red 16:00–19:30 etc.). Prior note (2017/18+) retained in staging. — retr. 2026-07-15</t>
        </is>
      </c>
    </row>
    <row r="35" ht="15" customHeight="1" s="78">
      <c r="A35" s="77" t="inlineStr">
        <is>
          <t>DUoS amber unit rate</t>
        </is>
      </c>
      <c r="B35" s="77" t="inlineStr">
        <is>
          <t>p/kWh</t>
        </is>
      </c>
      <c r="C35" s="77" t="inlineStr">
        <is>
          <t>medium</t>
        </is>
      </c>
      <c r="D35" s="77" t="n">
        <v>0.426</v>
      </c>
      <c r="E35" s="77" t="n">
        <v>0.426</v>
      </c>
      <c r="F35" s="77" t="n">
        <v>0.426</v>
      </c>
      <c r="G35" s="77" t="n">
        <v>0.4433</v>
      </c>
      <c r="H35" s="77" t="n">
        <v>0.4607</v>
      </c>
      <c r="I35" s="77" t="n">
        <v>0.478</v>
      </c>
      <c r="J35" s="77" t="n">
        <v>0.48</v>
      </c>
      <c r="K35" s="77" t="n">
        <v>0.476</v>
      </c>
      <c r="L35" s="77" t="n">
        <v>1.223</v>
      </c>
      <c r="M35" s="77" t="n">
        <v>1.314</v>
      </c>
      <c r="N35" s="77" t="n">
        <v>1.247</v>
      </c>
      <c r="O35" s="77" t="n">
        <v>1.332</v>
      </c>
      <c r="P35" s="77" t="n">
        <v>0.336</v>
      </c>
      <c r="Q35" s="77" t="n">
        <v>0.419</v>
      </c>
      <c r="R35" s="77" t="n">
        <v>0.434</v>
      </c>
      <c r="S35" s="77" t="n">
        <v>0.546</v>
      </c>
      <c r="T35" s="77" t="n">
        <v>0.588</v>
      </c>
    </row>
    <row r="36" ht="15" customHeight="1" s="78">
      <c r="A36" s="77" t="inlineStr">
        <is>
          <t>DUoS green unit rate</t>
        </is>
      </c>
      <c r="B36" s="77" t="inlineStr">
        <is>
          <t>p/kWh</t>
        </is>
      </c>
      <c r="C36" s="77" t="inlineStr">
        <is>
          <t>medium</t>
        </is>
      </c>
      <c r="D36" s="77" t="n">
        <v>0.021</v>
      </c>
      <c r="E36" s="77" t="n">
        <v>0.021</v>
      </c>
      <c r="F36" s="77" t="n">
        <v>0.021</v>
      </c>
      <c r="G36" s="77" t="n">
        <v>0.023</v>
      </c>
      <c r="H36" s="77" t="n">
        <v>0.025</v>
      </c>
      <c r="I36" s="77" t="n">
        <v>0.027</v>
      </c>
      <c r="J36" s="77" t="n">
        <v>0.035</v>
      </c>
      <c r="K36" s="77" t="n">
        <v>0.033</v>
      </c>
      <c r="L36" s="77" t="n">
        <v>0.98</v>
      </c>
      <c r="M36" s="77" t="n">
        <v>1.08</v>
      </c>
      <c r="N36" s="77" t="n">
        <v>0.975</v>
      </c>
      <c r="O36" s="77" t="n">
        <v>1.062</v>
      </c>
      <c r="P36" s="77" t="n">
        <v>0.034</v>
      </c>
      <c r="Q36" s="77" t="n">
        <v>0.059</v>
      </c>
      <c r="R36" s="77" t="n">
        <v>0.058</v>
      </c>
      <c r="S36" s="77" t="n">
        <v>0.067</v>
      </c>
      <c r="T36" s="77" t="n">
        <v>0.052</v>
      </c>
    </row>
    <row r="37" ht="15" customHeight="1" s="78">
      <c r="A37" s="77" t="inlineStr">
        <is>
          <t>DUoS fixed charge (TCR Band 4 residual from 2022/23)</t>
        </is>
      </c>
      <c r="B37" s="77" t="inlineStr">
        <is>
          <t>p/MPAN/day</t>
        </is>
      </c>
      <c r="C37" s="77" t="inlineStr">
        <is>
          <t>medium</t>
        </is>
      </c>
      <c r="D37" s="77" t="n">
        <v>101.26</v>
      </c>
      <c r="E37" s="77" t="n">
        <v>101.26</v>
      </c>
      <c r="F37" s="77" t="n">
        <v>101.26</v>
      </c>
      <c r="G37" s="77" t="n">
        <v>109.43</v>
      </c>
      <c r="H37" s="77" t="n">
        <v>117.59</v>
      </c>
      <c r="I37" s="77" t="n">
        <v>125.76</v>
      </c>
      <c r="J37" s="77" t="n">
        <v>128.6</v>
      </c>
      <c r="K37" s="77" t="n">
        <v>158.63</v>
      </c>
      <c r="L37" s="77" t="n">
        <v>144.56</v>
      </c>
      <c r="M37" s="77" t="n">
        <v>151.06</v>
      </c>
      <c r="N37" s="77" t="n">
        <v>192.18</v>
      </c>
      <c r="O37" s="77" t="n">
        <v>180.25</v>
      </c>
      <c r="P37" s="77" t="n">
        <v>27247.72</v>
      </c>
      <c r="Q37" s="77" t="n">
        <v>23548.06</v>
      </c>
      <c r="R37" s="77" t="n">
        <v>47264.24</v>
      </c>
      <c r="S37" s="77" t="n">
        <v>10167.82</v>
      </c>
      <c r="T37" s="77" t="n">
        <v>12820.57</v>
      </c>
    </row>
    <row r="38" ht="15" customHeight="1" s="78">
      <c r="A38" s="77" t="inlineStr">
        <is>
          <t>DUoS capacity charge</t>
        </is>
      </c>
      <c r="B38" s="77" t="inlineStr">
        <is>
          <t>p/kVA/day</t>
        </is>
      </c>
      <c r="C38" s="77" t="inlineStr">
        <is>
          <t>medium</t>
        </is>
      </c>
      <c r="D38" s="77" t="n">
        <v>1.61</v>
      </c>
      <c r="E38" s="77" t="n">
        <v>1.61</v>
      </c>
      <c r="F38" s="77" t="n">
        <v>1.61</v>
      </c>
      <c r="G38" s="77" t="n">
        <v>1.71</v>
      </c>
      <c r="H38" s="77" t="n">
        <v>1.81</v>
      </c>
      <c r="I38" s="77" t="n">
        <v>1.91</v>
      </c>
      <c r="J38" s="77" t="n">
        <v>1.85</v>
      </c>
      <c r="K38" s="77" t="n">
        <v>2.03</v>
      </c>
      <c r="L38" s="77" t="n">
        <v>1.8</v>
      </c>
      <c r="M38" s="77" t="n">
        <v>2.39</v>
      </c>
      <c r="N38" s="77" t="n">
        <v>1.91</v>
      </c>
      <c r="O38" s="77" t="n">
        <v>1.89</v>
      </c>
      <c r="P38" s="77" t="n">
        <v>1.76</v>
      </c>
      <c r="Q38" s="77" t="n">
        <v>1.88</v>
      </c>
      <c r="R38" s="77" t="n">
        <v>1.64</v>
      </c>
      <c r="S38" s="77" t="n">
        <v>3.36</v>
      </c>
      <c r="T38" s="77" t="n">
        <v>3.78</v>
      </c>
    </row>
    <row r="39" ht="15" customHeight="1" s="78">
      <c r="A39" s="77" t="inlineStr">
        <is>
          <t>DUoS reactive power charge (not modelled — pf≈1 assumed)</t>
        </is>
      </c>
      <c r="B39" s="77" t="inlineStr">
        <is>
          <t>p/kVArh</t>
        </is>
      </c>
      <c r="C39" s="77" t="inlineStr">
        <is>
          <t>medium</t>
        </is>
      </c>
      <c r="K39" s="77" t="n">
        <v>0.188</v>
      </c>
      <c r="L39" s="77" t="n">
        <v>0.067</v>
      </c>
      <c r="M39" s="77" t="n">
        <v>0.067</v>
      </c>
      <c r="N39" s="77" t="n">
        <v>0.06</v>
      </c>
      <c r="O39" s="77" t="n">
        <v>0.053</v>
      </c>
      <c r="P39" s="77" t="n">
        <v>0.043</v>
      </c>
      <c r="Q39" s="77" t="n">
        <v>0.04</v>
      </c>
      <c r="R39" s="77" t="n">
        <v>0.036</v>
      </c>
      <c r="S39" s="77" t="n">
        <v>0.047</v>
      </c>
      <c r="T39" s="77" t="n">
        <v>0.041</v>
      </c>
    </row>
    <row r="40" ht="15" customHeight="1" s="78">
      <c r="A40" s="77" t="inlineStr">
        <is>
          <t>DUoS time bands (2018/19+ era): red 16:00–19:30 Mon–Fri incl. bank hols; amber 08:00–16:00 &amp; 19:30–22:00 Mon–Fri; green rest.</t>
        </is>
      </c>
      <c r="U40" s="77" t="inlineStr">
        <is>
          <t>NPg LC14 CDCM 2019/20 statement (4821.pdf via Wayback 20221130063623), Annex — retr. 2026-07-15. Assumed unchanged 2018/19–2026/27 (estimated=Y, qc).</t>
        </is>
      </c>
    </row>
    <row r="41" ht="15" customHeight="1" s="78">
      <c r="A41" s="77" t="inlineStr">
        <is>
          <t>Band hour shares of the year (uniform-operation weighting assumption, estimated=Y)</t>
        </is>
      </c>
      <c r="D41" s="77">
        <f>17.5/168</f>
        <v/>
      </c>
      <c r="E41" s="77">
        <f>52.5/168</f>
        <v/>
      </c>
      <c r="F41" s="77">
        <f>98/168</f>
        <v/>
      </c>
      <c r="G41" s="77" t="inlineStr">
        <is>
          <t>red / amber / green (D/E/F). Consumption share per band = hour share — uniform operation across the year, estimated=Y (qc).</t>
        </is>
      </c>
    </row>
    <row r="43" ht="15" customHeight="1" s="78">
      <c r="A43" s="109" t="inlineStr">
        <is>
          <t>EII RELIEF SHARES (fraction of levy/charge relieved, calendar mapping per D4)</t>
        </is>
      </c>
    </row>
    <row r="44" ht="15" customHeight="1" s="78">
      <c r="A44" s="77" t="inlineStr">
        <is>
          <t>CfD relief share (compensation 19.01.2016; 85% era; 100% exemption 04/2024)</t>
        </is>
      </c>
      <c r="B44" s="77" t="inlineStr">
        <is>
          <t>fraction</t>
        </is>
      </c>
      <c r="C44" s="77" t="inlineStr">
        <is>
          <t>E2</t>
        </is>
      </c>
      <c r="J44" s="77" t="n">
        <v>0.85</v>
      </c>
      <c r="K44" s="77" t="n">
        <v>0.85</v>
      </c>
      <c r="L44" s="77" t="n">
        <v>0.85</v>
      </c>
      <c r="M44" s="77" t="n">
        <v>0.85</v>
      </c>
      <c r="N44" s="77" t="n">
        <v>0.85</v>
      </c>
      <c r="O44" s="77" t="n">
        <v>0.85</v>
      </c>
      <c r="P44" s="77" t="n">
        <v>0.85</v>
      </c>
      <c r="Q44" s="77" t="n">
        <v>0.85</v>
      </c>
      <c r="R44" s="77" t="n">
        <v>1</v>
      </c>
      <c r="S44" s="77" t="n">
        <v>1</v>
      </c>
      <c r="T44" s="77" t="n">
        <v>1</v>
      </c>
      <c r="U44" s="77" t="inlineStr">
        <is>
          <t>gov.uk EII compensation/exemption scheme page update history; DBT consultation response upd. 31.10.2025; SI 2024/409 — retr. 2026-07-15.</t>
        </is>
      </c>
    </row>
    <row r="45" ht="15" customHeight="1" s="78">
      <c r="A45" s="77" t="inlineStr">
        <is>
          <t>RO relief share (exemption 01.04.2018 at 85%; 100% 04/2024)</t>
        </is>
      </c>
      <c r="B45" s="77" t="inlineStr">
        <is>
          <t>fraction</t>
        </is>
      </c>
      <c r="C45" s="77" t="inlineStr">
        <is>
          <t>E2</t>
        </is>
      </c>
      <c r="L45" s="77" t="n">
        <v>0.85</v>
      </c>
      <c r="M45" s="77" t="n">
        <v>0.85</v>
      </c>
      <c r="N45" s="77" t="n">
        <v>0.85</v>
      </c>
      <c r="O45" s="77" t="n">
        <v>0.85</v>
      </c>
      <c r="P45" s="77" t="n">
        <v>0.85</v>
      </c>
      <c r="Q45" s="77" t="n">
        <v>0.85</v>
      </c>
      <c r="R45" s="77" t="n">
        <v>1</v>
      </c>
      <c r="S45" s="77" t="n">
        <v>1</v>
      </c>
      <c r="T45" s="77" t="n">
        <v>1</v>
      </c>
    </row>
    <row r="46" ht="15" customHeight="1" s="78">
      <c r="A46" s="77" t="inlineStr">
        <is>
          <t>FiT relief share (04/2019 85%; 100% 04/2024) — moot while FiT series GAP</t>
        </is>
      </c>
      <c r="B46" s="77" t="inlineStr">
        <is>
          <t>fraction</t>
        </is>
      </c>
      <c r="C46" s="77" t="inlineStr">
        <is>
          <t>E2</t>
        </is>
      </c>
      <c r="M46" s="77" t="n">
        <v>0.85</v>
      </c>
      <c r="N46" s="77" t="n">
        <v>0.85</v>
      </c>
      <c r="O46" s="77" t="n">
        <v>0.85</v>
      </c>
      <c r="P46" s="77" t="n">
        <v>0.85</v>
      </c>
      <c r="Q46" s="77" t="n">
        <v>0.85</v>
      </c>
      <c r="R46" s="77" t="n">
        <v>1</v>
      </c>
      <c r="S46" s="77" t="n">
        <v>1</v>
      </c>
      <c r="T46" s="77" t="n">
        <v>1</v>
      </c>
    </row>
    <row r="47" ht="15" customHeight="1" s="78">
      <c r="A47" s="77" t="inlineStr">
        <is>
          <t>CM relief share (exemption 10/2024) — moot while CM series GAP</t>
        </is>
      </c>
      <c r="B47" s="77" t="inlineStr">
        <is>
          <t>fraction</t>
        </is>
      </c>
      <c r="C47" s="77" t="inlineStr">
        <is>
          <t>E2</t>
        </is>
      </c>
      <c r="R47" s="77" t="n">
        <v>1</v>
      </c>
      <c r="S47" s="77" t="n">
        <v>1</v>
      </c>
      <c r="T47" s="77" t="n">
        <v>1</v>
      </c>
      <c r="U47" s="77" t="inlineStr">
        <is>
          <t>From Oct 2024 (partial calendar 2024 — flag).</t>
        </is>
      </c>
    </row>
    <row r="48" ht="15" customHeight="1" s="78">
      <c r="A48" s="77" t="inlineStr">
        <is>
          <t>NCC share of network charges compensated (60% from 04/2025 backdated to 04/2024; 90% from 01.04.2026)</t>
        </is>
      </c>
      <c r="B48" s="77" t="inlineStr">
        <is>
          <t>fraction</t>
        </is>
      </c>
      <c r="C48" s="77" t="inlineStr">
        <is>
          <t>E2</t>
        </is>
      </c>
      <c r="R48" s="77" t="n">
        <v>0.6</v>
      </c>
      <c r="S48" s="77" t="n">
        <v>0.6</v>
      </c>
      <c r="T48" s="77" t="n">
        <v>0.9</v>
      </c>
      <c r="U48" s="77" t="inlineStr">
        <is>
          <t>SI 2026/243; DBT consultation response upd. 31.10.2025 — retr. 2026-07-14. Recovered via EII Support Levy — incidence (ii). NCC pays 12 months in arrears (accrual basis modelled).</t>
        </is>
      </c>
    </row>
    <row r="50" ht="15" customHeight="1" s="78">
      <c r="A50" s="109" t="inlineStr">
        <is>
          <t>OBSERVED — DESNZ QEP table 3.4.2 annual, INCL CCL, excl VAT (validation overlay). D71 2026-07-26: re-based from 3.4.1 (excl CCL) to 3.4.2 so observed and modelled carry the electricity tax on the SAME footing, and to match the Eurostat X_VAT basis used for Germany (CCL is not recoverable, so an X_VAT-equivalent UK price includes it). The 3.4.2 minus 3.4.1 difference = CCL ACTUALLY PAID by the band (banked timeseries r132/r133).</t>
        </is>
      </c>
    </row>
    <row r="51" ht="15" customHeight="1" s="78">
      <c r="A51" s="77" t="inlineStr">
        <is>
          <t>QEP Extra Large band (&gt;150,000 MWh) — large archetype overlay</t>
        </is>
      </c>
      <c r="B51" s="77" t="inlineStr">
        <is>
          <t>p/kWh</t>
        </is>
      </c>
      <c r="C51" s="77" t="inlineStr">
        <is>
          <t>observed</t>
        </is>
      </c>
      <c r="D51" s="77" t="n">
        <v>6.691386226433216</v>
      </c>
      <c r="E51" s="77" t="n">
        <v>7.053704222060831</v>
      </c>
      <c r="F51" s="77" t="n">
        <v>8.096641982118383</v>
      </c>
      <c r="G51" s="77" t="n">
        <v>8.538367500582622</v>
      </c>
      <c r="H51" s="77" t="n">
        <v>9.035103092126477</v>
      </c>
      <c r="I51" s="77" t="n">
        <v>9.244492827103503</v>
      </c>
      <c r="J51" s="77" t="n">
        <v>9.352385045613776</v>
      </c>
      <c r="K51" s="77" t="n">
        <v>9.213943237468253</v>
      </c>
      <c r="L51" s="77" t="n">
        <v>9.878410370778401</v>
      </c>
      <c r="M51" s="77" t="n">
        <v>11.39193843081979</v>
      </c>
      <c r="N51" s="77" t="n">
        <v>12.53690233556385</v>
      </c>
      <c r="O51" s="77" t="n">
        <v>14.18414106766485</v>
      </c>
      <c r="P51" s="77" t="n">
        <v>19.80600355933343</v>
      </c>
      <c r="Q51" s="77" t="n">
        <v>22.0792261758001</v>
      </c>
      <c r="R51" s="77" t="n">
        <v>22.14638194532822</v>
      </c>
      <c r="S51" s="77" t="n">
        <v>21.37891251362951</v>
      </c>
      <c r="U51" s="77" t="inlineStr">
        <is>
          <t>DESNZ QEP table_341.xlsx, sheet 3.4.2 (Annual inc CCL) (pub. 30.06.2026) — re-based 2026-07-26 (D71). Prior basis 3.4.1 excl CCL. Fully delivered price incl CCL as actually incurred by the band (i.e. net of CCA reduced rates and the mineralogical/metallurgical exemption). S209</t>
        </is>
      </c>
    </row>
    <row r="52" ht="15" customHeight="1" s="78">
      <c r="A52" s="77" t="inlineStr">
        <is>
          <t>QEP Large band (20,000–69,999 MWh) — medium archetype overlay (20 GWh sits at band lower edge — flag)</t>
        </is>
      </c>
      <c r="B52" s="77" t="inlineStr">
        <is>
          <t>p/kWh</t>
        </is>
      </c>
      <c r="C52" s="77" t="inlineStr">
        <is>
          <t>observed</t>
        </is>
      </c>
      <c r="D52" s="77" t="n">
        <v>6.876999071057405</v>
      </c>
      <c r="E52" s="77" t="n">
        <v>7.39154335475459</v>
      </c>
      <c r="F52" s="77" t="n">
        <v>8.384542346089832</v>
      </c>
      <c r="G52" s="77" t="n">
        <v>9.141727850725985</v>
      </c>
      <c r="H52" s="77" t="n">
        <v>9.557860575909411</v>
      </c>
      <c r="I52" s="77" t="n">
        <v>9.779489010673281</v>
      </c>
      <c r="J52" s="77" t="n">
        <v>9.82885607561817</v>
      </c>
      <c r="K52" s="77" t="n">
        <v>10.44132860184014</v>
      </c>
      <c r="L52" s="77" t="n">
        <v>10.85162238962272</v>
      </c>
      <c r="M52" s="77" t="n">
        <v>11.86408774271291</v>
      </c>
      <c r="N52" s="77" t="n">
        <v>13.10681569315478</v>
      </c>
      <c r="O52" s="77" t="n">
        <v>14.08268094761087</v>
      </c>
      <c r="P52" s="77" t="n">
        <v>19.2969246995539</v>
      </c>
      <c r="Q52" s="77" t="n">
        <v>27.06951561797747</v>
      </c>
      <c r="R52" s="77" t="n">
        <v>26.77424191715153</v>
      </c>
      <c r="S52" s="77" t="n">
        <v>24.40077543199252</v>
      </c>
      <c r="U52" s="77" t="inlineStr">
        <is>
          <t>DESNZ QEP table_341.xlsx, sheet 3.4.2 (Annual inc CCL) (pub. 30.06.2026) — re-based 2026-07-26 (D71). Prior basis 3.4.1 excl CCL. Fully delivered price incl CCL as actually incurred by the band (i.e. net of CCA reduced rates and the mineralogical/metallurgical exemption). S209</t>
        </is>
      </c>
    </row>
    <row r="53" ht="15" customHeight="1" s="78">
      <c r="A53" s="77" t="inlineStr">
        <is>
          <t>ESL (EII Support Levy, funds NCC/Supercharger) — E1-only per-MWh; E2 statutorily carved out (SI 2024/409 reg 18(4)(a)). Levy yr Apr–Mar → calendar per D4. No statutory rate — market-share apportionment (D31).</t>
        </is>
      </c>
      <c r="B53" s="77" t="inlineStr">
        <is>
          <t>£/MWh</t>
        </is>
      </c>
      <c r="C53" s="77" t="inlineStr">
        <is>
          <t>E1 only; estimated=Y (D31)</t>
        </is>
      </c>
      <c r="S53" s="77" t="n">
        <v>0.9157999999999999</v>
      </c>
      <c r="T53" s="77" t="n">
        <v>1.0373</v>
      </c>
      <c r="U53" s="77" t="inlineStr">
        <is>
          <t>2025 = levy yr 2025/26 actual total £220,690,065.34 (Elexon NCC supplier page, 12 claim months Apr24–Mar25) ÷ 240,978,492 MWh (FiT SY15 relevant supply as non-EII base proxy) = 0.9158. 2026 = levy yr 2026/27: 3 actual claim months + 7 Elexon estimated-levy-fund months, ×12/10 = £249.97m est ÷ same base = 1.0373, estimated=Y. 90% NCC uplift hits levy only from 04/2027 (DBT response 31.10.2025). SI 2024/409; SI 2026/243; elexon.co.uk NCC pages — retr. 2026-07-15</t>
        </is>
      </c>
    </row>
    <row r="55">
      <c r="A55" s="77" t="inlineStr">
        <is>
          <t>SUPPLY-SIDE (CSS) — independent supplier margin overlay (Q88, 2026-07-24). Ofgem Consolidated Segmental Statements, non-domestic ELECTRICITY supply segments; calendar mapping per D4 (SSE Apr–Mar FY → start year). Validation overlay only — NOT part of the E1/E2 build-up (function-6 exclusion). Panel: EDF, Centrica (to 2023), SSE, E.ON (gap 2021–22), npower (to 2019), Scottish Power, TotalEnergies + Drax/Opus (2023+). Per-filing URLs: css_nondom_margin_panel.csv (S181).</t>
        </is>
      </c>
    </row>
    <row r="56">
      <c r="A56" s="77" t="inlineStr">
        <is>
          <t>CSS panel EBIT, non-dom electricity (volume-weighted across panel)</t>
        </is>
      </c>
      <c r="B56" s="77" t="inlineStr">
        <is>
          <t>£/MWh</t>
        </is>
      </c>
      <c r="C56" s="77" t="inlineStr">
        <is>
          <t>observed (CSS); estimated=Y (computed ΣEBIT÷Σvol)</t>
        </is>
      </c>
      <c r="F56" s="77" t="n">
        <v>1.47</v>
      </c>
      <c r="G56" s="77" t="n">
        <v>1.98</v>
      </c>
      <c r="H56" s="77" t="n">
        <v>1.99</v>
      </c>
      <c r="I56" s="77" t="n">
        <v>1.04</v>
      </c>
      <c r="J56" s="77" t="n">
        <v>1.23</v>
      </c>
      <c r="K56" s="77" t="n">
        <v>1.03</v>
      </c>
      <c r="L56" s="77" t="n">
        <v>1.22</v>
      </c>
      <c r="M56" s="77" t="n">
        <v>0.93</v>
      </c>
      <c r="N56" s="77" t="n">
        <v>-3.2</v>
      </c>
      <c r="O56" s="77" t="n">
        <v>-1.33</v>
      </c>
      <c r="P56" s="77" t="n">
        <v>4.36</v>
      </c>
      <c r="Q56" s="77" t="n">
        <v>8.109999999999999</v>
      </c>
      <c r="R56" s="77" t="n">
        <v>7.16</v>
      </c>
      <c r="U56" s="77" t="inlineStr">
        <is>
          <t>Ofgem CSS supplier filings (S180/S181) — segmental tables, EBIT ÷ volume — retr. 2026-07-24. Composition varies: 2021–22 excl E.ON (no CSS exists), 2024 excl Centrica (unpublished); 2023+ incl new-scope filers. 2025 n/a until ~Q4 2026 filings.</t>
        </is>
      </c>
    </row>
    <row r="57">
      <c r="A57" s="77" t="inlineStr">
        <is>
          <t>CSS panel EBIT share of revenue, non-dom electricity</t>
        </is>
      </c>
      <c r="B57" s="77" t="inlineStr">
        <is>
          <t>% of revenue</t>
        </is>
      </c>
      <c r="C57" s="77" t="inlineStr">
        <is>
          <t>observed (CSS); estimated=Y (computed)</t>
        </is>
      </c>
      <c r="F57" s="77" t="n">
        <v>1.62</v>
      </c>
      <c r="G57" s="77" t="n">
        <v>2.04</v>
      </c>
      <c r="H57" s="77" t="n">
        <v>1.95</v>
      </c>
      <c r="I57" s="77" t="n">
        <v>1.01</v>
      </c>
      <c r="J57" s="77" t="n">
        <v>1.2</v>
      </c>
      <c r="K57" s="77" t="n">
        <v>0.95</v>
      </c>
      <c r="L57" s="77" t="n">
        <v>1.02</v>
      </c>
      <c r="M57" s="77" t="n">
        <v>0.72</v>
      </c>
      <c r="N57" s="77" t="n">
        <v>-2.4</v>
      </c>
      <c r="O57" s="77" t="n">
        <v>-0.89</v>
      </c>
      <c r="P57" s="77" t="n">
        <v>1.82</v>
      </c>
      <c r="Q57" s="77" t="n">
        <v>2.84</v>
      </c>
      <c r="R57" s="77" t="n">
        <v>2.9</v>
      </c>
      <c r="U57" s="77" t="inlineStr">
        <is>
          <t>Same panel: ΣEBIT ÷ Σrevenue ×100. Revenue 2022–23 includes EBRS/EBDS scheme receipts (margin % denominators inflated — flag).</t>
        </is>
      </c>
    </row>
    <row r="58">
      <c r="A58" s="77" t="inlineStr">
        <is>
          <t>CSS retail opex (indirect costs), non-dom electricity — EDF+Centrica+SSE subset</t>
        </is>
      </c>
      <c r="B58" s="77" t="inlineStr">
        <is>
          <t>£/MWh</t>
        </is>
      </c>
      <c r="C58" s="77" t="inlineStr">
        <is>
          <t>estimated=Y (subset; 2024 = EDF only)</t>
        </is>
      </c>
      <c r="F58" s="77" t="n">
        <v>5.26</v>
      </c>
      <c r="G58" s="77" t="n">
        <v>5.18</v>
      </c>
      <c r="H58" s="77" t="n">
        <v>5.28</v>
      </c>
      <c r="I58" s="77" t="n">
        <v>6</v>
      </c>
      <c r="J58" s="77" t="n">
        <v>5.29</v>
      </c>
      <c r="K58" s="77" t="n">
        <v>5.15</v>
      </c>
      <c r="L58" s="77" t="n">
        <v>5.34</v>
      </c>
      <c r="M58" s="77" t="n">
        <v>5.82</v>
      </c>
      <c r="N58" s="77" t="n">
        <v>7.22</v>
      </c>
      <c r="O58" s="77" t="n">
        <v>6.21</v>
      </c>
      <c r="P58" s="77" t="n">
        <v>10.73</v>
      </c>
      <c r="Q58" s="77" t="n">
        <v>13.13</v>
      </c>
      <c r="R58" s="77" t="n">
        <v>6.17</v>
      </c>
      <c r="U58" s="77" t="inlineStr">
        <is>
          <t>Same filings, indirect-costs line (sales/service/billing/bad debt/central; D&amp;A excluded — reported below EBITDA) ÷ subset volume — retr. 2026-07-24.</t>
        </is>
      </c>
    </row>
    <row r="59">
      <c r="A59" s="77" t="inlineStr">
        <is>
          <t>CSS panel volume, non-dom electricity</t>
        </is>
      </c>
      <c r="B59" s="77" t="inlineStr">
        <is>
          <t>TWh</t>
        </is>
      </c>
      <c r="C59" s="77" t="inlineStr">
        <is>
          <t>coverage indicator</t>
        </is>
      </c>
      <c r="F59" s="77" t="n">
        <v>154.5</v>
      </c>
      <c r="G59" s="77" t="n">
        <v>152.1</v>
      </c>
      <c r="H59" s="77" t="n">
        <v>145.8</v>
      </c>
      <c r="I59" s="77" t="n">
        <v>138.4</v>
      </c>
      <c r="J59" s="77" t="n">
        <v>129.8</v>
      </c>
      <c r="K59" s="77" t="n">
        <v>123.6</v>
      </c>
      <c r="L59" s="77" t="n">
        <v>118.9</v>
      </c>
      <c r="M59" s="77" t="n">
        <v>112.6</v>
      </c>
      <c r="N59" s="77" t="n">
        <v>97.8</v>
      </c>
      <c r="O59" s="77" t="n">
        <v>63.5</v>
      </c>
      <c r="P59" s="77" t="n">
        <v>64.5</v>
      </c>
      <c r="Q59" s="77" t="n">
        <v>118.9</v>
      </c>
      <c r="R59" s="77" t="n">
        <v>89.09999999999999</v>
      </c>
      <c r="U59" s="77" t="inlineStr">
        <is>
          <t>Sum of panel segment volumes. GB non-domestic electricity market ≈ 100 TWh/yr — coverage high pre-2020, thinner 2021–22.</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U7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77" min="1" max="1"/>
    <col width="12" customWidth="1" style="77" min="2" max="2"/>
    <col width="22" customWidth="1" style="77" min="3" max="3"/>
    <col width="90" customWidth="1" style="77" min="21" max="21"/>
  </cols>
  <sheetData>
    <row r="1" ht="15" customHeight="1" s="78">
      <c r="A1" s="109" t="inlineStr">
        <is>
          <t>STAGE 4 RAW — Germany (nominal EUR). Calendar years.</t>
        </is>
      </c>
    </row>
    <row r="2" ht="15" customHeight="1" s="78">
      <c r="A2" s="77" t="inlineStr">
        <is>
          <t>All values verbatim from primary sources via stage4_staging_de_*.md (retr. 2026-07-15). German decimal commas converted. GAPS blank.</t>
        </is>
      </c>
    </row>
    <row r="4" ht="15" customHeight="1" s="78">
      <c r="A4" s="143" t="inlineStr">
        <is>
          <t>Series</t>
        </is>
      </c>
      <c r="B4" s="143" t="inlineStr">
        <is>
          <t>Unit</t>
        </is>
      </c>
      <c r="C4" s="143" t="inlineStr">
        <is>
          <t>Case/notes</t>
        </is>
      </c>
      <c r="D4" s="143" t="n">
        <v>2010</v>
      </c>
      <c r="E4" s="143" t="n">
        <v>2011</v>
      </c>
      <c r="F4" s="143" t="n">
        <v>2012</v>
      </c>
      <c r="G4" s="143" t="n">
        <v>2013</v>
      </c>
      <c r="H4" s="143" t="n">
        <v>2014</v>
      </c>
      <c r="I4" s="143" t="n">
        <v>2015</v>
      </c>
      <c r="J4" s="143" t="n">
        <v>2016</v>
      </c>
      <c r="K4" s="143" t="n">
        <v>2017</v>
      </c>
      <c r="L4" s="143" t="n">
        <v>2018</v>
      </c>
      <c r="M4" s="143" t="n">
        <v>2019</v>
      </c>
      <c r="N4" s="143" t="n">
        <v>2020</v>
      </c>
      <c r="O4" s="143" t="n">
        <v>2021</v>
      </c>
      <c r="P4" s="143" t="n">
        <v>2022</v>
      </c>
      <c r="Q4" s="143" t="n">
        <v>2023</v>
      </c>
      <c r="R4" s="143" t="n">
        <v>2024</v>
      </c>
      <c r="S4" s="143" t="n">
        <v>2025</v>
      </c>
      <c r="T4" s="143" t="n">
        <v>2026</v>
      </c>
      <c r="U4" s="143" t="inlineStr">
        <is>
          <t>Source (source — table/page — retrieval date)</t>
        </is>
      </c>
    </row>
    <row r="6" ht="15" customHeight="1" s="78">
      <c r="A6" s="109" t="inlineStr">
        <is>
          <t>WHOLESALE</t>
        </is>
      </c>
    </row>
    <row r="7" ht="15" customHeight="1" s="78">
      <c r="A7" s="77" t="inlineStr">
        <is>
          <t>Phelix base year-future, annual mean of front-year price, by TRADING year (delivery = Y+1)</t>
        </is>
      </c>
      <c r="B7" s="77" t="inlineStr">
        <is>
          <t>€/MWh</t>
        </is>
      </c>
      <c r="C7" s="77" t="inlineStr">
        <is>
          <t>E1+E2</t>
        </is>
      </c>
      <c r="D7" s="77" t="n">
        <v>49.9</v>
      </c>
      <c r="E7" s="77" t="n">
        <v>56.08</v>
      </c>
      <c r="F7" s="77" t="n">
        <v>49.3</v>
      </c>
      <c r="G7" s="77" t="n">
        <v>39.08</v>
      </c>
      <c r="H7" s="77" t="n">
        <v>35.09</v>
      </c>
      <c r="I7" s="77" t="n">
        <v>31</v>
      </c>
      <c r="J7" s="77" t="n">
        <v>26.6</v>
      </c>
      <c r="K7" s="77" t="n">
        <v>32.4</v>
      </c>
      <c r="L7" s="77" t="n">
        <v>43.84</v>
      </c>
      <c r="M7" s="77" t="n">
        <v>47.82</v>
      </c>
      <c r="N7" s="77" t="n">
        <v>40.2</v>
      </c>
      <c r="O7" s="77" t="n">
        <v>88.40000000000001</v>
      </c>
      <c r="P7" s="77" t="n">
        <v>298.9</v>
      </c>
      <c r="Q7" s="77" t="n">
        <v>137.5</v>
      </c>
      <c r="R7" s="77" t="n">
        <v>88.7</v>
      </c>
      <c r="S7" s="77" t="n">
        <v>87.56999999999999</v>
      </c>
      <c r="U7" s="77" t="inlineStr">
        <is>
          <t>BNetzA Monitoringberichte: MB2012 Tab.18 p.105; MB2013 p.110; MB2015 p.168-9; MB2020 Abb.103 p.245 (2015–17 chart labels 1dp); MB2025 Abb.78 p.148 (2020–24) — retr. 2026-07-15. 2025 trading yr GAP (MB2026 unpublished) → DE delivery-2026 wholesale GAP. DE-AT split 01.10.2018 marked. | Trading-2025 (delivery 2026) = 87.57 €/MWh: mean of 191 daily EEX Phelix DE Base Cal-26 settlements Jan–Sep 2025 (Stadtwerke Hamm transparency sheet — Tier-4 carrier of EEX data; Q4-2025 anchors 85–88 consistent; x-check: Cal-25 avg in 2024 = 88.7 BNetzA). PROVISIONAL estimated=Y (D29) — replace on MB 2026 / SMARD Jan-2027 release. retr. 2026-07-15</t>
        </is>
      </c>
    </row>
    <row r="8" ht="15" customHeight="1" s="78">
      <c r="A8" s="77" t="inlineStr">
        <is>
          <t>Day-ahead annual avg (2015+ computed from energy-charts API, est=Y; 2025 time-weighted 15-min basis, simple avg 90.97)</t>
        </is>
      </c>
      <c r="B8" s="77" t="inlineStr">
        <is>
          <t>€/MWh</t>
        </is>
      </c>
      <c r="C8" s="77" t="inlineStr">
        <is>
          <t>sensitivity input</t>
        </is>
      </c>
      <c r="D8" s="77" t="n">
        <v>44.49</v>
      </c>
      <c r="E8" s="77" t="n">
        <v>51.12</v>
      </c>
      <c r="F8" s="77" t="n">
        <v>42.6</v>
      </c>
      <c r="G8" s="77" t="n">
        <v>37.78</v>
      </c>
      <c r="H8" s="77" t="n">
        <v>32.76</v>
      </c>
      <c r="I8" s="77" t="n">
        <v>31.63</v>
      </c>
      <c r="J8" s="77" t="n">
        <v>28.98</v>
      </c>
      <c r="K8" s="77" t="n">
        <v>34.19</v>
      </c>
      <c r="L8" s="77" t="n">
        <v>44.47</v>
      </c>
      <c r="M8" s="77" t="n">
        <v>37.67</v>
      </c>
      <c r="N8" s="77" t="n">
        <v>30.47</v>
      </c>
      <c r="O8" s="77" t="n">
        <v>96.84999999999999</v>
      </c>
      <c r="P8" s="77" t="n">
        <v>235.45</v>
      </c>
      <c r="Q8" s="77" t="n">
        <v>95.18000000000001</v>
      </c>
      <c r="R8" s="77" t="n">
        <v>78.51000000000001</v>
      </c>
      <c r="S8" s="77" t="n">
        <v>89.31999999999999</v>
      </c>
      <c r="U8" s="77" t="inlineStr">
        <is>
          <t>BNetzA MB (2010–14); energy-charts API computed (2015–25, estimated=Y) — retr. 2026-07-15.</t>
        </is>
      </c>
    </row>
    <row r="10" ht="15" customHeight="1" s="78">
      <c r="A10" s="109" t="inlineStr">
        <is>
          <t>NETZENTGELTE (Jahresleistungspreissystem, ≥2,500h band). LP €/kW·a; AP ct/kWh.</t>
        </is>
      </c>
    </row>
    <row r="11" ht="15" customHeight="1" s="78">
      <c r="A11" s="77" t="inlineStr">
        <is>
          <t>HöS Leistungspreis — Amprion 2010–22; bundeseinheitlich (4-ÜNB) 2023+; 2026 incl. €6.5bn KTF subsidy</t>
        </is>
      </c>
      <c r="B11" s="77" t="inlineStr">
        <is>
          <t>€/kW·a</t>
        </is>
      </c>
      <c r="C11" s="77" t="inlineStr">
        <is>
          <t>large</t>
        </is>
      </c>
      <c r="D11" s="77" t="n">
        <v>19.9</v>
      </c>
      <c r="E11" s="77" t="n">
        <v>20.85</v>
      </c>
      <c r="F11" s="77" t="n">
        <v>25.86</v>
      </c>
      <c r="G11" s="77" t="n">
        <v>21.31</v>
      </c>
      <c r="H11" s="77" t="n">
        <v>23.79</v>
      </c>
      <c r="I11" s="77" t="n">
        <v>32.06</v>
      </c>
      <c r="J11" s="77" t="n">
        <v>32.83</v>
      </c>
      <c r="K11" s="77" t="n">
        <v>36.55</v>
      </c>
      <c r="L11" s="77" t="n">
        <v>53.9</v>
      </c>
      <c r="M11" s="77" t="n">
        <v>45.43</v>
      </c>
      <c r="N11" s="77" t="n">
        <v>53.74</v>
      </c>
      <c r="O11" s="77" t="n">
        <v>54.1</v>
      </c>
      <c r="P11" s="77" t="n">
        <v>67.55</v>
      </c>
      <c r="Q11" s="77" t="n">
        <v>72.48999999999999</v>
      </c>
      <c r="R11" s="77" t="n">
        <v>73.81</v>
      </c>
      <c r="S11" s="77" t="n">
        <v>127.74</v>
      </c>
      <c r="T11" s="77" t="n">
        <v>53.06</v>
      </c>
      <c r="U11" s="77" t="inlineStr">
        <is>
          <t>Amprion Preisblatt archive (per-year PDFs); netztransparenz joint ÜNB-Preisblätter 2023–2026 (251205_preisblatt_ben_2026.pdf) — retr. 2026-07-15. 2026 subsidy incidence (iii) taxpayer.</t>
        </is>
      </c>
    </row>
    <row r="12" ht="15" customHeight="1" s="78">
      <c r="A12" s="77" t="inlineStr">
        <is>
          <t>HöS Arbeitspreis (same sources)</t>
        </is>
      </c>
      <c r="B12" s="77" t="inlineStr">
        <is>
          <t>ct/kWh</t>
        </is>
      </c>
      <c r="C12" s="77" t="inlineStr">
        <is>
          <t>large</t>
        </is>
      </c>
      <c r="D12" s="77" t="n">
        <v>0.134</v>
      </c>
      <c r="E12" s="77" t="n">
        <v>0.147</v>
      </c>
      <c r="F12" s="77" t="n">
        <v>0.144</v>
      </c>
      <c r="G12" s="77" t="n">
        <v>0.218</v>
      </c>
      <c r="H12" s="77" t="n">
        <v>0.169</v>
      </c>
      <c r="I12" s="77" t="n">
        <v>0.166</v>
      </c>
      <c r="J12" s="77" t="n">
        <v>0.225</v>
      </c>
      <c r="K12" s="77" t="n">
        <v>0.302</v>
      </c>
      <c r="L12" s="77" t="n">
        <v>0.448</v>
      </c>
      <c r="M12" s="77" t="n">
        <v>0.4</v>
      </c>
      <c r="N12" s="77" t="n">
        <v>0.44</v>
      </c>
      <c r="O12" s="77" t="n">
        <v>0.45</v>
      </c>
      <c r="P12" s="77" t="n">
        <v>0.5</v>
      </c>
      <c r="Q12" s="77" t="n">
        <v>0.53</v>
      </c>
      <c r="R12" s="77" t="n">
        <v>0.52</v>
      </c>
      <c r="S12" s="77" t="n">
        <v>1.33</v>
      </c>
      <c r="T12" s="77" t="n">
        <v>0.6899999999999999</v>
      </c>
    </row>
    <row r="13" ht="15" customHeight="1" s="78">
      <c r="A13" s="77" t="inlineStr">
        <is>
          <t>HöS 2026 OHNE Bundeszuschuss (hypothetical, info only): LP 120.31 / AP 1.58</t>
        </is>
      </c>
      <c r="B13" s="77" t="inlineStr">
        <is>
          <t>€/kW·a</t>
        </is>
      </c>
      <c r="C13" s="77" t="inlineStr">
        <is>
          <t>info</t>
        </is>
      </c>
      <c r="T13" s="77" t="n">
        <v>120.31</v>
      </c>
      <c r="U13" s="77" t="inlineStr">
        <is>
          <t>251205_theoretische netzentgelte 2026 ohne zuschuss_information.pdf — retr. 2026-07-15.</t>
        </is>
      </c>
    </row>
    <row r="14" ht="15" customHeight="1" s="78">
      <c r="A14" s="77" t="inlineStr">
        <is>
          <t>HöS 2026 ohne Bundeszuschuss — AP</t>
        </is>
      </c>
      <c r="B14" s="77" t="inlineStr">
        <is>
          <t>ct/kWh</t>
        </is>
      </c>
      <c r="C14" s="77" t="inlineStr">
        <is>
          <t>info</t>
        </is>
      </c>
      <c r="T14" s="77" t="n">
        <v>1.58</v>
      </c>
    </row>
    <row r="15" ht="15" customHeight="1" s="78">
      <c r="A15" s="77" t="inlineStr">
        <is>
          <t>MS Leistungspreis — Westnetz (2026 incl. subsidy; ohne: 170.69/1.29)</t>
        </is>
      </c>
      <c r="B15" s="77" t="inlineStr">
        <is>
          <t>€/kW·a</t>
        </is>
      </c>
      <c r="C15" s="77" t="inlineStr">
        <is>
          <t>medium</t>
        </is>
      </c>
      <c r="G15" s="77" t="n">
        <v>63.06</v>
      </c>
      <c r="H15" s="77" t="n">
        <v>70.54000000000001</v>
      </c>
      <c r="I15" s="77" t="n">
        <v>72.79000000000001</v>
      </c>
      <c r="J15" s="77" t="n">
        <v>81.66</v>
      </c>
      <c r="K15" s="77" t="n">
        <v>83.77</v>
      </c>
      <c r="L15" s="77" t="n">
        <v>88.25</v>
      </c>
      <c r="M15" s="77" t="n">
        <v>81.56999999999999</v>
      </c>
      <c r="N15" s="77" t="n">
        <v>88.78</v>
      </c>
      <c r="O15" s="77" t="n">
        <v>100.6</v>
      </c>
      <c r="P15" s="77" t="n">
        <v>110.79</v>
      </c>
      <c r="Q15" s="77" t="n">
        <v>114.31</v>
      </c>
      <c r="R15" s="77" t="n">
        <v>162.66</v>
      </c>
      <c r="S15" s="77" t="n">
        <v>166.03</v>
      </c>
      <c r="T15" s="77" t="n">
        <v>134.32</v>
      </c>
      <c r="U15" s="77" t="inlineStr">
        <is>
          <t>Westnetz Preisblätter via Wayback (2013–19, Q20 resolved) and westnetz.de (2020+) — retr. 2026-07-15. 2020: 01.01 sheet (VAT-period re-issue capture damaged); 2022 final over vorläufig.</t>
        </is>
      </c>
    </row>
    <row r="16" ht="15" customHeight="1" s="78">
      <c r="A16" s="77" t="inlineStr">
        <is>
          <t>MS Arbeitspreis — Westnetz</t>
        </is>
      </c>
      <c r="B16" s="77" t="inlineStr">
        <is>
          <t>ct/kWh</t>
        </is>
      </c>
      <c r="C16" s="77" t="inlineStr">
        <is>
          <t>medium</t>
        </is>
      </c>
      <c r="G16" s="77" t="n">
        <v>0.5600000000000001</v>
      </c>
      <c r="H16" s="77" t="n">
        <v>0.55</v>
      </c>
      <c r="I16" s="77" t="n">
        <v>0.62</v>
      </c>
      <c r="J16" s="77" t="n">
        <v>0.64</v>
      </c>
      <c r="K16" s="77" t="n">
        <v>0.65</v>
      </c>
      <c r="L16" s="77" t="n">
        <v>0.7</v>
      </c>
      <c r="M16" s="77" t="n">
        <v>0.6899999999999999</v>
      </c>
      <c r="N16" s="77" t="n">
        <v>0.74</v>
      </c>
      <c r="O16" s="77" t="n">
        <v>0.8</v>
      </c>
      <c r="P16" s="77" t="n">
        <v>0.86</v>
      </c>
      <c r="Q16" s="77" t="n">
        <v>1.13</v>
      </c>
      <c r="R16" s="77" t="n">
        <v>1.52</v>
      </c>
      <c r="S16" s="77" t="n">
        <v>1.3</v>
      </c>
      <c r="T16" s="77" t="n">
        <v>1.01</v>
      </c>
    </row>
    <row r="17" ht="15" customHeight="1" s="78">
      <c r="A17" s="77" t="inlineStr">
        <is>
          <t>MS bridge 2010–2012: BNetzA MB NATIONAL AVERAGE, MS industry case (24 GWh, 4 MW, 6,000h ≠ our 5,000h — flag)</t>
        </is>
      </c>
      <c r="B17" s="77" t="inlineStr">
        <is>
          <t>ct/kWh</t>
        </is>
      </c>
      <c r="C17" s="77" t="inlineStr">
        <is>
          <t>medium; estimated=Y (D20)</t>
        </is>
      </c>
      <c r="D17" s="77" t="n">
        <v>1.53</v>
      </c>
      <c r="E17" s="77" t="n">
        <v>1.46</v>
      </c>
      <c r="F17" s="77" t="n">
        <v>1.67</v>
      </c>
      <c r="U17" s="77" t="inlineStr">
        <is>
          <t>BNetzA MB 2010 Tab.12 p.93; MB 2011 Tab.40 ~p.138; MB 2012 Tab.26 ~p.127 (Wayback) — retr. 2026-07-15. Nettonetzentgelt mengengewichtet; §19/EEG-Sonderregelungen excluded from survey. Methodology break marked on charts.</t>
        </is>
      </c>
    </row>
    <row r="18" ht="15" customHeight="1" s="78">
      <c r="A18" s="77" t="inlineStr">
        <is>
          <t>Messung/Abrechnung, Westnetz MS combined (≈0.02–0.03 ct/kWh at 20 GWh — negligible; large ≈0.001 not modelled)</t>
        </is>
      </c>
      <c r="B18" s="77" t="inlineStr">
        <is>
          <t>€/a</t>
        </is>
      </c>
      <c r="C18" s="77" t="inlineStr">
        <is>
          <t>medium</t>
        </is>
      </c>
      <c r="K18" s="77" t="n">
        <v>349.02</v>
      </c>
      <c r="T18" s="77" t="n">
        <v>487.07</v>
      </c>
      <c r="U18" s="77" t="inlineStr">
        <is>
          <t>Westnetz Preisblätter (Lastgangzähler+Komm.); intermediate years staged in agent log — two anchors carried, per-MWh impact &lt;0.05 €/MWh (qc).</t>
        </is>
      </c>
    </row>
    <row r="20" ht="15" customHeight="1" s="78">
      <c r="A20" s="109" t="inlineStr">
        <is>
          <t>UMLAGEN (ct/kWh). §19: A′ = first 1 GWh; B′ &gt;1 GWh (volume-based, statutory); C′ &gt;1 GWh stromintensiv (EII test → E2).</t>
        </is>
      </c>
    </row>
    <row r="21" ht="15" customHeight="1" s="78">
      <c r="A21" s="77" t="inlineStr">
        <is>
          <t>EEG-Umlage, non-privileged (2022 = year-avg 1.8615: 3.723 H1 / 0 from 01.07; 2023+ abolished → federal budget, incidence (iii))</t>
        </is>
      </c>
      <c r="B21" s="77" t="inlineStr">
        <is>
          <t>ct/kWh</t>
        </is>
      </c>
      <c r="C21" s="77" t="inlineStr">
        <is>
          <t>E1</t>
        </is>
      </c>
      <c r="D21" s="77" t="n">
        <v>2.047</v>
      </c>
      <c r="E21" s="77" t="n">
        <v>3.53</v>
      </c>
      <c r="F21" s="77" t="n">
        <v>3.592</v>
      </c>
      <c r="G21" s="77" t="n">
        <v>5.277</v>
      </c>
      <c r="H21" s="77" t="n">
        <v>6.24</v>
      </c>
      <c r="I21" s="77" t="n">
        <v>6.17</v>
      </c>
      <c r="J21" s="77" t="n">
        <v>6.354</v>
      </c>
      <c r="K21" s="77" t="n">
        <v>6.88</v>
      </c>
      <c r="L21" s="77" t="n">
        <v>6.792</v>
      </c>
      <c r="M21" s="77" t="n">
        <v>6.405</v>
      </c>
      <c r="N21" s="77" t="n">
        <v>6.756</v>
      </c>
      <c r="O21" s="77" t="n">
        <v>6.5</v>
      </c>
      <c r="P21" s="77" t="n">
        <v>1.8615</v>
      </c>
      <c r="Q21" s="77" t="n">
        <v>0</v>
      </c>
      <c r="R21" s="77" t="n">
        <v>0</v>
      </c>
      <c r="S21" s="77" t="n">
        <v>0</v>
      </c>
      <c r="T21" s="77" t="n">
        <v>0</v>
      </c>
      <c r="U21" s="77" t="inlineStr">
        <is>
          <t>netztransparenz.de, EEG-Umlagen der Vorjahre + per-year pages — retr. 2026-07-15. 2022 avg estimated=Y.</t>
        </is>
      </c>
    </row>
    <row r="22" ht="15" customHeight="1" s="78">
      <c r="A22" s="77" t="inlineStr">
        <is>
          <t>KWKG-Umlage non-privileged (2010–15 Kat A; 2016 A′ 0.445; 2017+ non-priv — privileged company-specific from 2017, structural break)</t>
        </is>
      </c>
      <c r="B22" s="77" t="inlineStr">
        <is>
          <t>ct/kWh</t>
        </is>
      </c>
      <c r="C22" s="77" t="inlineStr">
        <is>
          <t>E1</t>
        </is>
      </c>
      <c r="D22" s="77" t="n">
        <v>0.13</v>
      </c>
      <c r="E22" s="77" t="n">
        <v>0.03</v>
      </c>
      <c r="F22" s="77" t="n">
        <v>0.002</v>
      </c>
      <c r="G22" s="77" t="n">
        <v>0.126</v>
      </c>
      <c r="H22" s="77" t="n">
        <v>0.178</v>
      </c>
      <c r="I22" s="77" t="n">
        <v>0.254</v>
      </c>
      <c r="J22" s="77" t="n">
        <v>0.445</v>
      </c>
      <c r="K22" s="77" t="n">
        <v>0.438</v>
      </c>
      <c r="L22" s="77" t="n">
        <v>0.345</v>
      </c>
      <c r="M22" s="77" t="n">
        <v>0.28</v>
      </c>
      <c r="N22" s="77" t="n">
        <v>0.226</v>
      </c>
      <c r="O22" s="77" t="n">
        <v>0.254</v>
      </c>
      <c r="P22" s="77" t="n">
        <v>0.378</v>
      </c>
      <c r="Q22" s="77" t="n">
        <v>0.357</v>
      </c>
      <c r="R22" s="77" t="n">
        <v>0.275</v>
      </c>
      <c r="S22" s="77" t="n">
        <v>0.277</v>
      </c>
      <c r="T22" s="77" t="n">
        <v>0.446</v>
      </c>
      <c r="U22" s="77" t="inlineStr">
        <is>
          <t>netztransparenz: Uebersicht_KWKG-Aufschlaege_2002-2016.pdf; per-year pages — retr. 2026-07-15.</t>
        </is>
      </c>
    </row>
    <row r="23" ht="15" customHeight="1" s="78">
      <c r="A23" s="77" t="inlineStr">
        <is>
          <t>KWKG Kat B (&gt;100 MWh) 2010–15; B′ (&gt;1 GWh) 2016</t>
        </is>
      </c>
      <c r="B23" s="77" t="inlineStr">
        <is>
          <t>ct/kWh</t>
        </is>
      </c>
      <c r="C23" s="77" t="inlineStr">
        <is>
          <t>E1 blend</t>
        </is>
      </c>
      <c r="D23" s="77" t="n">
        <v>0.05</v>
      </c>
      <c r="E23" s="77" t="n">
        <v>0.03</v>
      </c>
      <c r="F23" s="77" t="n">
        <v>0.05</v>
      </c>
      <c r="G23" s="77" t="n">
        <v>0.06</v>
      </c>
      <c r="H23" s="77" t="n">
        <v>0.055</v>
      </c>
      <c r="I23" s="77" t="n">
        <v>0.051</v>
      </c>
      <c r="J23" s="77" t="n">
        <v>0.04</v>
      </c>
      <c r="U23" s="77" t="inlineStr">
        <is>
          <t>Same. Kat C / C′ (stromintensiv): GAP 2010–15; 2016 C′ = 0.030. From 2017: no flat privileged rate exists → E2 = E1 flagged (D25).</t>
        </is>
      </c>
    </row>
    <row r="24" ht="15" customHeight="1" s="78">
      <c r="A24" s="77" t="inlineStr">
        <is>
          <t>KWKG C′ (stromintensiv) 2016</t>
        </is>
      </c>
      <c r="B24" s="77" t="inlineStr">
        <is>
          <t>ct/kWh</t>
        </is>
      </c>
      <c r="C24" s="77" t="inlineStr">
        <is>
          <t>E2 blend</t>
        </is>
      </c>
      <c r="J24" s="77" t="n">
        <v>0.03</v>
      </c>
    </row>
    <row r="25" ht="15" customHeight="1" s="78">
      <c r="A25" s="77" t="inlineStr">
        <is>
          <t>§19 StromNEV-Umlage A′ (first 1 GWh; 2012–13 retroactively re-based 100 MWh→1 GWh)</t>
        </is>
      </c>
      <c r="B25" s="77" t="inlineStr">
        <is>
          <t>ct/kWh</t>
        </is>
      </c>
      <c r="C25" s="77" t="inlineStr">
        <is>
          <t>E1</t>
        </is>
      </c>
      <c r="F25" s="77" t="n">
        <v>0.151</v>
      </c>
      <c r="G25" s="77" t="n">
        <v>0.329</v>
      </c>
      <c r="H25" s="77" t="n">
        <v>0.187</v>
      </c>
      <c r="I25" s="77" t="n">
        <v>0.237</v>
      </c>
      <c r="J25" s="77" t="n">
        <v>0.378</v>
      </c>
      <c r="K25" s="77" t="n">
        <v>0.388</v>
      </c>
      <c r="L25" s="77" t="n">
        <v>0.37</v>
      </c>
      <c r="M25" s="77" t="n">
        <v>0.305</v>
      </c>
      <c r="N25" s="77" t="n">
        <v>0.358</v>
      </c>
      <c r="O25" s="77" t="n">
        <v>0.432</v>
      </c>
      <c r="P25" s="77" t="n">
        <v>0.437</v>
      </c>
      <c r="Q25" s="77" t="n">
        <v>0.417</v>
      </c>
      <c r="R25" s="77" t="n">
        <v>0.643</v>
      </c>
      <c r="S25" s="77" t="n">
        <v>1.558</v>
      </c>
      <c r="T25" s="77" t="n">
        <v>1.559</v>
      </c>
      <c r="U25" s="77" t="inlineStr">
        <is>
          <t>netztransparenz per-year Umlagen pages — retr. 2026-07-15. No §19-Umlage before 2012.</t>
        </is>
      </c>
    </row>
    <row r="26" ht="15" customHeight="1" s="78">
      <c r="A26" s="77" t="inlineStr">
        <is>
          <t>§19-Umlage B′ (&gt;1 GWh, statutory cap 0.050)</t>
        </is>
      </c>
      <c r="B26" s="77" t="inlineStr">
        <is>
          <t>ct/kWh</t>
        </is>
      </c>
      <c r="C26" s="77" t="inlineStr">
        <is>
          <t>E1 blend</t>
        </is>
      </c>
      <c r="F26" s="77" t="n">
        <v>0.05</v>
      </c>
      <c r="G26" s="77" t="n">
        <v>0.05</v>
      </c>
      <c r="H26" s="77" t="n">
        <v>0.05</v>
      </c>
      <c r="I26" s="77" t="n">
        <v>0.05</v>
      </c>
      <c r="J26" s="77" t="n">
        <v>0.05</v>
      </c>
      <c r="K26" s="77" t="n">
        <v>0.05</v>
      </c>
      <c r="L26" s="77" t="n">
        <v>0.05</v>
      </c>
      <c r="M26" s="77" t="n">
        <v>0.05</v>
      </c>
      <c r="N26" s="77" t="n">
        <v>0.05</v>
      </c>
      <c r="O26" s="77" t="n">
        <v>0.05</v>
      </c>
      <c r="P26" s="77" t="n">
        <v>0.05</v>
      </c>
      <c r="Q26" s="77" t="n">
        <v>0.05</v>
      </c>
      <c r="R26" s="77" t="n">
        <v>0.05</v>
      </c>
      <c r="S26" s="77" t="n">
        <v>0.05</v>
      </c>
      <c r="T26" s="77" t="n">
        <v>0.05</v>
      </c>
    </row>
    <row r="27" ht="15" customHeight="1" s="78">
      <c r="A27" s="77" t="inlineStr">
        <is>
          <t>§19-Umlage C′ (&gt;1 GWh stromintensiv, cap 0.025)</t>
        </is>
      </c>
      <c r="B27" s="77" t="inlineStr">
        <is>
          <t>ct/kWh</t>
        </is>
      </c>
      <c r="C27" s="77" t="inlineStr">
        <is>
          <t>E2 blend</t>
        </is>
      </c>
      <c r="F27" s="77" t="n">
        <v>0.025</v>
      </c>
      <c r="G27" s="77" t="n">
        <v>0.025</v>
      </c>
      <c r="H27" s="77" t="n">
        <v>0.025</v>
      </c>
      <c r="I27" s="77" t="n">
        <v>0.025</v>
      </c>
      <c r="J27" s="77" t="n">
        <v>0.025</v>
      </c>
      <c r="K27" s="77" t="n">
        <v>0.025</v>
      </c>
      <c r="L27" s="77" t="n">
        <v>0.025</v>
      </c>
      <c r="M27" s="77" t="n">
        <v>0.025</v>
      </c>
      <c r="N27" s="77" t="n">
        <v>0.025</v>
      </c>
      <c r="O27" s="77" t="n">
        <v>0.025</v>
      </c>
      <c r="P27" s="77" t="n">
        <v>0.025</v>
      </c>
      <c r="Q27" s="77" t="n">
        <v>0.025</v>
      </c>
      <c r="R27" s="77" t="n">
        <v>0.025</v>
      </c>
      <c r="S27" s="77" t="n">
        <v>0.025</v>
      </c>
      <c r="T27" s="77" t="n">
        <v>0.025</v>
      </c>
    </row>
    <row r="28" ht="15" customHeight="1" s="78">
      <c r="A28" s="77" t="inlineStr">
        <is>
          <t>Offshore-Umlage non-priv (2013–18 Haftungsumlage Kat A; 2019+ re-based §17f EnWG non-priv — privileged company-specific from 2019)</t>
        </is>
      </c>
      <c r="B28" s="77" t="inlineStr">
        <is>
          <t>ct/kWh</t>
        </is>
      </c>
      <c r="C28" s="77" t="inlineStr">
        <is>
          <t>E1</t>
        </is>
      </c>
      <c r="G28" s="77" t="n">
        <v>0.25</v>
      </c>
      <c r="H28" s="77" t="n">
        <v>0.25</v>
      </c>
      <c r="I28" s="77" t="n">
        <v>-0.051</v>
      </c>
      <c r="J28" s="77" t="n">
        <v>0.04</v>
      </c>
      <c r="K28" s="77" t="n">
        <v>-0.028</v>
      </c>
      <c r="L28" s="77" t="n">
        <v>0.037</v>
      </c>
      <c r="M28" s="77" t="n">
        <v>0.416</v>
      </c>
      <c r="N28" s="77" t="n">
        <v>0.416</v>
      </c>
      <c r="O28" s="77" t="n">
        <v>0.395</v>
      </c>
      <c r="P28" s="77" t="n">
        <v>0.419</v>
      </c>
      <c r="Q28" s="77" t="n">
        <v>0.591</v>
      </c>
      <c r="R28" s="77" t="n">
        <v>0.656</v>
      </c>
      <c r="S28" s="77" t="n">
        <v>0.8159999999999999</v>
      </c>
      <c r="T28" s="77" t="n">
        <v>0.9409999999999999</v>
      </c>
      <c r="U28" s="77" t="inlineStr">
        <is>
          <t>netztransparenz — retr. 2026-07-15.</t>
        </is>
      </c>
    </row>
    <row r="29" ht="15" customHeight="1" s="78">
      <c r="A29" s="77" t="inlineStr">
        <is>
          <t>Offshore Kat B 2013–18</t>
        </is>
      </c>
      <c r="B29" s="77" t="inlineStr">
        <is>
          <t>ct/kWh</t>
        </is>
      </c>
      <c r="C29" s="77" t="inlineStr">
        <is>
          <t>E1 blend</t>
        </is>
      </c>
      <c r="G29" s="77" t="n">
        <v>0.05</v>
      </c>
      <c r="H29" s="77" t="n">
        <v>0.05</v>
      </c>
      <c r="I29" s="77" t="n">
        <v>0.05</v>
      </c>
      <c r="J29" s="77" t="n">
        <v>0.027</v>
      </c>
      <c r="K29" s="77" t="n">
        <v>0.038</v>
      </c>
      <c r="L29" s="77" t="n">
        <v>0.049</v>
      </c>
    </row>
    <row r="30" ht="15" customHeight="1" s="78">
      <c r="A30" s="77" t="inlineStr">
        <is>
          <t>Offshore Kat C 2013–18</t>
        </is>
      </c>
      <c r="B30" s="77" t="inlineStr">
        <is>
          <t>ct/kWh</t>
        </is>
      </c>
      <c r="C30" s="77" t="inlineStr">
        <is>
          <t>E2 blend</t>
        </is>
      </c>
      <c r="G30" s="77" t="n">
        <v>0.025</v>
      </c>
      <c r="H30" s="77" t="n">
        <v>0.025</v>
      </c>
      <c r="I30" s="77" t="n">
        <v>0.025</v>
      </c>
      <c r="J30" s="77" t="n">
        <v>0.025</v>
      </c>
      <c r="K30" s="77" t="n">
        <v>0.025</v>
      </c>
      <c r="L30" s="77" t="n">
        <v>0.024</v>
      </c>
    </row>
    <row r="31" ht="15" customHeight="1" s="78">
      <c r="A31" s="77" t="inlineStr">
        <is>
          <t>AbLaV-Umlage (all consumers; ends 2022)</t>
        </is>
      </c>
      <c r="B31" s="77" t="inlineStr">
        <is>
          <t>ct/kWh</t>
        </is>
      </c>
      <c r="C31" s="77" t="inlineStr">
        <is>
          <t>E1+E2</t>
        </is>
      </c>
      <c r="H31" s="77" t="n">
        <v>0.008999999999999999</v>
      </c>
      <c r="I31" s="77" t="n">
        <v>0.006</v>
      </c>
      <c r="J31" s="77" t="n">
        <v>0</v>
      </c>
      <c r="K31" s="77" t="n">
        <v>0.006</v>
      </c>
      <c r="L31" s="77" t="n">
        <v>0.011</v>
      </c>
      <c r="M31" s="77" t="n">
        <v>0.005</v>
      </c>
      <c r="N31" s="77" t="n">
        <v>0.007</v>
      </c>
      <c r="O31" s="77" t="n">
        <v>0.008999999999999999</v>
      </c>
      <c r="P31" s="77" t="n">
        <v>0.003</v>
      </c>
      <c r="Q31" s="77" t="n">
        <v>0</v>
      </c>
      <c r="R31" s="77" t="n">
        <v>0</v>
      </c>
      <c r="S31" s="77" t="n">
        <v>0</v>
      </c>
      <c r="T31" s="77" t="n">
        <v>0</v>
      </c>
      <c r="U31" s="77" t="inlineStr">
        <is>
          <t>netztransparenz — retr. 2026-07-15.</t>
        </is>
      </c>
    </row>
    <row r="33" ht="15" customHeight="1" s="78">
      <c r="A33" s="109" t="inlineStr">
        <is>
          <t>TAXES &amp; OBSERVED</t>
        </is>
      </c>
    </row>
    <row r="34" ht="15" customHeight="1" s="78">
      <c r="A34" s="77" t="inlineStr">
        <is>
          <t>Stromsteuer §3 (full rate, unchanged)</t>
        </is>
      </c>
      <c r="B34" s="77" t="inlineStr">
        <is>
          <t>€/MWh</t>
        </is>
      </c>
      <c r="C34" s="77" t="inlineStr">
        <is>
          <t>E1</t>
        </is>
      </c>
      <c r="D34" s="77" t="n">
        <v>20.5</v>
      </c>
      <c r="E34" s="77" t="n">
        <v>20.5</v>
      </c>
      <c r="F34" s="77" t="n">
        <v>20.5</v>
      </c>
      <c r="G34" s="77" t="n">
        <v>20.5</v>
      </c>
      <c r="H34" s="77" t="n">
        <v>20.5</v>
      </c>
      <c r="I34" s="77" t="n">
        <v>20.5</v>
      </c>
      <c r="J34" s="77" t="n">
        <v>20.5</v>
      </c>
      <c r="K34" s="77" t="n">
        <v>20.5</v>
      </c>
      <c r="L34" s="77" t="n">
        <v>20.5</v>
      </c>
      <c r="M34" s="77" t="n">
        <v>20.5</v>
      </c>
      <c r="N34" s="77" t="n">
        <v>20.5</v>
      </c>
      <c r="O34" s="77" t="n">
        <v>20.5</v>
      </c>
      <c r="P34" s="77" t="n">
        <v>20.5</v>
      </c>
      <c r="Q34" s="77" t="n">
        <v>20.5</v>
      </c>
      <c r="R34" s="77" t="n">
        <v>20.5</v>
      </c>
      <c r="S34" s="77" t="n">
        <v>20.5</v>
      </c>
      <c r="T34" s="77" t="n">
        <v>20.5</v>
      </c>
      <c r="U34" s="77" t="inlineStr">
        <is>
          <t>StromStG §3, gesetze-im-internet.de — retr. 2026-07-15.</t>
        </is>
      </c>
    </row>
    <row r="35" ht="15" customHeight="1" s="78">
      <c r="A35" s="77" t="inlineStr">
        <is>
          <t>Stromsteuer relieved (produzierendes Gewerbe): §9b from 2011 → 15.37; 2024+ → 0.50 (permanent, BGBl. 2025 I Nr. 340). 2010 reduced rate GAP. §10 Spitzenausgleich (through 2023) NOT modelled — overstates E2 (qc).</t>
        </is>
      </c>
      <c r="B35" s="77" t="inlineStr">
        <is>
          <t>€/MWh</t>
        </is>
      </c>
      <c r="C35" s="77" t="inlineStr">
        <is>
          <t>E2</t>
        </is>
      </c>
      <c r="D35" s="77" t="n">
        <v>12.3</v>
      </c>
      <c r="E35" s="77" t="n">
        <v>15.37</v>
      </c>
      <c r="F35" s="77" t="n">
        <v>15.37</v>
      </c>
      <c r="G35" s="77" t="n">
        <v>15.37</v>
      </c>
      <c r="H35" s="77" t="n">
        <v>15.37</v>
      </c>
      <c r="I35" s="77" t="n">
        <v>15.37</v>
      </c>
      <c r="J35" s="77" t="n">
        <v>15.37</v>
      </c>
      <c r="K35" s="77" t="n">
        <v>15.37</v>
      </c>
      <c r="L35" s="77" t="n">
        <v>15.37</v>
      </c>
      <c r="M35" s="77" t="n">
        <v>15.37</v>
      </c>
      <c r="N35" s="77" t="n">
        <v>15.37</v>
      </c>
      <c r="O35" s="77" t="n">
        <v>15.37</v>
      </c>
      <c r="P35" s="77" t="n">
        <v>15.37</v>
      </c>
      <c r="Q35" s="77" t="n">
        <v>15.37</v>
      </c>
      <c r="R35" s="77" t="n">
        <v>0.5</v>
      </c>
      <c r="S35" s="77" t="n">
        <v>0.5</v>
      </c>
      <c r="T35" s="77" t="n">
        <v>0.5</v>
      </c>
      <c r="U35" s="77" t="inlineStr">
        <is>
          <t>StromStG §9b; HFG 2024 (BGBl. 2023 I Nr. 412); BGBl. 2025 I Nr. 340 — retr. 2026-07-15. | 2010 = §9(3) StromStG a.F. reduced rate 12.30 €/MWh (BGBl I 2002/87 S.4602; unchanged-through-2010 chain verified; §9(5) Sockel 8.20 on first 25 MWh/a negligible at archetype scale; §10 Spitzenausgleich 95%/512.50€ NOT modelled — consistent w/ later years). retr. 2026-07-15</t>
        </is>
      </c>
    </row>
    <row r="36" ht="15" customHeight="1" s="78">
      <c r="A36" s="77" t="inlineStr">
        <is>
          <t>Konzessionsabgabe — Sondervertragskunden: Grenzpreis rule → 0 for both archetypes (KAV §2(4))</t>
        </is>
      </c>
      <c r="B36" s="77" t="inlineStr">
        <is>
          <t>ct/kWh</t>
        </is>
      </c>
      <c r="C36" s="77" t="inlineStr">
        <is>
          <t>E1+E2</t>
        </is>
      </c>
      <c r="D36" s="77" t="n">
        <v>0</v>
      </c>
      <c r="E36" s="77" t="n">
        <v>0</v>
      </c>
      <c r="F36" s="77" t="n">
        <v>0</v>
      </c>
      <c r="G36" s="77" t="n">
        <v>0</v>
      </c>
      <c r="H36" s="77" t="n">
        <v>0</v>
      </c>
      <c r="I36" s="77" t="n">
        <v>0</v>
      </c>
      <c r="J36" s="77" t="n">
        <v>0</v>
      </c>
      <c r="K36" s="77" t="n">
        <v>0</v>
      </c>
      <c r="L36" s="77" t="n">
        <v>0</v>
      </c>
      <c r="M36" s="77" t="n">
        <v>0</v>
      </c>
      <c r="N36" s="77" t="n">
        <v>0</v>
      </c>
      <c r="O36" s="77" t="n">
        <v>0</v>
      </c>
      <c r="P36" s="77" t="n">
        <v>0</v>
      </c>
      <c r="Q36" s="77" t="n">
        <v>0</v>
      </c>
      <c r="R36" s="77" t="n">
        <v>0</v>
      </c>
      <c r="S36" s="77" t="n">
        <v>0</v>
      </c>
      <c r="T36" s="77" t="n">
        <v>0</v>
      </c>
      <c r="U36" s="77" t="inlineStr">
        <is>
          <t>KAV §2(3)/(4), gesetze-im-internet.de — retr. 2026-07-15. Max 0.11 ct/kWh; typically zero via Grenzpreisvergleich — set 0, flagged.</t>
        </is>
      </c>
    </row>
    <row r="37" ht="15" customHeight="1" s="78">
      <c r="A37" s="77" t="inlineStr">
        <is>
          <t>Eurostat nrg_pc_205 DE band ID (2–20 GWh) S1, X_VAT</t>
        </is>
      </c>
      <c r="B37" s="77" t="inlineStr">
        <is>
          <t>EUR/kWh</t>
        </is>
      </c>
      <c r="C37" s="77" t="inlineStr">
        <is>
          <t>observed</t>
        </is>
      </c>
      <c r="D37" s="77" t="n">
        <v>0.0993</v>
      </c>
      <c r="E37" s="77" t="n">
        <v>0.1121</v>
      </c>
      <c r="F37" s="77" t="n">
        <v>0.1145</v>
      </c>
      <c r="G37" s="77" t="n">
        <v>0.1278</v>
      </c>
      <c r="H37" s="77" t="n">
        <v>0.1376</v>
      </c>
      <c r="I37" s="77" t="n">
        <v>0.1316</v>
      </c>
      <c r="J37" s="77" t="n">
        <v>0.1285</v>
      </c>
      <c r="K37" s="77" t="n">
        <v>0.1268</v>
      </c>
      <c r="L37" s="77" t="n">
        <v>0.122</v>
      </c>
      <c r="M37" s="77" t="n">
        <v>0.131</v>
      </c>
      <c r="N37" s="77" t="n">
        <v>0.1509</v>
      </c>
      <c r="O37" s="77" t="n">
        <v>0.1501</v>
      </c>
      <c r="P37" s="77" t="n">
        <v>0.1928</v>
      </c>
      <c r="Q37" s="77" t="n">
        <v>0.2055</v>
      </c>
      <c r="R37" s="77" t="n">
        <v>0.2017</v>
      </c>
      <c r="S37" s="77" t="n">
        <v>0.1932</v>
      </c>
      <c r="U37" s="77" t="inlineStr">
        <is>
          <t>Eurostat nrg_pc_205, geo=DE, X_VAT — retr. 2026-07-15.</t>
        </is>
      </c>
    </row>
    <row r="38" ht="15" customHeight="1" s="78">
      <c r="A38" s="77" t="inlineStr">
        <is>
          <t>Band ID S2</t>
        </is>
      </c>
      <c r="B38" s="77" t="inlineStr">
        <is>
          <t>EUR/kWh</t>
        </is>
      </c>
      <c r="C38" s="77" t="inlineStr">
        <is>
          <t>observed</t>
        </is>
      </c>
      <c r="D38" s="77" t="n">
        <v>0.1058</v>
      </c>
      <c r="E38" s="77" t="n">
        <v>0.1139</v>
      </c>
      <c r="F38" s="77" t="n">
        <v>0.1169</v>
      </c>
      <c r="G38" s="77" t="n">
        <v>0.1273</v>
      </c>
      <c r="H38" s="77" t="n">
        <v>0.1326</v>
      </c>
      <c r="I38" s="77" t="n">
        <v>0.13</v>
      </c>
      <c r="J38" s="77" t="n">
        <v>0.1262</v>
      </c>
      <c r="K38" s="77" t="n">
        <v>0.127</v>
      </c>
      <c r="L38" s="77" t="n">
        <v>0.1244</v>
      </c>
      <c r="M38" s="77" t="n">
        <v>0.1361</v>
      </c>
      <c r="N38" s="77" t="n">
        <v>0.1534</v>
      </c>
      <c r="O38" s="77" t="n">
        <v>0.1642</v>
      </c>
      <c r="P38" s="77" t="n">
        <v>0.1949</v>
      </c>
      <c r="Q38" s="77" t="n">
        <v>0.2017</v>
      </c>
      <c r="R38" s="77" t="n">
        <v>0.2076</v>
      </c>
      <c r="S38" s="77" t="n">
        <v>0.1922</v>
      </c>
    </row>
    <row r="39" ht="15" customHeight="1" s="78">
      <c r="A39" s="77" t="inlineStr">
        <is>
          <t>Band ID annual = semester avg (Eurostat publishes no annual — estimated=Y, per D7 convention)</t>
        </is>
      </c>
      <c r="B39" s="77" t="inlineStr">
        <is>
          <t>EUR/kWh</t>
        </is>
      </c>
      <c r="C39" s="77" t="inlineStr">
        <is>
          <t>observed</t>
        </is>
      </c>
      <c r="D39" s="77">
        <f>AVERAGE(D37,D38)</f>
        <v/>
      </c>
      <c r="E39" s="77">
        <f>AVERAGE(E37,E38)</f>
        <v/>
      </c>
      <c r="F39" s="77">
        <f>AVERAGE(F37,F38)</f>
        <v/>
      </c>
      <c r="G39" s="77">
        <f>AVERAGE(G37,G38)</f>
        <v/>
      </c>
      <c r="H39" s="77">
        <f>AVERAGE(H37,H38)</f>
        <v/>
      </c>
      <c r="I39" s="77">
        <f>AVERAGE(I37,I38)</f>
        <v/>
      </c>
      <c r="J39" s="77">
        <f>AVERAGE(J37,J38)</f>
        <v/>
      </c>
      <c r="K39" s="77">
        <f>AVERAGE(K37,K38)</f>
        <v/>
      </c>
      <c r="L39" s="77">
        <f>AVERAGE(L37,L38)</f>
        <v/>
      </c>
      <c r="M39" s="77">
        <f>AVERAGE(M37,M38)</f>
        <v/>
      </c>
      <c r="N39" s="77">
        <f>AVERAGE(N37,N38)</f>
        <v/>
      </c>
      <c r="O39" s="77">
        <f>AVERAGE(O37,O38)</f>
        <v/>
      </c>
      <c r="P39" s="77">
        <f>AVERAGE(P37,P38)</f>
        <v/>
      </c>
      <c r="Q39" s="77">
        <f>AVERAGE(Q37,Q38)</f>
        <v/>
      </c>
      <c r="R39" s="77">
        <f>AVERAGE(R37,R38)</f>
        <v/>
      </c>
      <c r="S39" s="77">
        <f>AVERAGE(S37,S38)</f>
        <v/>
      </c>
    </row>
    <row r="40" ht="15" customHeight="1" s="78">
      <c r="A40" s="77" t="inlineStr">
        <is>
          <t>Band IF (70–150 GWh) S1</t>
        </is>
      </c>
      <c r="B40" s="77" t="inlineStr">
        <is>
          <t>EUR/kWh</t>
        </is>
      </c>
      <c r="C40" s="77" t="inlineStr">
        <is>
          <t>observed</t>
        </is>
      </c>
      <c r="D40" s="77" t="n">
        <v>0.0824</v>
      </c>
      <c r="E40" s="77" t="n">
        <v>0.1013</v>
      </c>
      <c r="F40" s="77" t="n">
        <v>0.0931</v>
      </c>
      <c r="G40" s="77" t="n">
        <v>0.1064</v>
      </c>
      <c r="H40" s="77" t="n">
        <v>0.1063</v>
      </c>
      <c r="I40" s="77" t="n">
        <v>0.1012</v>
      </c>
      <c r="J40" s="77" t="n">
        <v>0.0796</v>
      </c>
      <c r="K40" s="77" t="n">
        <v>0.1062</v>
      </c>
      <c r="L40" s="77" t="n">
        <v>0.08840000000000001</v>
      </c>
      <c r="M40" s="77" t="n">
        <v>0.0931</v>
      </c>
      <c r="N40" s="77" t="n">
        <v>0.1007</v>
      </c>
      <c r="O40" s="77" t="n">
        <v>0.1149</v>
      </c>
      <c r="P40" s="77" t="n">
        <v>0.1634</v>
      </c>
      <c r="Q40" s="77" t="n">
        <v>0.1686</v>
      </c>
      <c r="R40" s="77" t="n">
        <v>0.1394</v>
      </c>
      <c r="S40" s="77" t="n">
        <v>0.1447</v>
      </c>
    </row>
    <row r="41" ht="15" customHeight="1" s="78">
      <c r="A41" s="77" t="inlineStr">
        <is>
          <t>Band IF S2</t>
        </is>
      </c>
      <c r="B41" s="77" t="inlineStr">
        <is>
          <t>EUR/kWh</t>
        </is>
      </c>
      <c r="C41" s="77" t="inlineStr">
        <is>
          <t>observed</t>
        </is>
      </c>
      <c r="D41" s="77" t="n">
        <v>0.0902</v>
      </c>
      <c r="E41" s="77" t="n">
        <v>0.1</v>
      </c>
      <c r="F41" s="77" t="n">
        <v>0.0921</v>
      </c>
      <c r="G41" s="77" t="n">
        <v>0.09710000000000001</v>
      </c>
      <c r="H41" s="77" t="n">
        <v>0.1033</v>
      </c>
      <c r="I41" s="77" t="n">
        <v>0.0939</v>
      </c>
      <c r="J41" s="77" t="n">
        <v>0.0877</v>
      </c>
      <c r="K41" s="77" t="n">
        <v>0.093</v>
      </c>
      <c r="L41" s="77" t="n">
        <v>0.09080000000000001</v>
      </c>
      <c r="M41" s="77" t="n">
        <v>0.0925</v>
      </c>
      <c r="N41" s="77" t="n">
        <v>0.1122</v>
      </c>
      <c r="O41" s="77" t="n">
        <v>0.1347</v>
      </c>
      <c r="P41" s="77" t="n">
        <v>0.1886</v>
      </c>
      <c r="Q41" s="77" t="n">
        <v>0.172</v>
      </c>
      <c r="R41" s="77" t="n">
        <v>0.143</v>
      </c>
      <c r="S41" s="77" t="n">
        <v>0.144</v>
      </c>
    </row>
    <row r="42" ht="15" customHeight="1" s="78">
      <c r="A42" s="77" t="inlineStr">
        <is>
          <t>Band IF annual = semester avg (estimated=Y)</t>
        </is>
      </c>
      <c r="B42" s="77" t="inlineStr">
        <is>
          <t>EUR/kWh</t>
        </is>
      </c>
      <c r="C42" s="77" t="inlineStr">
        <is>
          <t>observed</t>
        </is>
      </c>
      <c r="D42" s="77">
        <f>AVERAGE(D40,D41)</f>
        <v/>
      </c>
      <c r="E42" s="77">
        <f>AVERAGE(E40,E41)</f>
        <v/>
      </c>
      <c r="F42" s="77">
        <f>AVERAGE(F40,F41)</f>
        <v/>
      </c>
      <c r="G42" s="77">
        <f>AVERAGE(G40,G41)</f>
        <v/>
      </c>
      <c r="H42" s="77">
        <f>AVERAGE(H40,H41)</f>
        <v/>
      </c>
      <c r="I42" s="77">
        <f>AVERAGE(I40,I41)</f>
        <v/>
      </c>
      <c r="J42" s="77">
        <f>AVERAGE(J40,J41)</f>
        <v/>
      </c>
      <c r="K42" s="77">
        <f>AVERAGE(K40,K41)</f>
        <v/>
      </c>
      <c r="L42" s="77">
        <f>AVERAGE(L40,L41)</f>
        <v/>
      </c>
      <c r="M42" s="77">
        <f>AVERAGE(M40,M41)</f>
        <v/>
      </c>
      <c r="N42" s="77">
        <f>AVERAGE(N40,N41)</f>
        <v/>
      </c>
      <c r="O42" s="77">
        <f>AVERAGE(O40,O41)</f>
        <v/>
      </c>
      <c r="P42" s="77">
        <f>AVERAGE(P40,P41)</f>
        <v/>
      </c>
      <c r="Q42" s="77">
        <f>AVERAGE(Q40,Q41)</f>
        <v/>
      </c>
      <c r="R42" s="77">
        <f>AVERAGE(R40,R41)</f>
        <v/>
      </c>
      <c r="S42" s="77">
        <f>AVERAGE(S40,S41)</f>
        <v/>
      </c>
    </row>
    <row r="43" ht="15" customHeight="1" s="78">
      <c r="A43" s="77" t="inlineStr">
        <is>
          <t>Band IG (≥150 GWh) S1 — NA before 2019-S2 (Q21 answered); 2019-S2 = 0.0768 (not annualisable)</t>
        </is>
      </c>
      <c r="B43" s="77" t="inlineStr">
        <is>
          <t>EUR/kWh</t>
        </is>
      </c>
      <c r="C43" s="77" t="inlineStr">
        <is>
          <t>observed</t>
        </is>
      </c>
      <c r="N43" s="77" t="n">
        <v>0.0643</v>
      </c>
      <c r="O43" s="77" t="n">
        <v>0.0882</v>
      </c>
      <c r="P43" s="77" t="n">
        <v>0.1734</v>
      </c>
      <c r="Q43" s="77" t="n">
        <v>0.1589</v>
      </c>
      <c r="R43" s="77" t="n">
        <v>0.1212</v>
      </c>
      <c r="S43" s="77" t="n">
        <v>0.1338</v>
      </c>
    </row>
    <row r="44" ht="15" customHeight="1" s="78">
      <c r="A44" s="77" t="inlineStr">
        <is>
          <t>Band IG S2</t>
        </is>
      </c>
      <c r="B44" s="77" t="inlineStr">
        <is>
          <t>EUR/kWh</t>
        </is>
      </c>
      <c r="C44" s="77" t="inlineStr">
        <is>
          <t>observed</t>
        </is>
      </c>
      <c r="N44" s="77" t="n">
        <v>0.0733</v>
      </c>
      <c r="O44" s="77" t="n">
        <v>0.1311</v>
      </c>
      <c r="P44" s="77" t="n">
        <v>0.207</v>
      </c>
      <c r="Q44" s="77" t="n">
        <v>0.1527</v>
      </c>
      <c r="R44" s="77" t="n">
        <v>0.139</v>
      </c>
      <c r="S44" s="77" t="n">
        <v>0.1307</v>
      </c>
    </row>
    <row r="45" ht="15" customHeight="1" s="78">
      <c r="A45" s="77" t="inlineStr">
        <is>
          <t>Band IG annual = semester avg (estimated=Y), 2020+</t>
        </is>
      </c>
      <c r="B45" s="77" t="inlineStr">
        <is>
          <t>EUR/kWh</t>
        </is>
      </c>
      <c r="C45" s="77" t="inlineStr">
        <is>
          <t>observed</t>
        </is>
      </c>
      <c r="N45" s="77">
        <f>AVERAGE(N43,N44)</f>
        <v/>
      </c>
      <c r="O45" s="77">
        <f>AVERAGE(O43,O44)</f>
        <v/>
      </c>
      <c r="P45" s="77">
        <f>AVERAGE(P43,P44)</f>
        <v/>
      </c>
      <c r="Q45" s="77">
        <f>AVERAGE(Q43,Q44)</f>
        <v/>
      </c>
      <c r="R45" s="77">
        <f>AVERAGE(R43,R44)</f>
        <v/>
      </c>
      <c r="S45" s="77">
        <f>AVERAGE(S43,S44)</f>
        <v/>
      </c>
    </row>
    <row r="47">
      <c r="A47" s="109" t="inlineStr">
        <is>
          <t>SUPPLY-SIDE — independent supplier opex+margin overlay (Q89, 2026-07-24). BNetzA/BKartA Monitoringbericht 2025 is the FIRST edition to split the supply block for NON-HOUSEHOLD cases: MB2023/MB2024 published only a bundled "vom Lieferanten beeinflussbarer Preisbestandteil (Restbetrag)". Validation overlay only — NOT part of the E1/E2 build-up (function-6 exclusion). No German CSS equivalent exists: EnWG §6b Abs.3 S.1 lists seven activities requiring separate accounts and Vertrieb is not among them; Dir. 2009/72 Art.31(3) (separate supply accounts) was DROPPED from Dir. (EU) 2019/944. Rejected routes documented in Q89.</t>
        </is>
      </c>
      <c r="B47" s="109" t="n"/>
      <c r="C47" s="109" t="n"/>
      <c r="D47" s="109" t="n"/>
      <c r="E47" s="109" t="n"/>
      <c r="F47" s="109" t="n"/>
      <c r="G47" s="109" t="n"/>
      <c r="H47" s="109" t="n"/>
      <c r="I47" s="109" t="n"/>
      <c r="J47" s="109" t="n"/>
      <c r="K47" s="109" t="n"/>
      <c r="L47" s="109" t="n"/>
      <c r="M47" s="109" t="n"/>
      <c r="N47" s="109" t="n"/>
      <c r="O47" s="109" t="n"/>
      <c r="P47" s="109" t="n"/>
      <c r="Q47" s="109" t="n"/>
      <c r="R47" s="109" t="n"/>
      <c r="S47" s="109" t="n"/>
      <c r="T47" s="109" t="n"/>
      <c r="U47" s="109" t="n"/>
    </row>
    <row r="48">
      <c r="A48" s="77" t="inlineStr">
        <is>
          <t>BNetzA MB2025 "Vertrieb und Marge" — Industriekunde 24 GWh/a (RLM, Mittelspannung, 6,000h/4MW, ohne Vergünstigungen), mean of 127 reporting suppliers</t>
        </is>
      </c>
      <c r="B48" s="77" t="inlineStr">
        <is>
          <t>€/MWh</t>
        </is>
      </c>
      <c r="C48" s="77" t="inlineStr">
        <is>
          <t>observed (BNetzA survey); opex and margin NOT separated</t>
        </is>
      </c>
      <c r="D48" s="77" t="n"/>
      <c r="E48" s="77" t="n"/>
      <c r="F48" s="77" t="n"/>
      <c r="G48" s="77" t="n"/>
      <c r="H48" s="77" t="n"/>
      <c r="I48" s="77" t="n"/>
      <c r="J48" s="77" t="n"/>
      <c r="K48" s="77" t="n"/>
      <c r="L48" s="77" t="n"/>
      <c r="M48" s="77" t="n"/>
      <c r="N48" s="77" t="n"/>
      <c r="O48" s="77" t="n"/>
      <c r="P48" s="77" t="n"/>
      <c r="Q48" s="77" t="n"/>
      <c r="R48" s="77" t="n"/>
      <c r="S48" s="77" t="n">
        <v>17.7</v>
      </c>
      <c r="T48" s="77" t="n"/>
      <c r="U48" s="77" t="inlineStr">
        <is>
          <t>BNetzA/BKartA, Monitoringbericht Energie 2025 (pub. 26.11.2025), Tab. 35 p.166 — price date 01.04.2025 — retr. 2026-07-24 (S182). Published as 1.77 ct/kWh alongside Beschaffungskosten 9.65, Nettonetzentgelt 4.28, Umlagen 1.21, Stromsteuer 2.05; net total 19.09 ct/kWh. SINGLE YEAR — no industry series exists before 2025 (see r52). Band is ~6x below the XL archetype (&gt;150 GWh) — treat as a CEILING, not a like-for-like read.</t>
        </is>
      </c>
    </row>
    <row r="49">
      <c r="A49" s="77" t="inlineStr">
        <is>
          <t>Same, P90 of the supplier dispersion (P10 = 0.00 ct/kWh)</t>
        </is>
      </c>
      <c r="B49" s="77" t="inlineStr">
        <is>
          <t>€/MWh</t>
        </is>
      </c>
      <c r="C49" s="77" t="inlineStr">
        <is>
          <t>observed — dispersion, not central estimate</t>
        </is>
      </c>
      <c r="D49" s="77" t="n"/>
      <c r="E49" s="77" t="n"/>
      <c r="F49" s="77" t="n"/>
      <c r="G49" s="77" t="n"/>
      <c r="H49" s="77" t="n"/>
      <c r="I49" s="77" t="n"/>
      <c r="J49" s="77" t="n"/>
      <c r="K49" s="77" t="n"/>
      <c r="L49" s="77" t="n"/>
      <c r="M49" s="77" t="n"/>
      <c r="N49" s="77" t="n"/>
      <c r="O49" s="77" t="n"/>
      <c r="P49" s="77" t="n"/>
      <c r="Q49" s="77" t="n"/>
      <c r="R49" s="77" t="n"/>
      <c r="S49" s="77" t="n">
        <v>56.2</v>
      </c>
      <c r="T49" s="77" t="n"/>
      <c r="U49" s="77" t="inlineStr">
        <is>
          <t>Same table. P10–P90 = 0.00–5.62 ct/kWh. The zero floor at P10 is itself informative: a material share of surveyed suppliers report no separable selling cost or margin on this case.</t>
        </is>
      </c>
    </row>
    <row r="50">
      <c r="A50" s="77" t="inlineStr">
        <is>
          <t>BNetzA MB2025 "Vertrieb und Marge" — Gewerbekunde 50 MWh/a (Niederspannung, 1,000h), comparator</t>
        </is>
      </c>
      <c r="B50" s="77" t="inlineStr">
        <is>
          <t>€/MWh</t>
        </is>
      </c>
      <c r="C50" s="77" t="inlineStr">
        <is>
          <t>observed — size gradient comparator</t>
        </is>
      </c>
      <c r="D50" s="77" t="n"/>
      <c r="E50" s="77" t="n"/>
      <c r="F50" s="77" t="n"/>
      <c r="G50" s="77" t="n"/>
      <c r="H50" s="77" t="n"/>
      <c r="I50" s="77" t="n"/>
      <c r="J50" s="77" t="n"/>
      <c r="K50" s="77" t="n"/>
      <c r="L50" s="77" t="n"/>
      <c r="M50" s="77" t="n"/>
      <c r="N50" s="77" t="n"/>
      <c r="O50" s="77" t="n"/>
      <c r="P50" s="77" t="n"/>
      <c r="Q50" s="77" t="n"/>
      <c r="R50" s="77" t="n"/>
      <c r="S50" s="77" t="n">
        <v>30.3</v>
      </c>
      <c r="T50" s="77" t="n"/>
      <c r="U50" s="77" t="inlineStr">
        <is>
          <t>MB2025 Tab. 37 (735 suppliers), P10–P90 0.00–9.39 ct/kWh — retr. 2026-07-24 (S182). With r48 and r54 this establishes the size gradient: 30.3 (50 MWh) → 17.7 (24 GWh) → ~0 (70–150 GWh).</t>
        </is>
      </c>
    </row>
    <row r="51">
      <c r="A51" s="77" t="inlineStr">
        <is>
          <t>BNetzA "Vertrieb und Marge" — household band DC (2,500–5,000 kWh), volume-weighted across contract categories (context only)</t>
        </is>
      </c>
      <c r="B51" s="77" t="inlineStr">
        <is>
          <t>€/MWh</t>
        </is>
      </c>
      <c r="C51" s="77" t="inlineStr">
        <is>
          <t>observed — household, NOT industrial</t>
        </is>
      </c>
      <c r="D51" s="77" t="n"/>
      <c r="E51" s="77" t="n"/>
      <c r="F51" s="77" t="n"/>
      <c r="G51" s="77" t="n"/>
      <c r="H51" s="77" t="n"/>
      <c r="I51" s="77" t="n"/>
      <c r="J51" s="77" t="n"/>
      <c r="K51" s="77" t="n"/>
      <c r="L51" s="77" t="n"/>
      <c r="M51" s="77" t="n"/>
      <c r="N51" s="77" t="n"/>
      <c r="O51" s="77" t="n"/>
      <c r="P51" s="77" t="n">
        <v>42.7</v>
      </c>
      <c r="Q51" s="77" t="n">
        <v>52.6</v>
      </c>
      <c r="R51" s="77" t="n">
        <v>39.8</v>
      </c>
      <c r="S51" s="77" t="n">
        <v>44.5</v>
      </c>
      <c r="T51" s="77" t="n"/>
      <c r="U51" s="77" t="inlineStr">
        <is>
          <t>MB2022–MB2025, household price-composition tables (MB2025 Tab. 38) — retr. 2026-07-24 (S182). MB2025 Tab. 40 p.173 splits 2025 by contract category: Ersatzversorgung 7.91, Grundversorgung 6.72, Grundversorger außerhalb GV 4.22, nicht-örtlicher Lieferant 3.57 ct/kWh — i.e. German retail margin sits in incumbent DEFAULT tariffs, roughly double the competitive-contract loading. Included for context; not used in the industrial bracket.</t>
        </is>
      </c>
    </row>
    <row r="52">
      <c r="A52" s="77" t="inlineStr">
        <is>
          <t>BNetzA pre-2025 BUNDLED residual "Energiebeschaffung, Vertrieb und Marge", Industriekunde 24 GWh/a — NOT a margin (procurement dominated)</t>
        </is>
      </c>
      <c r="B52" s="77" t="inlineStr">
        <is>
          <t>€/MWh</t>
        </is>
      </c>
      <c r="C52" s="77" t="inlineStr">
        <is>
          <t>observed (bundled); NOT usable as margin</t>
        </is>
      </c>
      <c r="D52" s="77" t="n"/>
      <c r="E52" s="77" t="n"/>
      <c r="F52" s="77" t="n"/>
      <c r="G52" s="77" t="n"/>
      <c r="H52" s="77" t="n"/>
      <c r="I52" s="77" t="n"/>
      <c r="J52" s="77" t="n"/>
      <c r="K52" s="77" t="n"/>
      <c r="L52" s="77" t="n"/>
      <c r="M52" s="77" t="n">
        <v>43.3</v>
      </c>
      <c r="N52" s="77" t="n">
        <v>42</v>
      </c>
      <c r="O52" s="77" t="n">
        <v>48.8</v>
      </c>
      <c r="P52" s="77" t="n">
        <v>127.7</v>
      </c>
      <c r="Q52" s="77" t="n">
        <v>167</v>
      </c>
      <c r="R52" s="77" t="n">
        <v>127.8</v>
      </c>
      <c r="S52" s="77" t="n"/>
      <c r="T52" s="77" t="n"/>
      <c r="U52" s="77" t="inlineStr">
        <is>
          <t>MB2019–MB2024 industrial price-composition tables (MB2023 Tab. 60 p.179 = 16.70 ct/kWh; MB2024 Tab. 53 = 12.78) — retr. 2026-07-24 (S183). Netting this against contemporaneous Cal-year futures gives ≈+0.7 €/MWh (2020) but ≈-10 €/MWh (2024) and strongly negative (2023): the negatives are HEDGE VINTAGE, not margin — the identical pathology to the D68 crisis-year sign-flips. Only the 2019/20 reading is a usable anchor, and it corroborates r54 (≈0 mark-up). Do NOT difference this row to estimate margin.</t>
        </is>
      </c>
    </row>
    <row r="53">
      <c r="A53" s="77" t="inlineStr">
        <is>
          <t>E.ON SE, Energy Retail — GERMANY column: adjusted EBITDA ÷ German customer-group volumes (power+gas; wholesale rows stripped)</t>
        </is>
      </c>
      <c r="B53" s="77" t="inlineStr">
        <is>
          <t>€/MWh</t>
        </is>
      </c>
      <c r="C53" s="77" t="inlineStr">
        <is>
          <t>estimated=Y (computed EBITDA÷volume); mass-market-weighted</t>
        </is>
      </c>
      <c r="D53" s="77" t="n"/>
      <c r="E53" s="77" t="n"/>
      <c r="F53" s="77" t="n"/>
      <c r="G53" s="77" t="n"/>
      <c r="H53" s="77" t="n"/>
      <c r="I53" s="77" t="n"/>
      <c r="J53" s="77" t="n"/>
      <c r="K53" s="77" t="n"/>
      <c r="L53" s="77" t="n"/>
      <c r="M53" s="77" t="n"/>
      <c r="N53" s="77" t="n"/>
      <c r="O53" s="77" t="n">
        <v>3.1545</v>
      </c>
      <c r="P53" s="77" t="n">
        <v>4.5783</v>
      </c>
      <c r="Q53" s="77" t="n">
        <v>7.0098</v>
      </c>
      <c r="R53" s="77" t="n">
        <v>6.5248</v>
      </c>
      <c r="S53" s="77" t="n">
        <v>7.5258</v>
      </c>
      <c r="T53" s="77" t="n"/>
      <c r="U53" s="77" t="inlineStr">
        <is>
          <t>E.ON Geschäftsberichte 2021, 2022, 2023 (Customer Solutions) and GB2024/GB2025 (Energy Retail): segment note country split of adj. EBITDA + management-report volume table (bn kWh by country and customer group) — retr. 2026-07-24 (S184, S188). Germany adj. EBITDA €m: 694 (FY21 restated; 660 as first reported) / 760 / 858 (FY23 restated Energy Retail; 993 as reported on the old Customer Solutions basis) / 751 / 803. Germany customer-group volumes power+gas TWh: 220.0 / 166.0 / 122.4 / 115.1 / 106.7. BASIS BREAK at 2023: FY21–22 are Customer Solutions (incl. Energy Infrastructure Solutions, no country split of EIS available); FY23–25 are Energy Retail. Use the Customer-groups subtotal, NOT Total — GB24 restated the FY2023 wholesale row severely (DE gas total 187.5 → 66.8). Germany column is unchanged between GB24 and GB25 in every row. MARGIN ONLY: adjusted EBITDA is already net of the supplier own operating cost, so this is NOT the same quantity as the UK CSS overlay (retail opex + EBIT) — see r71.</t>
        </is>
      </c>
    </row>
    <row r="54">
      <c r="A54" s="77" t="inlineStr">
        <is>
          <t>Fraunhofer ISI Industriestrompreise — IN-BAND anchor: implied mark-up over modelled wholesale, German industrials 70–150 GWh/a</t>
        </is>
      </c>
      <c r="B54" s="77" t="inlineStr">
        <is>
          <t>€/MWh</t>
        </is>
      </c>
      <c r="C54" s="77" t="inlineStr">
        <is>
          <t>estimated=Y (implied residual); ONLY in-band observation</t>
        </is>
      </c>
      <c r="D54" s="77" t="n"/>
      <c r="E54" s="77" t="n"/>
      <c r="F54" s="77" t="n"/>
      <c r="G54" s="77" t="n">
        <v>0</v>
      </c>
      <c r="H54" s="77" t="n"/>
      <c r="I54" s="77" t="n"/>
      <c r="J54" s="77" t="n"/>
      <c r="K54" s="77" t="n"/>
      <c r="L54" s="77" t="n"/>
      <c r="M54" s="77" t="n"/>
      <c r="N54" s="77" t="n"/>
      <c r="O54" s="77" t="n"/>
      <c r="P54" s="77" t="n"/>
      <c r="Q54" s="77" t="n"/>
      <c r="R54" s="77" t="n"/>
      <c r="S54" s="77" t="n"/>
      <c r="T54" s="77" t="n"/>
      <c r="U54" s="77" t="inlineStr">
        <is>
          <t>Fraunhofer ISI, Industriestrompreise Abschlussbericht — retr. 2026-07-24 (S185). Actual mean procurement price 4.68 ct/kWh vs modelled wholesale proxy 4.69 ct/kWh (80% forwards / 20% spot) for the 70–150 GWh band in 2013 → implied mark-up ≈ 0. ISI does not label this a risk premium. Single year, and the ONLY published observation inside the study archetype band. Consistent with market structure: consumers at this scale tender competitively and buy structured rather than fixed-price full supply, stripping most of the risk premium.</t>
        </is>
      </c>
    </row>
    <row r="56">
      <c r="A56" s="109" t="inlineStr">
        <is>
          <t>Q89 ADOPTED BRACKET — bundled supplier opex + margin for the LARGE (XL, &gt;150 GWh) archetype, 2025. Bracket not point estimate; floor from the in-band ISI anchor, ceiling from the BNetzA 24 GWh/a survey mean, central from the E.ON Germany retail read. USD at the D1 2025 annual-average rate (fx_deflator!C10 = 1.1306 USD/EUR); nominal 2025 USD.</t>
        </is>
      </c>
      <c r="B56" s="109" t="n"/>
      <c r="C56" s="109" t="n"/>
      <c r="D56" s="109" t="n"/>
      <c r="E56" s="109" t="n"/>
      <c r="F56" s="109" t="n"/>
      <c r="G56" s="109" t="n"/>
      <c r="H56" s="109" t="n"/>
      <c r="I56" s="109" t="n"/>
      <c r="J56" s="109" t="n"/>
      <c r="K56" s="109" t="n"/>
      <c r="L56" s="109" t="n"/>
      <c r="M56" s="109" t="n"/>
      <c r="N56" s="109" t="n"/>
      <c r="O56" s="109" t="n"/>
      <c r="P56" s="109" t="n"/>
      <c r="Q56" s="109" t="n"/>
      <c r="R56" s="109" t="n"/>
      <c r="S56" s="109" t="n"/>
      <c r="T56" s="109" t="n"/>
      <c r="U56" s="109" t="n"/>
    </row>
    <row r="57">
      <c r="A57" s="77" t="inlineStr">
        <is>
          <t>Q89 bracket — FLOOR (ISI in-band ≈0; structured tendered supply at XL scale)</t>
        </is>
      </c>
      <c r="B57" s="77" t="inlineStr">
        <is>
          <t>€/MWh</t>
        </is>
      </c>
      <c r="C57" s="77" t="inlineStr">
        <is>
          <t>bracket bound</t>
        </is>
      </c>
      <c r="D57" s="77" t="n"/>
      <c r="E57" s="77" t="n"/>
      <c r="F57" s="77" t="n"/>
      <c r="G57" s="77" t="n"/>
      <c r="H57" s="77" t="n"/>
      <c r="I57" s="77" t="n"/>
      <c r="J57" s="77" t="n"/>
      <c r="K57" s="77" t="n"/>
      <c r="L57" s="77" t="n"/>
      <c r="M57" s="77" t="n"/>
      <c r="N57" s="77" t="n"/>
      <c r="O57" s="77" t="n"/>
      <c r="P57" s="77" t="n"/>
      <c r="Q57" s="77" t="n"/>
      <c r="R57" s="77" t="n"/>
      <c r="S57" s="77" t="n">
        <v>0</v>
      </c>
      <c r="T57" s="77" t="n"/>
      <c r="U57" s="77" t="inlineStr">
        <is>
          <t>Anchored on r54. A floor of exactly zero is deliberate: r49 shows P10 = 0.00 ct/kWh even at 24 GWh/a.</t>
        </is>
      </c>
    </row>
    <row r="58">
      <c r="A58" s="77" t="inlineStr">
        <is>
          <t>Q89 bracket — CENTRAL (E.ON DE retail EBITDA; mass-market-weighted, so an upper-leaning central)</t>
        </is>
      </c>
      <c r="B58" s="77" t="inlineStr">
        <is>
          <t>€/MWh</t>
        </is>
      </c>
      <c r="C58" s="77" t="inlineStr">
        <is>
          <t>bracket central</t>
        </is>
      </c>
      <c r="D58" s="77" t="n"/>
      <c r="E58" s="77" t="n"/>
      <c r="F58" s="77" t="n"/>
      <c r="G58" s="77" t="n"/>
      <c r="H58" s="77" t="n"/>
      <c r="I58" s="77" t="n"/>
      <c r="J58" s="77" t="n"/>
      <c r="K58" s="77" t="n"/>
      <c r="L58" s="77" t="n"/>
      <c r="M58" s="77" t="n"/>
      <c r="N58" s="77" t="n"/>
      <c r="O58" s="77" t="n"/>
      <c r="P58" s="77" t="n"/>
      <c r="Q58" s="77" t="n"/>
      <c r="R58" s="77" t="n"/>
      <c r="S58" s="77">
        <f>S53</f>
        <v/>
      </c>
      <c r="T58" s="77" t="n"/>
      <c r="U58" s="77" t="inlineStr">
        <is>
          <t>Reads r53 (FY2025). Bounded above by r48 and below by r54.</t>
        </is>
      </c>
    </row>
    <row r="59">
      <c r="A59" s="77" t="inlineStr">
        <is>
          <t>Q89 bracket — CEILING (BNetzA MB2025 survey mean at 24 GWh/a)</t>
        </is>
      </c>
      <c r="B59" s="77" t="inlineStr">
        <is>
          <t>€/MWh</t>
        </is>
      </c>
      <c r="C59" s="77" t="inlineStr">
        <is>
          <t>bracket bound</t>
        </is>
      </c>
      <c r="D59" s="77" t="n"/>
      <c r="E59" s="77" t="n"/>
      <c r="F59" s="77" t="n"/>
      <c r="G59" s="77" t="n"/>
      <c r="H59" s="77" t="n"/>
      <c r="I59" s="77" t="n"/>
      <c r="J59" s="77" t="n"/>
      <c r="K59" s="77" t="n"/>
      <c r="L59" s="77" t="n"/>
      <c r="M59" s="77" t="n"/>
      <c r="N59" s="77" t="n"/>
      <c r="O59" s="77" t="n"/>
      <c r="P59" s="77" t="n"/>
      <c r="Q59" s="77" t="n"/>
      <c r="R59" s="77" t="n"/>
      <c r="S59" s="77">
        <f>S48</f>
        <v/>
      </c>
      <c r="T59" s="77" t="n"/>
      <c r="U59" s="77" t="inlineStr">
        <is>
          <t>Reads r48. Ceiling because the surveyed band is ~6x smaller than the XL archetype and the size gradient (r50→r48→r54) is steeply downward.</t>
        </is>
      </c>
    </row>
    <row r="60">
      <c r="A60" s="77" t="inlineStr">
        <is>
          <t>Q89 bracket in USD — FLOOR (nominal 2025 USD, D1 annual-average FX)</t>
        </is>
      </c>
      <c r="B60" s="77" t="inlineStr">
        <is>
          <t>$/MWh</t>
        </is>
      </c>
      <c r="C60" s="77" t="inlineStr">
        <is>
          <t>bracket bound, USD</t>
        </is>
      </c>
      <c r="D60" s="77" t="n"/>
      <c r="E60" s="77" t="n"/>
      <c r="F60" s="77" t="n"/>
      <c r="G60" s="77" t="n"/>
      <c r="H60" s="77" t="n"/>
      <c r="I60" s="77" t="n"/>
      <c r="J60" s="77" t="n"/>
      <c r="K60" s="77" t="n"/>
      <c r="L60" s="77" t="n"/>
      <c r="M60" s="77" t="n"/>
      <c r="N60" s="77" t="n"/>
      <c r="O60" s="77" t="n"/>
      <c r="P60" s="77" t="n"/>
      <c r="Q60" s="77" t="n"/>
      <c r="R60" s="77" t="n"/>
      <c r="S60" s="77">
        <f>S57*fx_deflator!$C$10</f>
        <v/>
      </c>
      <c r="T60" s="77" t="n"/>
      <c r="U60" s="77" t="inlineStr">
        <is>
          <t>Nominal 2025 USD per D1/D6 (2025 annual-average FX exists; no 2026 conversion). Real-2025 deflation is a no-op for a 2025 data year.</t>
        </is>
      </c>
    </row>
    <row r="61">
      <c r="A61" s="77" t="inlineStr">
        <is>
          <t>Q89 bracket in USD — CENTRAL (nominal 2025 USD, D1 annual-average FX)</t>
        </is>
      </c>
      <c r="B61" s="77" t="inlineStr">
        <is>
          <t>$/MWh</t>
        </is>
      </c>
      <c r="C61" s="77" t="inlineStr">
        <is>
          <t>bracket bound, USD</t>
        </is>
      </c>
      <c r="D61" s="77" t="n"/>
      <c r="E61" s="77" t="n"/>
      <c r="F61" s="77" t="n"/>
      <c r="G61" s="77" t="n"/>
      <c r="H61" s="77" t="n"/>
      <c r="I61" s="77" t="n"/>
      <c r="J61" s="77" t="n"/>
      <c r="K61" s="77" t="n"/>
      <c r="L61" s="77" t="n"/>
      <c r="M61" s="77" t="n"/>
      <c r="N61" s="77" t="n"/>
      <c r="O61" s="77" t="n"/>
      <c r="P61" s="77" t="n"/>
      <c r="Q61" s="77" t="n"/>
      <c r="R61" s="77" t="n"/>
      <c r="S61" s="77">
        <f>S58*fx_deflator!$C$10</f>
        <v/>
      </c>
      <c r="T61" s="77" t="n"/>
      <c r="U61" s="77" t="inlineStr">
        <is>
          <t>Nominal 2025 USD per D1/D6 (2025 annual-average FX exists; no 2026 conversion). Real-2025 deflation is a no-op for a 2025 data year.</t>
        </is>
      </c>
    </row>
    <row r="62">
      <c r="A62" s="77" t="inlineStr">
        <is>
          <t>Q89 bracket in USD — CEILING (nominal 2025 USD, D1 annual-average FX)</t>
        </is>
      </c>
      <c r="B62" s="77" t="inlineStr">
        <is>
          <t>$/MWh</t>
        </is>
      </c>
      <c r="C62" s="77" t="inlineStr">
        <is>
          <t>bracket bound, USD</t>
        </is>
      </c>
      <c r="D62" s="77" t="n"/>
      <c r="E62" s="77" t="n"/>
      <c r="F62" s="77" t="n"/>
      <c r="G62" s="77" t="n"/>
      <c r="H62" s="77" t="n"/>
      <c r="I62" s="77" t="n"/>
      <c r="J62" s="77" t="n"/>
      <c r="K62" s="77" t="n"/>
      <c r="L62" s="77" t="n"/>
      <c r="M62" s="77" t="n"/>
      <c r="N62" s="77" t="n"/>
      <c r="O62" s="77" t="n"/>
      <c r="P62" s="77" t="n"/>
      <c r="Q62" s="77" t="n"/>
      <c r="R62" s="77" t="n"/>
      <c r="S62" s="77">
        <f>S59*fx_deflator!$C$10</f>
        <v/>
      </c>
      <c r="T62" s="77" t="n"/>
      <c r="U62" s="77" t="inlineStr">
        <is>
          <t>Nominal 2025 USD per D1/D6 (2025 annual-average FX exists; no 2026 conversion). Real-2025 deflation is a no-op for a 2025 data year.</t>
        </is>
      </c>
    </row>
    <row r="63">
      <c r="A63" s="109" t="inlineStr">
        <is>
          <t>Q89 CROSS-COUNTRY READ: the UK CSS panel measures $8.1/MWh retail opex + $9.4/MWh EBIT = $17.5/MWh for non-domestic electricity in 2024 (stage4_uk r56/r58, Q88). The DE ceiling here is $20.0/MWh and the DE central $8.5/MWh. Supplier opex+margin is therefore NOT a material UK–Germany differentiator — a null result in the same family as the relieved-EII network-charge convergence. WEDGE CONSTRAINT (D68): the DE large E1 2025 wedge is -$6.31, which cannot accommodate ANY positive supplier margin — confirming E1 is a relieved-band construct rather than a headline; and the DE E2 wedge of +$41.74 is therefore dominated by relief-spectrum position, not by supply margin.</t>
        </is>
      </c>
      <c r="B63" s="109" t="n"/>
      <c r="C63" s="109" t="n"/>
      <c r="D63" s="109" t="n"/>
      <c r="E63" s="109" t="n"/>
      <c r="F63" s="109" t="n"/>
      <c r="G63" s="109" t="n"/>
      <c r="H63" s="109" t="n"/>
      <c r="I63" s="109" t="n"/>
      <c r="J63" s="109" t="n"/>
      <c r="K63" s="109" t="n"/>
      <c r="L63" s="109" t="n"/>
      <c r="M63" s="109" t="n"/>
      <c r="N63" s="109" t="n"/>
      <c r="O63" s="109" t="n"/>
      <c r="P63" s="109" t="n"/>
      <c r="Q63" s="109" t="n"/>
      <c r="R63" s="109" t="n"/>
      <c r="S63" s="109" t="n"/>
      <c r="T63" s="109" t="n"/>
      <c r="U63" s="109" t="n"/>
    </row>
    <row r="65">
      <c r="A65" s="109" t="inlineStr">
        <is>
          <t>ARTICLE CHART SERIES (Q89, owner decision 2026-07-24 rev.2) — the supplier segment drawn in the German panels of paying_for_power_article.html (figs 3, 4 and 6) is the BNetzA "Vertrieb und Marge" observation (r73), CONCEPT-MATCHED to the UK CSS overlay. The E.ON series below (r66–r70) is retained as the PROFIT-ONLY cross-check and appears in the article data tables, not as a drawn segment.</t>
        </is>
      </c>
      <c r="B65" s="109" t="n"/>
      <c r="C65" s="109" t="n"/>
      <c r="D65" s="109" t="n"/>
      <c r="E65" s="109" t="n"/>
      <c r="F65" s="109" t="n"/>
      <c r="G65" s="109" t="n"/>
      <c r="H65" s="109" t="n"/>
      <c r="I65" s="109" t="n"/>
      <c r="J65" s="109" t="n"/>
      <c r="K65" s="109" t="n"/>
      <c r="L65" s="109" t="n"/>
      <c r="M65" s="109" t="n"/>
      <c r="N65" s="109" t="n"/>
      <c r="O65" s="109" t="n"/>
      <c r="P65" s="109" t="n"/>
      <c r="Q65" s="109" t="n"/>
      <c r="R65" s="109" t="n"/>
      <c r="S65" s="109" t="n"/>
      <c r="T65" s="109" t="n"/>
      <c r="U65" s="109" t="n"/>
    </row>
    <row r="66">
      <c r="A66" s="77" t="inlineStr">
        <is>
          <t>E.ON Energy Retail / Customer Solutions — Germany column, adjusted EBITDA</t>
        </is>
      </c>
      <c r="B66" s="77" t="inlineStr">
        <is>
          <t>€m</t>
        </is>
      </c>
      <c r="C66" s="77" t="inlineStr">
        <is>
          <t>observed (company accounts)</t>
        </is>
      </c>
      <c r="D66" s="77" t="n"/>
      <c r="E66" s="77" t="n"/>
      <c r="F66" s="77" t="n"/>
      <c r="G66" s="77" t="n"/>
      <c r="H66" s="77" t="n"/>
      <c r="I66" s="77" t="n"/>
      <c r="J66" s="77" t="n"/>
      <c r="K66" s="77" t="n"/>
      <c r="L66" s="77" t="n"/>
      <c r="M66" s="77" t="n"/>
      <c r="N66" s="77" t="n"/>
      <c r="O66" s="77" t="n">
        <v>694</v>
      </c>
      <c r="P66" s="77" t="n">
        <v>760</v>
      </c>
      <c r="Q66" s="77" t="n">
        <v>858</v>
      </c>
      <c r="R66" s="77" t="n">
        <v>751</v>
      </c>
      <c r="S66" s="77" t="n">
        <v>803</v>
      </c>
      <c r="T66" s="77" t="n"/>
      <c r="U66" s="77" t="inlineStr">
        <is>
          <t>FY21 = restated figure from the AR2022 comparative (660 as first reported in AR2021). FY23 = Energy Retail restated (GB24 p.95 / segment note p.214); 993 on the old Customer Solutions basis (AR2023 p.107). S184/S188.</t>
        </is>
      </c>
    </row>
    <row r="67">
      <c r="A67" s="77" t="inlineStr">
        <is>
          <t>E.ON — Germany column, customer-group sales volume, power + gas (wholesale rows stripped)</t>
        </is>
      </c>
      <c r="B67" s="77" t="inlineStr">
        <is>
          <t>TWh</t>
        </is>
      </c>
      <c r="C67" s="77" t="inlineStr">
        <is>
          <t>observed (company accounts)</t>
        </is>
      </c>
      <c r="D67" s="77" t="n"/>
      <c r="E67" s="77" t="n"/>
      <c r="F67" s="77" t="n"/>
      <c r="G67" s="77" t="n"/>
      <c r="H67" s="77" t="n"/>
      <c r="I67" s="77" t="n"/>
      <c r="J67" s="77" t="n"/>
      <c r="K67" s="77" t="n"/>
      <c r="L67" s="77" t="n"/>
      <c r="M67" s="77" t="n"/>
      <c r="N67" s="77" t="n"/>
      <c r="O67" s="77" t="n">
        <v>220</v>
      </c>
      <c r="P67" s="77" t="n">
        <v>166</v>
      </c>
      <c r="Q67" s="77" t="n">
        <v>122.4</v>
      </c>
      <c r="R67" s="77" t="n">
        <v>115.1</v>
      </c>
      <c r="S67" s="77" t="n">
        <v>106.7</v>
      </c>
      <c r="T67" s="77" t="n"/>
      <c r="U67" s="77" t="inlineStr">
        <is>
          <t>Power + gas "Kundengruppen" subtotals, Germany column: FY21 111.0+109.0 (AR2021 pp.75–76); FY22 79.6+86.4 (AR2022 p.115); FY23 59.7+62.7 (GB24 pp.91–92, Energy Retail basis; 61.2+68.2 on the AR2023 Customer Solutions basis); FY24 52.9+62.2 (GB24/GB25); FY25 47.5+59.2 (GB25 p.49). S184/S188.</t>
        </is>
      </c>
    </row>
    <row r="68">
      <c r="A68" s="77" t="inlineStr">
        <is>
          <t>Implied supplier margin, Germany retail book (margin only — EBITDA is net of the supplier own opex)</t>
        </is>
      </c>
      <c r="B68" s="77" t="inlineStr">
        <is>
          <t>€/MWh</t>
        </is>
      </c>
      <c r="C68" s="77" t="inlineStr">
        <is>
          <t>estimated=Y (computed r66÷r67)</t>
        </is>
      </c>
      <c r="D68" s="77" t="n"/>
      <c r="E68" s="77" t="n"/>
      <c r="F68" s="77" t="n"/>
      <c r="G68" s="77" t="n"/>
      <c r="H68" s="77" t="n"/>
      <c r="I68" s="77" t="n"/>
      <c r="J68" s="77" t="n"/>
      <c r="K68" s="77" t="n"/>
      <c r="L68" s="77" t="n"/>
      <c r="M68" s="77" t="n"/>
      <c r="N68" s="77" t="n"/>
      <c r="O68" s="77">
        <f>IF(O67="","",O66/O67)</f>
        <v/>
      </c>
      <c r="P68" s="77">
        <f>IF(P67="","",P66/P67)</f>
        <v/>
      </c>
      <c r="Q68" s="77">
        <f>IF(Q67="","",Q66/Q67)</f>
        <v/>
      </c>
      <c r="R68" s="77">
        <f>IF(R67="","",R66/R67)</f>
        <v/>
      </c>
      <c r="S68" s="77">
        <f>IF(S67="","",S66/S67)</f>
        <v/>
      </c>
      <c r="T68" s="77" t="n"/>
      <c r="U68" s="77" t="inlineStr">
        <is>
          <t>Reproduces r53. Not comparable to the UK CSS overlay without adding a German supplier operating cost, which no German source publishes separately.</t>
        </is>
      </c>
    </row>
    <row r="69">
      <c r="A69" s="77" t="inlineStr">
        <is>
          <t>Same, real-2025 USD (D1 annual-average FX × CPI-U deflator to 2025)</t>
        </is>
      </c>
      <c r="B69" s="77" t="inlineStr">
        <is>
          <t>real-2025 $/MWh</t>
        </is>
      </c>
      <c r="C69" s="77" t="inlineStr">
        <is>
          <t>estimated=Y (computed)</t>
        </is>
      </c>
      <c r="D69" s="77" t="n"/>
      <c r="E69" s="77" t="n"/>
      <c r="F69" s="77" t="n"/>
      <c r="G69" s="77" t="n"/>
      <c r="H69" s="77" t="n"/>
      <c r="I69" s="77" t="n"/>
      <c r="J69" s="77" t="n"/>
      <c r="K69" s="77" t="n"/>
      <c r="L69" s="77" t="n"/>
      <c r="M69" s="77" t="n"/>
      <c r="N69" s="77" t="n"/>
      <c r="O69" s="77">
        <f>IF(O68="","",O68*fx_deflator!$C$6*fx_deflator!$F$6)</f>
        <v/>
      </c>
      <c r="P69" s="77">
        <f>IF(P68="","",P68*fx_deflator!$C$7*fx_deflator!$F$7)</f>
        <v/>
      </c>
      <c r="Q69" s="77">
        <f>IF(Q68="","",Q68*fx_deflator!$C$8*fx_deflator!$F$8)</f>
        <v/>
      </c>
      <c r="R69" s="77">
        <f>IF(R68="","",R68*fx_deflator!$C$9*fx_deflator!$F$9)</f>
        <v/>
      </c>
      <c r="S69" s="77">
        <f>IF(S68="","",S68*fx_deflator!$C$10*fx_deflator!$F$10)</f>
        <v/>
      </c>
      <c r="T69" s="77" t="n"/>
      <c r="U69" s="77" t="inlineStr">
        <is>
          <t>House rule 1: nominal local → Fed H.10 annual-average FX → CPI-U deflation to 2025. The series roughly doubles 2021→2025, which is why a flat backpropagation (r70) understates the recent years and probably overstates the early ones.</t>
        </is>
      </c>
    </row>
    <row r="70">
      <c r="A70" s="77" t="inlineStr">
        <is>
          <t>E.ON margin series with 2010–2020 filled at the 2024–25 average (superseded as the drawn series on 2026-07-24; retained as the article data-table cross-check)</t>
        </is>
      </c>
      <c r="B70" s="77" t="inlineStr">
        <is>
          <t>real-2025 $/MWh</t>
        </is>
      </c>
      <c r="C70" s="77" t="inlineStr">
        <is>
          <t>estimated=Y (imputed pre-2021)</t>
        </is>
      </c>
      <c r="D70" s="77">
        <f>AVERAGE($R$69,$S$69)</f>
        <v/>
      </c>
      <c r="E70" s="77">
        <f>AVERAGE($R$69,$S$69)</f>
        <v/>
      </c>
      <c r="F70" s="77">
        <f>AVERAGE($R$69,$S$69)</f>
        <v/>
      </c>
      <c r="G70" s="77">
        <f>AVERAGE($R$69,$S$69)</f>
        <v/>
      </c>
      <c r="H70" s="77">
        <f>AVERAGE($R$69,$S$69)</f>
        <v/>
      </c>
      <c r="I70" s="77">
        <f>AVERAGE($R$69,$S$69)</f>
        <v/>
      </c>
      <c r="J70" s="77">
        <f>AVERAGE($R$69,$S$69)</f>
        <v/>
      </c>
      <c r="K70" s="77">
        <f>AVERAGE($R$69,$S$69)</f>
        <v/>
      </c>
      <c r="L70" s="77">
        <f>AVERAGE($R$69,$S$69)</f>
        <v/>
      </c>
      <c r="M70" s="77">
        <f>AVERAGE($R$69,$S$69)</f>
        <v/>
      </c>
      <c r="N70" s="77">
        <f>AVERAGE($R$69,$S$69)</f>
        <v/>
      </c>
      <c r="O70" s="77">
        <f>O69</f>
        <v/>
      </c>
      <c r="P70" s="77">
        <f>P69</f>
        <v/>
      </c>
      <c r="Q70" s="77">
        <f>Q69</f>
        <v/>
      </c>
      <c r="R70" s="77">
        <f>R69</f>
        <v/>
      </c>
      <c r="S70" s="77">
        <f>S69</f>
        <v/>
      </c>
      <c r="T70" s="77" t="n"/>
      <c r="U70" s="77" t="inlineStr">
        <is>
          <t>Owner decision 2026-07-24: backpropagate the 2024–25 average across the years with no measurement, so the German panels carry a margin segment over the full chart span. Imputation constant = $7.877/MWh. Mirrors the existing UK convention (cssWedge.measuredFilled imputes 2010–11 and 2025 at the 2012–24 average of $14.315). Flagged as indicative in the article captions.</t>
        </is>
      </c>
    </row>
    <row r="71">
      <c r="A71" s="109" t="inlineStr">
        <is>
          <t>CONCEPT ASYMMETRY — APPLIES TO THE E.ON SERIES ONLY (r66–r70), which is adjusted EBITDA per MWh, i.e. MARGIN ONLY: EBITDA is already net of the supplier selling cost, so it is NOT comparable to the UK CSS overlay (retail opex + EBIT). It was briefly the drawn segment on 2026-07-24 and was replaced the same day by r73/r74 for exactly this reason. Retained as the profit-only cross-check: it is the margin sitting INSIDE the BNetzA figure. Do not scale it up to the BNetzA level — that constructs a number rather than measuring one.</t>
        </is>
      </c>
      <c r="B71" s="109" t="n"/>
      <c r="C71" s="109" t="n"/>
      <c r="D71" s="109" t="n"/>
      <c r="E71" s="109" t="n"/>
      <c r="F71" s="109" t="n"/>
      <c r="G71" s="109" t="n"/>
      <c r="H71" s="109" t="n"/>
      <c r="I71" s="109" t="n"/>
      <c r="J71" s="109" t="n"/>
      <c r="K71" s="109" t="n"/>
      <c r="L71" s="109" t="n"/>
      <c r="M71" s="109" t="n"/>
      <c r="N71" s="109" t="n"/>
      <c r="O71" s="109" t="n"/>
      <c r="P71" s="109" t="n"/>
      <c r="Q71" s="109" t="n"/>
      <c r="R71" s="109" t="n"/>
      <c r="S71" s="109" t="n"/>
      <c r="T71" s="109" t="n"/>
      <c r="U71" s="109" t="n"/>
    </row>
    <row r="72">
      <c r="A72" s="109" t="inlineStr">
        <is>
          <t>DRAWN SERIES — BNetzA "Vertrieb und Marge", industrial 24 GWh/a, held constant in REAL terms across the chart span. One observation exists (2025); the 2025 Monitoringbericht is the first edition to split the supply block for non-household cases, so the shape carries no information — only the level. Real-constant, NOT nominal-constant: holding €17.7 nominal and deflating would put 2010 at ≈$34.7 and imply a fall that is not evidenced.</t>
        </is>
      </c>
      <c r="B72" s="109" t="n"/>
      <c r="C72" s="109" t="n"/>
      <c r="D72" s="109" t="n"/>
      <c r="E72" s="109" t="n"/>
      <c r="F72" s="109" t="n"/>
      <c r="G72" s="109" t="n"/>
      <c r="H72" s="109" t="n"/>
      <c r="I72" s="109" t="n"/>
      <c r="J72" s="109" t="n"/>
      <c r="K72" s="109" t="n"/>
      <c r="L72" s="109" t="n"/>
      <c r="M72" s="109" t="n"/>
      <c r="N72" s="109" t="n"/>
      <c r="O72" s="109" t="n"/>
      <c r="P72" s="109" t="n"/>
      <c r="Q72" s="109" t="n"/>
      <c r="R72" s="109" t="n"/>
      <c r="S72" s="109" t="n"/>
      <c r="T72" s="109" t="n"/>
      <c r="U72" s="109" t="n"/>
    </row>
    <row r="73">
      <c r="A73" s="77" t="inlineStr">
        <is>
          <t>BNetzA "Vertrieb und Marge" 24 GWh/a — real-2025 USD (= r48 × 2025 FX; r48 is €/MWh)</t>
        </is>
      </c>
      <c r="B73" s="77" t="inlineStr">
        <is>
          <t>real-2025 $/MWh</t>
        </is>
      </c>
      <c r="C73" s="77" t="inlineStr">
        <is>
          <t>observed (BNetzA survey), 2025</t>
        </is>
      </c>
      <c r="D73" s="77" t="n"/>
      <c r="E73" s="77" t="n"/>
      <c r="F73" s="77" t="n"/>
      <c r="G73" s="77" t="n"/>
      <c r="H73" s="77" t="n"/>
      <c r="I73" s="77" t="n"/>
      <c r="J73" s="77" t="n"/>
      <c r="K73" s="77" t="n"/>
      <c r="L73" s="77" t="n"/>
      <c r="M73" s="77" t="n"/>
      <c r="N73" s="77" t="n"/>
      <c r="O73" s="77" t="n"/>
      <c r="P73" s="77" t="n"/>
      <c r="Q73" s="77" t="n"/>
      <c r="R73" s="77" t="n"/>
      <c r="S73" s="77">
        <f>S48*fx_deflator!$C$10</f>
        <v/>
      </c>
      <c r="T73" s="77" t="n"/>
      <c r="U73" s="77" t="inlineStr">
        <is>
          <t>Reproduces stage4_de r62 (bracket ceiling). BNetzA MB2025 Tab. 35 p.166, 1.77 ct/kWh, mean of 127 suppliers, price date 01.04.2025 (S182). P10–P90 0.00–5.62 ct/kWh → $0.00–63.53 real-2025 USD/MWh — dispersion is wider than the mean.</t>
        </is>
      </c>
    </row>
    <row r="74">
      <c r="A74" s="77" t="inlineStr">
        <is>
          <t>ARTICLE DISPLAY SERIES — r73 held constant across 2010–2025</t>
        </is>
      </c>
      <c r="B74" s="77" t="inlineStr">
        <is>
          <t>real-2025 $/MWh</t>
        </is>
      </c>
      <c r="C74" s="77" t="inlineStr">
        <is>
          <t>estimated=Y (single observation held constant)</t>
        </is>
      </c>
      <c r="D74" s="77">
        <f>$S$73</f>
        <v/>
      </c>
      <c r="E74" s="77">
        <f>$S$73</f>
        <v/>
      </c>
      <c r="F74" s="77">
        <f>$S$73</f>
        <v/>
      </c>
      <c r="G74" s="77">
        <f>$S$73</f>
        <v/>
      </c>
      <c r="H74" s="77">
        <f>$S$73</f>
        <v/>
      </c>
      <c r="I74" s="77">
        <f>$S$73</f>
        <v/>
      </c>
      <c r="J74" s="77">
        <f>$S$73</f>
        <v/>
      </c>
      <c r="K74" s="77">
        <f>$S$73</f>
        <v/>
      </c>
      <c r="L74" s="77">
        <f>$S$73</f>
        <v/>
      </c>
      <c r="M74" s="77">
        <f>$S$73</f>
        <v/>
      </c>
      <c r="N74" s="77">
        <f>$S$73</f>
        <v/>
      </c>
      <c r="O74" s="77">
        <f>$S$73</f>
        <v/>
      </c>
      <c r="P74" s="77">
        <f>$S$73</f>
        <v/>
      </c>
      <c r="Q74" s="77">
        <f>$S$73</f>
        <v/>
      </c>
      <c r="R74" s="77">
        <f>$S$73</f>
        <v/>
      </c>
      <c r="S74" s="77">
        <f>$S$73</f>
        <v/>
      </c>
      <c r="T74" s="77" t="n"/>
      <c r="U74" s="77" t="inlineStr">
        <is>
          <t>What the German panels actually draw. BAND CAVEAT: the surveyed case (24 GWh/a) sits almost exactly on the MEDIUM archetype (20 GWh/a) — close to a direct read on the article default view — and is a CEILING on the LARGE archetype (&gt;150 GWh/a), where the size gradient runs 30.3 €/MWh at 50 MWh → 17.7 at 24 GWh → ≈0 at 70–150 GWh (r50/r48/r54). fig6 is large-only, so its German lines sit if anything a little high. Stated in the fig3, fig4 and fig6 captions.</t>
        </is>
      </c>
    </row>
    <row r="75">
      <c r="A75" s="109" t="inlineStr">
        <is>
          <t>CONCEPT MATCH RESOLVED (supersedes the r71 warning as it applied to the drawn segment): "Vertrieb und Marge" is selling cost + margin together — the same construct as the UK CSS overlay (stage4_uk r56+r58 = retail opex + EBIT). The two chart segments are now like-for-like: DE $20.01 (2025, 24 GWh/a) vs UK $17.5 (2024, non-domestic book). r71 still governs the E.ON series (r66–r70), which remains margin-only and must never be drawn as the German equivalent of the UK segment.</t>
        </is>
      </c>
      <c r="B75" s="109" t="n"/>
      <c r="C75" s="109" t="n"/>
      <c r="D75" s="109" t="n"/>
      <c r="E75" s="109" t="n"/>
      <c r="F75" s="109" t="n"/>
      <c r="G75" s="109" t="n"/>
      <c r="H75" s="109" t="n"/>
      <c r="I75" s="109" t="n"/>
      <c r="J75" s="109" t="n"/>
      <c r="K75" s="109" t="n"/>
      <c r="L75" s="109" t="n"/>
      <c r="M75" s="109" t="n"/>
      <c r="N75" s="109" t="n"/>
      <c r="O75" s="109" t="n"/>
      <c r="P75" s="109" t="n"/>
      <c r="Q75" s="109" t="n"/>
      <c r="R75" s="109" t="n"/>
      <c r="S75" s="109" t="n"/>
      <c r="T75" s="109" t="n"/>
      <c r="U75" s="10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U10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77" min="1" max="1"/>
    <col width="11" customWidth="1" style="77" min="2" max="2"/>
    <col width="24" customWidth="1" style="77" min="3" max="3"/>
    <col width="100" customWidth="1" style="77" min="21" max="21"/>
  </cols>
  <sheetData>
    <row r="1" ht="16.5" customHeight="1" s="78">
      <c r="A1" s="109" t="inlineStr">
        <is>
          <t>STAGE 4 RAW + BUILD — China (nominal CNY, 元/MWh unless stated; all 含税 as published). Basket = renormalised over available provinces (D23), weights = assumptions Set C (D11); coverage share reported per year. Structural breaks: 2021-10 (1439号) and 2026 (136号文/1077号) — never a continuous line.</t>
        </is>
      </c>
    </row>
    <row r="2" ht="16.5" customHeight="1" s="78">
      <c r="A2" s="77" t="inlineStr">
        <is>
          <t>Sources: stage4_staging_cn_catalogue.md / cn_market.md (retr. 2026-07-15); cn_td tab (P2 from 1508号; P3 from 526号 annex incl. in-session extraction 2026-07-15; P4 from 1077号). Catalogue prices INCLUDE funds (except GD, published excl. funds from 2017 — funds added back, estimated=Y). GAPS blank — no interpolation. Month-weighting rule for mid-year tariff changes: changeover month assigned to new tariff if effective ≤15th of month, else old (estimated=Y).</t>
        </is>
      </c>
    </row>
    <row r="4" ht="15" customHeight="1" s="78">
      <c r="A4" s="143" t="inlineStr">
        <is>
          <t>Series</t>
        </is>
      </c>
      <c r="B4" s="143" t="inlineStr">
        <is>
          <t>Unit</t>
        </is>
      </c>
      <c r="C4" s="143" t="inlineStr">
        <is>
          <t>Case/notes</t>
        </is>
      </c>
      <c r="D4" s="143" t="n">
        <v>2010</v>
      </c>
      <c r="E4" s="143" t="n">
        <v>2011</v>
      </c>
      <c r="F4" s="143" t="n">
        <v>2012</v>
      </c>
      <c r="G4" s="143" t="n">
        <v>2013</v>
      </c>
      <c r="H4" s="143" t="n">
        <v>2014</v>
      </c>
      <c r="I4" s="143" t="n">
        <v>2015</v>
      </c>
      <c r="J4" s="143" t="n">
        <v>2016</v>
      </c>
      <c r="K4" s="143" t="n">
        <v>2017</v>
      </c>
      <c r="L4" s="143" t="n">
        <v>2018</v>
      </c>
      <c r="M4" s="143" t="n">
        <v>2019</v>
      </c>
      <c r="N4" s="143" t="n">
        <v>2020</v>
      </c>
      <c r="O4" s="143" t="n">
        <v>2021</v>
      </c>
      <c r="P4" s="143" t="n">
        <v>2022</v>
      </c>
      <c r="Q4" s="143" t="n">
        <v>2023</v>
      </c>
      <c r="R4" s="143" t="n">
        <v>2024</v>
      </c>
      <c r="S4" s="143" t="n">
        <v>2025</v>
      </c>
      <c r="T4" s="143" t="n">
        <v>2026</v>
      </c>
      <c r="U4" s="143" t="inlineStr">
        <is>
          <t>Source / method</t>
        </is>
      </c>
    </row>
    <row r="6" ht="16.5" customHeight="1" s="78">
      <c r="A6" s="109" t="inlineStr">
        <is>
          <t>A. CATALOGUE ERA (大工业 two-part) — step values by effective date. vol = 元/kWh; 需量 = 元/kW·月 (constant per province).</t>
        </is>
      </c>
    </row>
    <row r="7" ht="16.5" customHeight="1" s="78">
      <c r="A7" s="77" t="inlineStr">
        <is>
          <t>JS catalogue 2011-12-01</t>
        </is>
      </c>
      <c r="B7" s="142" t="inlineStr">
        <is>
          <t>元/kWh</t>
        </is>
      </c>
      <c r="D7" s="77" t="n">
        <v>0.622</v>
      </c>
      <c r="E7" s="77" t="n">
        <v>0.667</v>
      </c>
      <c r="U7" s="142" t="inlineStr">
        <is>
          <t>发改价格[2011]2622号 附件三 (ndrc.gov.cn + appendix PDF)</t>
        </is>
      </c>
    </row>
    <row r="8" ht="16.5" customHeight="1" s="78">
      <c r="A8" s="77" t="inlineStr">
        <is>
          <t>JS catalogue 2015-04-20</t>
        </is>
      </c>
      <c r="B8" s="142" t="inlineStr">
        <is>
          <t>元/kWh</t>
        </is>
      </c>
      <c r="D8" s="77" t="n">
        <v>0.6151</v>
      </c>
      <c r="E8" s="77" t="n">
        <v>0.6601</v>
      </c>
      <c r="U8" s="142" t="inlineStr">
        <is>
          <t>苏价工[2015]122号 (yixing.gov.cn)</t>
        </is>
      </c>
    </row>
    <row r="9" ht="16.5" customHeight="1" s="78">
      <c r="A9" s="77" t="inlineStr">
        <is>
          <t>JS catalogue 2017-07-01</t>
        </is>
      </c>
      <c r="B9" s="142" t="inlineStr">
        <is>
          <t>元/kWh</t>
        </is>
      </c>
      <c r="D9" s="77" t="n">
        <v>0.5968</v>
      </c>
      <c r="E9" s="77" t="n">
        <v>0.6418</v>
      </c>
      <c r="U9" s="142" t="inlineStr">
        <is>
          <t>苏价工〔2017〕124号 (−1.83分; 城市公用事业附加 abolished 04/2017, 财税〔2017〕18号)</t>
        </is>
      </c>
    </row>
    <row r="10" ht="16.5" customHeight="1" s="78">
      <c r="A10" s="77" t="inlineStr">
        <is>
          <t>JS catalogue 2021-01-01</t>
        </is>
      </c>
      <c r="B10" s="142" t="inlineStr">
        <is>
          <t>元/kWh</t>
        </is>
      </c>
      <c r="D10" s="77" t="n">
        <v>0.5318000000000001</v>
      </c>
      <c r="E10" s="77" t="n">
        <v>0.6068</v>
      </c>
      <c r="U10" s="142" t="inlineStr">
        <is>
          <t>苏发改价格发〔2020〕1183号 附件2 (js.sgcc PDF)</t>
        </is>
      </c>
    </row>
    <row r="11" ht="16.5" customHeight="1" s="78">
      <c r="A11" s="77" t="inlineStr">
        <is>
          <t>GD catalogue 2018-05-01(到户=excl-funds+funds)</t>
        </is>
      </c>
      <c r="B11" s="142" t="inlineStr">
        <is>
          <t>元/kWh</t>
        </is>
      </c>
      <c r="D11" s="77" t="n">
        <v>0.58806875</v>
      </c>
      <c r="E11" s="77" t="n">
        <v>0.63806875</v>
      </c>
      <c r="U11" s="77" t="inlineStr">
        <is>
          <t>zc.gov.cn PDF (0.5584/0.6084 excl funds, 粤发改价格〔2017〕498号 convention) + funds 0.02966875 (back-computed from 191号 fund-halving with 到户 unchanged; = current 0.02766875+0.002). estimated=Y</t>
        </is>
      </c>
    </row>
    <row r="12" ht="16.5" customHeight="1" s="78">
      <c r="A12" s="77" t="inlineStr">
        <is>
          <t>SD catalogue 2016-01-01</t>
        </is>
      </c>
      <c r="B12" s="142" t="inlineStr">
        <is>
          <t>元/kWh</t>
        </is>
      </c>
      <c r="D12" s="77" t="n">
        <v>0.6024</v>
      </c>
      <c r="E12" s="77" t="n">
        <v>0.6474</v>
      </c>
      <c r="U12" s="142" t="inlineStr">
        <is>
          <t>鲁价格一发[2015]131号 — VIA MIRROR bendibao, flagged</t>
        </is>
      </c>
    </row>
    <row r="13" ht="16.5" customHeight="1" s="78">
      <c r="A13" s="77" t="inlineStr">
        <is>
          <t>SD catalogue 2019-04-01</t>
        </is>
      </c>
      <c r="B13" s="142" t="inlineStr">
        <is>
          <t>元/kWh</t>
        </is>
      </c>
      <c r="D13" s="77" t="n">
        <v>0.5722</v>
      </c>
      <c r="E13" s="77" t="n">
        <v>0.6172</v>
      </c>
      <c r="U13" s="142" t="inlineStr">
        <is>
          <t>鲁发改价格〔2019〕349号 (zibo PDF)</t>
        </is>
      </c>
    </row>
    <row r="14" ht="16.5" customHeight="1" s="78">
      <c r="A14" s="77" t="inlineStr">
        <is>
          <t>SD catalogue 2021-01-01</t>
        </is>
      </c>
      <c r="B14" s="142" t="inlineStr">
        <is>
          <t>元/kWh</t>
        </is>
      </c>
      <c r="D14" s="77" t="n">
        <v>0.5422</v>
      </c>
      <c r="E14" s="77" t="n">
        <v>0.6062</v>
      </c>
      <c r="U14" s="142" t="inlineStr">
        <is>
          <t>鲁发改价格〔2020〕1352号 (taian PDF)</t>
        </is>
      </c>
    </row>
    <row r="15" ht="16.5" customHeight="1" s="78">
      <c r="A15" s="77" t="inlineStr">
        <is>
          <t>ZJ catalogue 2011-12-01</t>
        </is>
      </c>
      <c r="B15" s="142" t="inlineStr">
        <is>
          <t>元/kWh</t>
        </is>
      </c>
      <c r="D15" s="77" t="n">
        <v>0.648</v>
      </c>
      <c r="E15" s="77" t="n">
        <v>0.705</v>
      </c>
      <c r="U15" s="77" t="inlineStr">
        <is>
          <t>2622号 附件四</t>
        </is>
      </c>
    </row>
    <row r="16" ht="16.5" customHeight="1" s="78">
      <c r="A16" s="77" t="inlineStr">
        <is>
          <t>ZJ catalogue 2015-04-20(−0.84分 delta)</t>
        </is>
      </c>
      <c r="B16" s="142" t="inlineStr">
        <is>
          <t>元/kWh</t>
        </is>
      </c>
      <c r="D16" s="77" t="n">
        <v>0.6395999999999999</v>
      </c>
      <c r="E16" s="77" t="n">
        <v>0.6966</v>
      </c>
      <c r="U16" s="142" t="inlineStr">
        <is>
          <t>浙价资[2015]94号 delta applied to 2011 values — estimated=Y (per-class uniformity assumed)</t>
        </is>
      </c>
    </row>
    <row r="17" ht="16.5" customHeight="1" s="78">
      <c r="A17" s="77" t="inlineStr">
        <is>
          <t>ZJ catalogue 2018-05-01</t>
        </is>
      </c>
      <c r="B17" s="142" t="inlineStr">
        <is>
          <t>元/kWh</t>
        </is>
      </c>
      <c r="D17" s="77" t="n">
        <v>0.6074000000000001</v>
      </c>
      <c r="E17" s="77" t="n">
        <v>0.6644</v>
      </c>
      <c r="U17" s="142" t="inlineStr">
        <is>
          <t>浙价资〔2018〕88号 附件1 (zjjcmspublic PDF)</t>
        </is>
      </c>
    </row>
    <row r="18" ht="16.5" customHeight="1" s="78">
      <c r="A18" s="77" t="inlineStr">
        <is>
          <t>HN catalogue 2015-04-20 (CORRECTED 2026-07-15: 湘发改价商〔2015〕263号 sealed PDF = 187号 −1.75分; prior held 0.5912/0.6292 matched no official table — Q34)</t>
        </is>
      </c>
      <c r="B18" s="142" t="inlineStr">
        <is>
          <t>元/kWh</t>
        </is>
      </c>
      <c r="D18" s="77" t="n">
        <v>0.6112</v>
      </c>
      <c r="E18" s="77" t="n">
        <v>0.6922</v>
      </c>
      <c r="U18" s="77" t="inlineStr">
        <is>
          <t>748号 wave annex 合计 (net+funds) — VIA MIRROR solarbe, flagged</t>
        </is>
      </c>
    </row>
    <row r="19" ht="16.5" customHeight="1" s="78">
      <c r="A19" s="77" t="inlineStr">
        <is>
          <t>SC catalogue 2021-01-01</t>
        </is>
      </c>
      <c r="B19" s="142" t="inlineStr">
        <is>
          <t>元/kWh</t>
        </is>
      </c>
      <c r="D19" s="77" t="n">
        <v>0.4752</v>
      </c>
      <c r="E19" s="77" t="n">
        <v>0.5402</v>
      </c>
      <c r="U19" s="142" t="inlineStr">
        <is>
          <t>川发改价格〔2020〕629号 附件2 (jingyan.gov.cn scan)</t>
        </is>
      </c>
    </row>
    <row r="20" ht="16.5" customHeight="1" s="78">
      <c r="A20" s="77" t="inlineStr">
        <is>
          <t>IM catalogue 2011-12-01</t>
        </is>
      </c>
      <c r="B20" s="142" t="inlineStr">
        <is>
          <t>元/kWh</t>
        </is>
      </c>
      <c r="D20" s="77" t="n">
        <v>0.453</v>
      </c>
      <c r="E20" s="77" t="n">
        <v>0.487</v>
      </c>
      <c r="U20" s="77" t="inlineStr">
        <is>
          <t>2619号 附件七 XLS</t>
        </is>
      </c>
    </row>
    <row r="21" ht="16.5" customHeight="1" s="78">
      <c r="A21" s="77" t="inlineStr">
        <is>
          <t>IM catalogue 2020 (1-10kV CORRECTED 0.4528→0.4478 2026-07-15: documented in 2017/2018 蒙西 tables; = 2021 + 4.5分 per 内发改价费字〔2020〕1290号 — Q34)</t>
        </is>
      </c>
      <c r="B21" s="142" t="inlineStr">
        <is>
          <t>元/kWh</t>
        </is>
      </c>
      <c r="D21" s="77" t="n">
        <v>0.4138</v>
      </c>
      <c r="E21" s="77" t="n">
        <v>0.4478</v>
      </c>
      <c r="U21" s="77" t="inlineStr">
        <is>
          <t>Back-computed: 2021 values + 4.5分 (锡林郭勒盟发改委 full text of 2021 notice: −4.5分 all classes). Assumes no 2020 catalogue change — estimated=Y</t>
        </is>
      </c>
    </row>
    <row r="22" ht="16.5" customHeight="1" s="78">
      <c r="A22" s="77" t="inlineStr">
        <is>
          <t>IM catalogue 2021-01-01</t>
        </is>
      </c>
      <c r="B22" s="142" t="inlineStr">
        <is>
          <t>元/kWh</t>
        </is>
      </c>
      <c r="D22" s="77" t="n">
        <v>0.3688</v>
      </c>
      <c r="E22" s="77" t="n">
        <v>0.4028</v>
      </c>
      <c r="U22" s="142" t="inlineStr">
        <is>
          <t>锡林郭勒盟发改委 full text</t>
        </is>
      </c>
    </row>
    <row r="23" ht="16.5" customHeight="1" s="78">
      <c r="A23" s="77" t="inlineStr">
        <is>
          <t>Columns: D = 220kV vol, E = 1-10kV vol. 需量 (元/kW·月): JS 40 / GD 32 / SD 38 / ZJ 40 / HN 28 / SC 33 / IM 28 (constant, catalogue era).</t>
        </is>
      </c>
    </row>
    <row r="25" ht="16.5" customHeight="1" s="78">
      <c r="A25" s="109" t="inlineStr">
        <is>
          <t>B. Per-province annual catalogue 电量 series (month-weighted where mid-year change; Jan–Sep basis in 2021 — market from Oct, flagged). Blank = GAP.</t>
        </is>
      </c>
    </row>
    <row r="26" ht="16.5" customHeight="1" s="78">
      <c r="A26" s="77" t="inlineStr">
        <is>
          <t>JS annual catalogue vol 220kV</t>
        </is>
      </c>
      <c r="B26" s="142" t="inlineStr">
        <is>
          <t>元/kWh</t>
        </is>
      </c>
      <c r="C26" s="77" t="inlineStr">
        <is>
          <t>estimated=Y (month-weighted)</t>
        </is>
      </c>
      <c r="F26" s="77">
        <f>$D$7</f>
        <v/>
      </c>
      <c r="G26" s="77">
        <f>$D$7</f>
        <v/>
      </c>
      <c r="H26" s="77">
        <f>$D$7</f>
        <v/>
      </c>
      <c r="I26" s="77">
        <f>(4*$D$7+8*$D$8)/12</f>
        <v/>
      </c>
      <c r="J26" s="77">
        <f>$D$8</f>
        <v/>
      </c>
      <c r="K26" s="77">
        <f>(6*$D$8+6*$D$9)/12</f>
        <v/>
      </c>
      <c r="L26" s="77">
        <f>$D$9</f>
        <v/>
      </c>
      <c r="M26" s="77">
        <f>$D$9</f>
        <v/>
      </c>
      <c r="N26" s="77">
        <f>$D$9</f>
        <v/>
      </c>
      <c r="O26" s="77">
        <f>$D$10</f>
        <v/>
      </c>
      <c r="U26" s="77" t="inlineStr">
        <is>
          <t>JS complete. 2013-09 renewables-surcharge wave not separately verified (values match 2015 cut exactly — qc). 2021 = Jan–Sep (catalogue) basis, flagged.</t>
        </is>
      </c>
    </row>
    <row r="27" ht="16.5" customHeight="1" s="78">
      <c r="A27" s="77" t="inlineStr">
        <is>
          <t>JS annual catalogue vol 1-10kV</t>
        </is>
      </c>
      <c r="B27" s="142" t="inlineStr">
        <is>
          <t>元/kWh</t>
        </is>
      </c>
      <c r="C27" s="77" t="inlineStr">
        <is>
          <t>estimated=Y (month-weighted)</t>
        </is>
      </c>
      <c r="F27" s="77">
        <f>$E$7</f>
        <v/>
      </c>
      <c r="G27" s="77">
        <f>$E$7</f>
        <v/>
      </c>
      <c r="H27" s="77">
        <f>$E$7</f>
        <v/>
      </c>
      <c r="I27" s="77">
        <f>(4*$E$7+8*$E$8)/12</f>
        <v/>
      </c>
      <c r="J27" s="77">
        <f>$E$8</f>
        <v/>
      </c>
      <c r="K27" s="77">
        <f>(6*$E$8+6*$E$9)/12</f>
        <v/>
      </c>
      <c r="L27" s="77">
        <f>$E$9</f>
        <v/>
      </c>
      <c r="M27" s="77">
        <f>$E$9</f>
        <v/>
      </c>
      <c r="N27" s="77">
        <f>$E$9</f>
        <v/>
      </c>
      <c r="O27" s="77">
        <f>$E$10</f>
        <v/>
      </c>
    </row>
    <row r="28" ht="16.5" customHeight="1" s="78">
      <c r="A28" s="77" t="inlineStr">
        <is>
          <t>GD annual catalogue vol 220kV</t>
        </is>
      </c>
      <c r="B28" s="142" t="inlineStr">
        <is>
          <t>元/kWh</t>
        </is>
      </c>
      <c r="C28" s="77" t="inlineStr">
        <is>
          <t>estimated=Y (month-weighted)</t>
        </is>
      </c>
      <c r="F28" s="77" t="n">
        <v>0.6642</v>
      </c>
      <c r="G28" s="77" t="n">
        <v>0.6642</v>
      </c>
      <c r="H28" s="77" t="n">
        <v>0.6642</v>
      </c>
      <c r="I28" s="77" t="n">
        <v>0.65293</v>
      </c>
      <c r="J28" s="77" t="n">
        <v>0.6375</v>
      </c>
      <c r="K28" s="77" t="n">
        <v>0.59475</v>
      </c>
      <c r="L28" s="77" t="n">
        <v>0.58848</v>
      </c>
      <c r="M28" s="77">
        <f>$D$11</f>
        <v/>
      </c>
      <c r="N28" s="77">
        <f>$D$11</f>
        <v/>
      </c>
      <c r="O28" s="77">
        <f>$D$11</f>
        <v/>
      </c>
      <c r="U28" s="77" t="inlineStr">
        <is>
          <t>GD 五市 到户 series (gap-fill 2026-07-15): 2011-12-01 价目表 xls (增城区 mirror, 发改价格〔2011〕2618号 wave) 0.6642/0.7142; 2015-04-20 粤发改价格〔2015〕179号 (drc.gd.gov.cn + annex zip) →0.6473; 2016-06-01 (NOT 01-01) 372号 →0.6305 (Jan–May renewable-billing variant flagged +0.0016); 2017 三段 (498号: −2.33分 retro 01-01; 附加取消 04-01; funds −25% 07-01) quarter-weighted; 2018 = 4/12 pre + 8/12 held 2018-05 value. estimated=Y on 2015–2018 weightings. Full chain in gapfill staging §CN.</t>
        </is>
      </c>
    </row>
    <row r="29" ht="16.5" customHeight="1" s="78">
      <c r="A29" s="77" t="inlineStr">
        <is>
          <t>GD annual catalogue vol 1-10kV</t>
        </is>
      </c>
      <c r="B29" s="142" t="inlineStr">
        <is>
          <t>元/kWh</t>
        </is>
      </c>
      <c r="C29" s="77" t="inlineStr">
        <is>
          <t>estimated=Y (month-weighted)</t>
        </is>
      </c>
      <c r="F29" s="77" t="n">
        <v>0.7141999999999999</v>
      </c>
      <c r="G29" s="77" t="n">
        <v>0.7141999999999999</v>
      </c>
      <c r="H29" s="77" t="n">
        <v>0.7141999999999999</v>
      </c>
      <c r="I29" s="77" t="n">
        <v>0.7029300000000001</v>
      </c>
      <c r="J29" s="77" t="n">
        <v>0.6875</v>
      </c>
      <c r="K29" s="77" t="n">
        <v>0.64475</v>
      </c>
      <c r="L29" s="77" t="n">
        <v>0.63848</v>
      </c>
      <c r="M29" s="77">
        <f>$E$11</f>
        <v/>
      </c>
      <c r="N29" s="77">
        <f>$E$11</f>
        <v/>
      </c>
      <c r="O29" s="77">
        <f>$E$11</f>
        <v/>
      </c>
    </row>
    <row r="30" ht="16.5" customHeight="1" s="78">
      <c r="A30" s="77" t="inlineStr">
        <is>
          <t>SD annual catalogue vol 220kV</t>
        </is>
      </c>
      <c r="B30" s="142" t="inlineStr">
        <is>
          <t>元/kWh</t>
        </is>
      </c>
      <c r="C30" s="77" t="inlineStr">
        <is>
          <t>estimated=Y (month-weighted)</t>
        </is>
      </c>
      <c r="J30" s="77">
        <f>$D$12</f>
        <v/>
      </c>
      <c r="K30" s="77" t="n">
        <v>0.58561</v>
      </c>
      <c r="L30" s="77" t="n">
        <v>0.5756</v>
      </c>
      <c r="M30" s="77" t="n">
        <v>0.5730499999999999</v>
      </c>
      <c r="N30" s="77">
        <f>$D$13</f>
        <v/>
      </c>
      <c r="O30" s="77">
        <f>$D$14</f>
        <v/>
      </c>
      <c r="U30" s="77" t="inlineStr">
        <is>
          <t>SD 2017 gap closed 2026-07-15: fgw.shandong.gov.cn attach 1812201446176826520.pdf (山东省电网销售电价表, notes enumerate 2017 steps off 鲁价格一发〔2015〕131号 base: −1.34分 04-01, −0.05分 06-01, −1.29分 07-01 [16市]); chain check 0.6024−2.68分=0.5756 exact. 2017 month-weighted; 2018=0.5756; 2019=(3×0.5756+9×0.5722)/12. 菏泽 deltas differ (minor, flagged).</t>
        </is>
      </c>
    </row>
    <row r="31" ht="16.5" customHeight="1" s="78">
      <c r="A31" s="77" t="inlineStr">
        <is>
          <t>SD annual catalogue vol 1-10kV</t>
        </is>
      </c>
      <c r="B31" s="142" t="inlineStr">
        <is>
          <t>元/kWh</t>
        </is>
      </c>
      <c r="C31" s="77" t="inlineStr">
        <is>
          <t>estimated=Y (month-weighted)</t>
        </is>
      </c>
      <c r="J31" s="77">
        <f>$E$12</f>
        <v/>
      </c>
      <c r="K31" s="77" t="n">
        <v>0.63061</v>
      </c>
      <c r="L31" s="77" t="n">
        <v>0.6206</v>
      </c>
      <c r="M31" s="77" t="n">
        <v>0.61805</v>
      </c>
      <c r="N31" s="77">
        <f>$E$13</f>
        <v/>
      </c>
      <c r="O31" s="77">
        <f>$E$14</f>
        <v/>
      </c>
    </row>
    <row r="32" ht="16.5" customHeight="1" s="78">
      <c r="A32" s="77" t="inlineStr">
        <is>
          <t>ZJ annual catalogue vol 220kV</t>
        </is>
      </c>
      <c r="B32" s="142" t="inlineStr">
        <is>
          <t>元/kWh</t>
        </is>
      </c>
      <c r="C32" s="77" t="inlineStr">
        <is>
          <t>estimated=Y (month-weighted)</t>
        </is>
      </c>
      <c r="F32" s="77">
        <f>$D$15</f>
        <v/>
      </c>
      <c r="G32" s="77">
        <f>$D$15</f>
        <v/>
      </c>
      <c r="H32" s="77">
        <f>$D$15</f>
        <v/>
      </c>
      <c r="I32" s="77">
        <f>(4*$D$15+8*$D$16)/12</f>
        <v/>
      </c>
      <c r="J32" s="77">
        <f>$D$16</f>
        <v/>
      </c>
      <c r="K32" s="77">
        <f>$D$16</f>
        <v/>
      </c>
      <c r="L32" s="77">
        <f>(4*$D$16+8*$D$17)/12</f>
        <v/>
      </c>
      <c r="M32" s="77">
        <f>$D$17</f>
        <v/>
      </c>
      <c r="N32" s="77">
        <f>$D$17</f>
        <v/>
      </c>
      <c r="O32" s="77" t="n">
        <v>0.5547</v>
      </c>
      <c r="U32" s="77" t="inlineStr">
        <is>
          <t>ZJ 2021 (Jan–Sep catalogue) closed 2026-07-15: 浙发改价格〔2020〕364号 annex (eff. 2021-01-01; 大工业 电度电价 220kV 0.5547 / 1-10kV 0.6217, TOU bands + 需量40/容量30 in table; retrieved via bjx mirror img01.mybjx.net 6374200782851709933255216.png; catalogue abolished 2021-10-15 by 377号 fzggw.zj.gov.cn).</t>
        </is>
      </c>
    </row>
    <row r="33" ht="16.5" customHeight="1" s="78">
      <c r="A33" s="77" t="inlineStr">
        <is>
          <t>ZJ annual catalogue vol 1-10kV</t>
        </is>
      </c>
      <c r="B33" s="142" t="inlineStr">
        <is>
          <t>元/kWh</t>
        </is>
      </c>
      <c r="C33" s="77" t="inlineStr">
        <is>
          <t>estimated=Y (month-weighted)</t>
        </is>
      </c>
      <c r="F33" s="77">
        <f>$E$15</f>
        <v/>
      </c>
      <c r="G33" s="77">
        <f>$E$15</f>
        <v/>
      </c>
      <c r="H33" s="77">
        <f>$E$15</f>
        <v/>
      </c>
      <c r="I33" s="77">
        <f>(4*$E$15+8*$E$16)/12</f>
        <v/>
      </c>
      <c r="J33" s="77">
        <f>$E$16</f>
        <v/>
      </c>
      <c r="K33" s="77">
        <f>$E$16</f>
        <v/>
      </c>
      <c r="L33" s="77">
        <f>(4*$E$16+8*$E$17)/12</f>
        <v/>
      </c>
      <c r="M33" s="77">
        <f>$E$17</f>
        <v/>
      </c>
      <c r="N33" s="77">
        <f>$E$17</f>
        <v/>
      </c>
      <c r="O33" s="77" t="n">
        <v>0.6217</v>
      </c>
    </row>
    <row r="34" ht="16.5" customHeight="1" s="78">
      <c r="A34" s="77" t="inlineStr">
        <is>
          <t>HN annual catalogue vol 220kV</t>
        </is>
      </c>
      <c r="B34" s="142" t="inlineStr">
        <is>
          <t>元/kWh</t>
        </is>
      </c>
      <c r="C34" s="77" t="inlineStr">
        <is>
          <t>estimated=Y (month-weighted)</t>
        </is>
      </c>
      <c r="F34" s="77" t="n">
        <v>0.6287</v>
      </c>
      <c r="G34" s="77" t="n">
        <v>0.6287</v>
      </c>
      <c r="H34" s="77" t="n">
        <v>0.6287</v>
      </c>
      <c r="I34" s="77" t="n">
        <v>0.61703</v>
      </c>
      <c r="J34" s="77" t="n">
        <v>0.60027</v>
      </c>
      <c r="K34" s="77" t="n">
        <v>0.57055</v>
      </c>
      <c r="L34" s="77" t="n">
        <v>0.5627</v>
      </c>
      <c r="M34" s="77" t="n">
        <v>0.5627</v>
      </c>
      <c r="N34" s="77" t="n">
        <v>0.5627</v>
      </c>
      <c r="O34" s="77" t="n">
        <v>0.5627</v>
      </c>
      <c r="U34" s="77" t="inlineStr">
        <is>
          <t>HN series rebuilt 2026-07-15 (Q34 correction): 2011-12-01 湘价电〔2011〕187号 (hunan.gov.cn gazette) 0.6287/0.7097; 2015-04-20 263号 0.6112/0.6922; 2016-01-01 湘发改价商〔2016〕1号 (NDRC mirror) NO 大工业 change; 2016-09 704号 (−0.7分附加停征 −2.58分水电空间) →0.5784 est=Y; 2017 711号 annex (rednet image) 0.5627/0.6437 mid-yr weighted est=Y (residual −1.27分 unitemized — qc); 2018-09 654号 + 2019/2020/2021 republications identical → 0.5627 held 2018–2021. 需量30/容量20 constant (formula rows corrected 28→30).</t>
        </is>
      </c>
    </row>
    <row r="35" ht="16.5" customHeight="1" s="78">
      <c r="A35" s="77" t="inlineStr">
        <is>
          <t>HN annual catalogue vol 1-10kV</t>
        </is>
      </c>
      <c r="B35" s="142" t="inlineStr">
        <is>
          <t>元/kWh</t>
        </is>
      </c>
      <c r="C35" s="77" t="inlineStr">
        <is>
          <t>estimated=Y (month-weighted)</t>
        </is>
      </c>
      <c r="F35" s="77" t="n">
        <v>0.7097</v>
      </c>
      <c r="G35" s="77" t="n">
        <v>0.7097</v>
      </c>
      <c r="H35" s="77" t="n">
        <v>0.7097</v>
      </c>
      <c r="I35" s="77" t="n">
        <v>0.69803</v>
      </c>
      <c r="J35" s="77" t="n">
        <v>0.68127</v>
      </c>
      <c r="K35" s="77" t="n">
        <v>0.65155</v>
      </c>
      <c r="L35" s="77" t="n">
        <v>0.6437</v>
      </c>
      <c r="M35" s="77" t="n">
        <v>0.6437</v>
      </c>
      <c r="N35" s="77" t="n">
        <v>0.6437</v>
      </c>
      <c r="O35" s="77" t="n">
        <v>0.6437</v>
      </c>
    </row>
    <row r="36" ht="16.5" customHeight="1" s="78">
      <c r="A36" s="77" t="inlineStr">
        <is>
          <t>SC annual catalogue vol 220kV</t>
        </is>
      </c>
      <c r="B36" s="142" t="inlineStr">
        <is>
          <t>元/kWh</t>
        </is>
      </c>
      <c r="C36" s="77" t="inlineStr">
        <is>
          <t>estimated=Y (month-weighted)</t>
        </is>
      </c>
      <c r="F36" s="77" t="n">
        <v>0.5595</v>
      </c>
      <c r="G36" s="77" t="n">
        <v>0.5595</v>
      </c>
      <c r="H36" s="77" t="n">
        <v>0.5595</v>
      </c>
      <c r="I36" s="77" t="n">
        <v>0.5461</v>
      </c>
      <c r="J36" s="77" t="n">
        <v>0.5394</v>
      </c>
      <c r="K36" s="77" t="n">
        <v>0.52577</v>
      </c>
      <c r="L36" s="77" t="n">
        <v>0.5174</v>
      </c>
      <c r="M36" s="77" t="n">
        <v>0.5174</v>
      </c>
      <c r="N36" s="77" t="n">
        <v>0.5174</v>
      </c>
      <c r="O36" s="77">
        <f>$D$19</f>
        <v/>
      </c>
      <c r="U36" s="77" t="inlineStr">
        <is>
          <t>SC series closed 2026-07-15: 2011-12-01 发改价格〔2011〕2623号 附件6-1 (chinaenergyportal full annex) 0.5595/0.6195; 2015-04-20 川发改价格〔2015〕228号 (bjx 610414, −2.01分 大工业) →0.5394/0.5994 (到户 rebuilt from excl-funds table +0.0608 funds); 2016 waves: 大工业 unchanged (129号/272号); 2017 379号 (bjx 838664: −1.2分 07-01 + 附加1分+地方移民0.05分 retro 04-01) →0.5174/0.5774 month-weighted est=Y; unchanged through 2020 (2018-05 table, 2019 257号 附件2 identical; 2020 COVID −5% is billing discount r63); 2021 629号 (井研县 scan PDF) held. 需量 39→33 at 2021 (formula rows corrected).</t>
        </is>
      </c>
    </row>
    <row r="37" ht="16.5" customHeight="1" s="78">
      <c r="A37" s="77" t="inlineStr">
        <is>
          <t>SC annual catalogue vol 1-10kV</t>
        </is>
      </c>
      <c r="B37" s="142" t="inlineStr">
        <is>
          <t>元/kWh</t>
        </is>
      </c>
      <c r="C37" s="77" t="inlineStr">
        <is>
          <t>estimated=Y (month-weighted)</t>
        </is>
      </c>
      <c r="F37" s="77" t="n">
        <v>0.6195000000000001</v>
      </c>
      <c r="G37" s="77" t="n">
        <v>0.6195000000000001</v>
      </c>
      <c r="H37" s="77" t="n">
        <v>0.6195000000000001</v>
      </c>
      <c r="I37" s="77" t="n">
        <v>0.6061</v>
      </c>
      <c r="J37" s="77" t="n">
        <v>0.5994</v>
      </c>
      <c r="K37" s="77" t="n">
        <v>0.58578</v>
      </c>
      <c r="L37" s="77" t="n">
        <v>0.5774</v>
      </c>
      <c r="M37" s="77" t="n">
        <v>0.5774</v>
      </c>
      <c r="N37" s="77" t="n">
        <v>0.5774</v>
      </c>
      <c r="O37" s="77">
        <f>$E$19</f>
        <v/>
      </c>
    </row>
    <row r="38" ht="16.5" customHeight="1" s="78">
      <c r="A38" s="77" t="inlineStr">
        <is>
          <t>IM annual catalogue vol 220kV</t>
        </is>
      </c>
      <c r="B38" s="142" t="inlineStr">
        <is>
          <t>元/kWh</t>
        </is>
      </c>
      <c r="C38" s="77" t="inlineStr">
        <is>
          <t>estimated=Y (month-weighted)</t>
        </is>
      </c>
      <c r="F38" s="77">
        <f>$D$20</f>
        <v/>
      </c>
      <c r="G38" s="77">
        <f>$D$20</f>
        <v/>
      </c>
      <c r="H38" s="77">
        <f>$D$20</f>
        <v/>
      </c>
      <c r="I38" s="77" t="n">
        <v>0.44257</v>
      </c>
      <c r="J38" s="77" t="n">
        <v>0.4208</v>
      </c>
      <c r="K38" s="77" t="n">
        <v>0.41555</v>
      </c>
      <c r="L38" s="77" t="n">
        <v>0.4138</v>
      </c>
      <c r="M38" s="77" t="n">
        <v>0.4138</v>
      </c>
      <c r="N38" s="77">
        <f>$D$21</f>
        <v/>
      </c>
      <c r="O38" s="77">
        <f>$D$22</f>
        <v/>
      </c>
      <c r="U38" s="77" t="inlineStr">
        <is>
          <t>IM (蒙西) 2015–19 closed 2026-07-15: 2015-04-20 内发改价字〔2015〕431号 −0.57分 (xlgl.gov.cn; step INFERRED, closes exactly); 2015-10-01 1299号 −2.65分 大工业 (xlgl) → 0.4208/0.4548 (confirmed by 2017-04 in-force table image bjx 821314); 2016-01-01 wave: NO sales change (xlgl notice); 2017-04-01 954号 −0.7分 附加 → 0.4138/0.4478 (annex image bjx 845065); 2018 950号 + 2019 465号 一般工商业 only → constant; endpoint proof: 1290号 −4.5分 = held 2021 exact. 需量28/容量19 constant.</t>
        </is>
      </c>
    </row>
    <row r="39" ht="16.5" customHeight="1" s="78">
      <c r="A39" s="77" t="inlineStr">
        <is>
          <t>IM annual catalogue vol 1-10kV</t>
        </is>
      </c>
      <c r="B39" s="142" t="inlineStr">
        <is>
          <t>元/kWh</t>
        </is>
      </c>
      <c r="C39" s="77" t="inlineStr">
        <is>
          <t>estimated=Y (month-weighted)</t>
        </is>
      </c>
      <c r="F39" s="77">
        <f>$E$20</f>
        <v/>
      </c>
      <c r="G39" s="77">
        <f>$E$20</f>
        <v/>
      </c>
      <c r="H39" s="77">
        <f>$E$20</f>
        <v/>
      </c>
      <c r="I39" s="77" t="n">
        <v>0.47657</v>
      </c>
      <c r="J39" s="77" t="n">
        <v>0.4548</v>
      </c>
      <c r="K39" s="77" t="n">
        <v>0.44955</v>
      </c>
      <c r="L39" s="77" t="n">
        <v>0.4478</v>
      </c>
      <c r="M39" s="77" t="n">
        <v>0.4478</v>
      </c>
      <c r="N39" s="77">
        <f>$E$21</f>
        <v/>
      </c>
      <c r="O39" s="77">
        <f>$E$22</f>
        <v/>
      </c>
    </row>
    <row r="41" ht="16.5" customHeight="1" s="78">
      <c r="A41" s="109" t="inlineStr">
        <is>
          <t>C. Per-province all-in catalogue totals (元/MWh) = vol×1000 + 需量×12×1000/hours. Large: 220kV @ assumptions!B7; Medium: 1-10kV @ assumptions!C7. Funds INCLUDED (GD: added back).</t>
        </is>
      </c>
    </row>
    <row r="42" ht="16.5" customHeight="1" s="78">
      <c r="A42" s="77" t="inlineStr">
        <is>
          <t>JS large all-in catalogue total</t>
        </is>
      </c>
      <c r="B42" s="142" t="inlineStr">
        <is>
          <t>元/MWh</t>
        </is>
      </c>
      <c r="C42" s="77" t="inlineStr">
        <is>
          <t>E1=E2</t>
        </is>
      </c>
      <c r="F42" s="77">
        <f>IF(ISNUMBER(F26),F26*1000+40*12*1000/assumptions!$B$7,"")</f>
        <v/>
      </c>
      <c r="G42" s="77">
        <f>IF(ISNUMBER(G26),G26*1000+40*12*1000/assumptions!$B$7,"")</f>
        <v/>
      </c>
      <c r="H42" s="77">
        <f>IF(ISNUMBER(H26),H26*1000+40*12*1000/assumptions!$B$7,"")</f>
        <v/>
      </c>
      <c r="I42" s="77">
        <f>IF(ISNUMBER(I26),I26*1000+40*12*1000/assumptions!$B$7,"")</f>
        <v/>
      </c>
      <c r="J42" s="77">
        <f>IF(ISNUMBER(J26),J26*1000+40*12*1000/assumptions!$B$7,"")</f>
        <v/>
      </c>
      <c r="K42" s="77">
        <f>IF(ISNUMBER(K26),K26*1000+40*12*1000/assumptions!$B$7,"")</f>
        <v/>
      </c>
      <c r="L42" s="77">
        <f>IF(ISNUMBER(L26),L26*1000+40*12*1000/assumptions!$B$7,"")</f>
        <v/>
      </c>
      <c r="M42" s="77">
        <f>IF(ISNUMBER(M26),M26*1000+40*12*1000/assumptions!$B$7,"")</f>
        <v/>
      </c>
      <c r="N42" s="77">
        <f>IF(ISNUMBER(N26),N26*1000+40*12*1000/assumptions!$B$7,"")</f>
        <v/>
      </c>
      <c r="O42" s="77">
        <f>IF(ISNUMBER(O26),O26*1000+40*12*1000/assumptions!$B$7,"")</f>
        <v/>
      </c>
    </row>
    <row r="43" ht="16.5" customHeight="1" s="78">
      <c r="A43" s="77" t="inlineStr">
        <is>
          <t>JS medium all-in catalogue total</t>
        </is>
      </c>
      <c r="B43" s="142" t="inlineStr">
        <is>
          <t>元/MWh</t>
        </is>
      </c>
      <c r="C43" s="77" t="inlineStr">
        <is>
          <t>E1=E2</t>
        </is>
      </c>
      <c r="F43" s="77">
        <f>IF(ISNUMBER(F27),F27*1000+40*12*1000/assumptions!$C$7,"")</f>
        <v/>
      </c>
      <c r="G43" s="77">
        <f>IF(ISNUMBER(G27),G27*1000+40*12*1000/assumptions!$C$7,"")</f>
        <v/>
      </c>
      <c r="H43" s="77">
        <f>IF(ISNUMBER(H27),H27*1000+40*12*1000/assumptions!$C$7,"")</f>
        <v/>
      </c>
      <c r="I43" s="77">
        <f>IF(ISNUMBER(I27),I27*1000+40*12*1000/assumptions!$C$7,"")</f>
        <v/>
      </c>
      <c r="J43" s="77">
        <f>IF(ISNUMBER(J27),J27*1000+40*12*1000/assumptions!$C$7,"")</f>
        <v/>
      </c>
      <c r="K43" s="77">
        <f>IF(ISNUMBER(K27),K27*1000+40*12*1000/assumptions!$C$7,"")</f>
        <v/>
      </c>
      <c r="L43" s="77">
        <f>IF(ISNUMBER(L27),L27*1000+40*12*1000/assumptions!$C$7,"")</f>
        <v/>
      </c>
      <c r="M43" s="77">
        <f>IF(ISNUMBER(M27),M27*1000+40*12*1000/assumptions!$C$7,"")</f>
        <v/>
      </c>
      <c r="N43" s="77">
        <f>IF(ISNUMBER(N27),N27*1000+40*12*1000/assumptions!$C$7,"")</f>
        <v/>
      </c>
      <c r="O43" s="77">
        <f>IF(ISNUMBER(O27),O27*1000+40*12*1000/assumptions!$C$7,"")</f>
        <v/>
      </c>
    </row>
    <row r="44" ht="16.5" customHeight="1" s="78">
      <c r="A44" s="77" t="inlineStr">
        <is>
          <t>GD large all-in catalogue total</t>
        </is>
      </c>
      <c r="B44" s="142" t="inlineStr">
        <is>
          <t>元/MWh</t>
        </is>
      </c>
      <c r="C44" s="77" t="inlineStr">
        <is>
          <t>E1=E2</t>
        </is>
      </c>
      <c r="F44" s="77">
        <f>IF(ISNUMBER(F28),F28*1000+32*12*1000/assumptions!$B$7,"")</f>
        <v/>
      </c>
      <c r="G44" s="77">
        <f>IF(ISNUMBER(G28),G28*1000+32*12*1000/assumptions!$B$7,"")</f>
        <v/>
      </c>
      <c r="H44" s="77">
        <f>IF(ISNUMBER(H28),H28*1000+32*12*1000/assumptions!$B$7,"")</f>
        <v/>
      </c>
      <c r="I44" s="77">
        <f>IF(ISNUMBER(I28),I28*1000+32*12*1000/assumptions!$B$7,"")</f>
        <v/>
      </c>
      <c r="J44" s="77">
        <f>IF(ISNUMBER(J28),J28*1000+32*12*1000/assumptions!$B$7,"")</f>
        <v/>
      </c>
      <c r="K44" s="77">
        <f>IF(ISNUMBER(K28),K28*1000+32*12*1000/assumptions!$B$7,"")</f>
        <v/>
      </c>
      <c r="L44" s="77">
        <f>IF(ISNUMBER(L28),L28*1000+32*12*1000/assumptions!$B$7,"")</f>
        <v/>
      </c>
      <c r="M44" s="77">
        <f>IF(ISNUMBER(M28),M28*1000+32*12*1000/assumptions!$B$7,"")</f>
        <v/>
      </c>
      <c r="N44" s="77">
        <f>IF(ISNUMBER(N28),N28*1000+32*12*1000/assumptions!$B$7,"")</f>
        <v/>
      </c>
      <c r="O44" s="77">
        <f>IF(ISNUMBER(O28),O28*1000+32*12*1000/assumptions!$B$7,"")</f>
        <v/>
      </c>
    </row>
    <row r="45" ht="16.5" customHeight="1" s="78">
      <c r="A45" s="77" t="inlineStr">
        <is>
          <t>GD medium all-in catalogue total</t>
        </is>
      </c>
      <c r="B45" s="142" t="inlineStr">
        <is>
          <t>元/MWh</t>
        </is>
      </c>
      <c r="C45" s="77" t="inlineStr">
        <is>
          <t>E1=E2</t>
        </is>
      </c>
      <c r="F45" s="77">
        <f>IF(ISNUMBER(F29),F29*1000+32*12*1000/assumptions!$C$7,"")</f>
        <v/>
      </c>
      <c r="G45" s="77">
        <f>IF(ISNUMBER(G29),G29*1000+32*12*1000/assumptions!$C$7,"")</f>
        <v/>
      </c>
      <c r="H45" s="77">
        <f>IF(ISNUMBER(H29),H29*1000+32*12*1000/assumptions!$C$7,"")</f>
        <v/>
      </c>
      <c r="I45" s="77">
        <f>IF(ISNUMBER(I29),I29*1000+32*12*1000/assumptions!$C$7,"")</f>
        <v/>
      </c>
      <c r="J45" s="77">
        <f>IF(ISNUMBER(J29),J29*1000+32*12*1000/assumptions!$C$7,"")</f>
        <v/>
      </c>
      <c r="K45" s="77">
        <f>IF(ISNUMBER(K29),K29*1000+32*12*1000/assumptions!$C$7,"")</f>
        <v/>
      </c>
      <c r="L45" s="77">
        <f>IF(ISNUMBER(L29),L29*1000+32*12*1000/assumptions!$C$7,"")</f>
        <v/>
      </c>
      <c r="M45" s="77">
        <f>IF(ISNUMBER(M29),M29*1000+32*12*1000/assumptions!$C$7,"")</f>
        <v/>
      </c>
      <c r="N45" s="77">
        <f>IF(ISNUMBER(N29),N29*1000+32*12*1000/assumptions!$C$7,"")</f>
        <v/>
      </c>
      <c r="O45" s="77">
        <f>IF(ISNUMBER(O29),O29*1000+32*12*1000/assumptions!$C$7,"")</f>
        <v/>
      </c>
    </row>
    <row r="46" ht="16.5" customHeight="1" s="78">
      <c r="A46" s="77" t="inlineStr">
        <is>
          <t>SD large all-in catalogue total</t>
        </is>
      </c>
      <c r="B46" s="142" t="inlineStr">
        <is>
          <t>元/MWh</t>
        </is>
      </c>
      <c r="C46" s="77" t="inlineStr">
        <is>
          <t>E1=E2</t>
        </is>
      </c>
      <c r="F46" s="77">
        <f>IF(ISNUMBER(F30),F30*1000+38*12*1000/assumptions!$B$7,"")</f>
        <v/>
      </c>
      <c r="G46" s="77">
        <f>IF(ISNUMBER(G30),G30*1000+38*12*1000/assumptions!$B$7,"")</f>
        <v/>
      </c>
      <c r="H46" s="77">
        <f>IF(ISNUMBER(H30),H30*1000+38*12*1000/assumptions!$B$7,"")</f>
        <v/>
      </c>
      <c r="I46" s="77">
        <f>IF(ISNUMBER(I30),I30*1000+38*12*1000/assumptions!$B$7,"")</f>
        <v/>
      </c>
      <c r="J46" s="77">
        <f>IF(ISNUMBER(J30),J30*1000+38*12*1000/assumptions!$B$7,"")</f>
        <v/>
      </c>
      <c r="K46" s="77">
        <f>IF(ISNUMBER(K30),K30*1000+38*12*1000/assumptions!$B$7,"")</f>
        <v/>
      </c>
      <c r="L46" s="77">
        <f>IF(ISNUMBER(L30),L30*1000+38*12*1000/assumptions!$B$7,"")</f>
        <v/>
      </c>
      <c r="M46" s="77">
        <f>IF(ISNUMBER(M30),M30*1000+38*12*1000/assumptions!$B$7,"")</f>
        <v/>
      </c>
      <c r="N46" s="77">
        <f>IF(ISNUMBER(N30),N30*1000+38*12*1000/assumptions!$B$7,"")</f>
        <v/>
      </c>
      <c r="O46" s="77">
        <f>IF(ISNUMBER(O30),O30*1000+38*12*1000/assumptions!$B$7,"")</f>
        <v/>
      </c>
    </row>
    <row r="47" ht="16.5" customHeight="1" s="78">
      <c r="A47" s="77" t="inlineStr">
        <is>
          <t>SD medium all-in catalogue total</t>
        </is>
      </c>
      <c r="B47" s="142" t="inlineStr">
        <is>
          <t>元/MWh</t>
        </is>
      </c>
      <c r="C47" s="77" t="inlineStr">
        <is>
          <t>E1=E2</t>
        </is>
      </c>
      <c r="F47" s="77">
        <f>IF(ISNUMBER(F31),F31*1000+38*12*1000/assumptions!$C$7,"")</f>
        <v/>
      </c>
      <c r="G47" s="77">
        <f>IF(ISNUMBER(G31),G31*1000+38*12*1000/assumptions!$C$7,"")</f>
        <v/>
      </c>
      <c r="H47" s="77">
        <f>IF(ISNUMBER(H31),H31*1000+38*12*1000/assumptions!$C$7,"")</f>
        <v/>
      </c>
      <c r="I47" s="77">
        <f>IF(ISNUMBER(I31),I31*1000+38*12*1000/assumptions!$C$7,"")</f>
        <v/>
      </c>
      <c r="J47" s="77">
        <f>IF(ISNUMBER(J31),J31*1000+38*12*1000/assumptions!$C$7,"")</f>
        <v/>
      </c>
      <c r="K47" s="77">
        <f>IF(ISNUMBER(K31),K31*1000+38*12*1000/assumptions!$C$7,"")</f>
        <v/>
      </c>
      <c r="L47" s="77">
        <f>IF(ISNUMBER(L31),L31*1000+38*12*1000/assumptions!$C$7,"")</f>
        <v/>
      </c>
      <c r="M47" s="77">
        <f>IF(ISNUMBER(M31),M31*1000+38*12*1000/assumptions!$C$7,"")</f>
        <v/>
      </c>
      <c r="N47" s="77">
        <f>IF(ISNUMBER(N31),N31*1000+38*12*1000/assumptions!$C$7,"")</f>
        <v/>
      </c>
      <c r="O47" s="77">
        <f>IF(ISNUMBER(O31),O31*1000+38*12*1000/assumptions!$C$7,"")</f>
        <v/>
      </c>
    </row>
    <row r="48" ht="16.5" customHeight="1" s="78">
      <c r="A48" s="77" t="inlineStr">
        <is>
          <t>ZJ large all-in catalogue total</t>
        </is>
      </c>
      <c r="B48" s="142" t="inlineStr">
        <is>
          <t>元/MWh</t>
        </is>
      </c>
      <c r="C48" s="77" t="inlineStr">
        <is>
          <t>E1=E2</t>
        </is>
      </c>
      <c r="F48" s="77">
        <f>IF(ISNUMBER(F32),F32*1000+40*12*1000/assumptions!$B$7,"")</f>
        <v/>
      </c>
      <c r="G48" s="77">
        <f>IF(ISNUMBER(G32),G32*1000+40*12*1000/assumptions!$B$7,"")</f>
        <v/>
      </c>
      <c r="H48" s="77">
        <f>IF(ISNUMBER(H32),H32*1000+40*12*1000/assumptions!$B$7,"")</f>
        <v/>
      </c>
      <c r="I48" s="77">
        <f>IF(ISNUMBER(I32),I32*1000+40*12*1000/assumptions!$B$7,"")</f>
        <v/>
      </c>
      <c r="J48" s="77">
        <f>IF(ISNUMBER(J32),J32*1000+40*12*1000/assumptions!$B$7,"")</f>
        <v/>
      </c>
      <c r="K48" s="77">
        <f>IF(ISNUMBER(K32),K32*1000+40*12*1000/assumptions!$B$7,"")</f>
        <v/>
      </c>
      <c r="L48" s="77">
        <f>IF(ISNUMBER(L32),L32*1000+40*12*1000/assumptions!$B$7,"")</f>
        <v/>
      </c>
      <c r="M48" s="77">
        <f>IF(ISNUMBER(M32),M32*1000+40*12*1000/assumptions!$B$7,"")</f>
        <v/>
      </c>
      <c r="N48" s="77">
        <f>IF(ISNUMBER(N32),N32*1000+40*12*1000/assumptions!$B$7,"")</f>
        <v/>
      </c>
      <c r="O48" s="77">
        <f>IF(ISNUMBER(O32),O32*1000+40*12*1000/assumptions!$B$7,"")</f>
        <v/>
      </c>
    </row>
    <row r="49" ht="16.5" customHeight="1" s="78">
      <c r="A49" s="77" t="inlineStr">
        <is>
          <t>ZJ medium all-in catalogue total</t>
        </is>
      </c>
      <c r="B49" s="142" t="inlineStr">
        <is>
          <t>元/MWh</t>
        </is>
      </c>
      <c r="C49" s="77" t="inlineStr">
        <is>
          <t>E1=E2</t>
        </is>
      </c>
      <c r="F49" s="77">
        <f>IF(ISNUMBER(F33),F33*1000+40*12*1000/assumptions!$C$7,"")</f>
        <v/>
      </c>
      <c r="G49" s="77">
        <f>IF(ISNUMBER(G33),G33*1000+40*12*1000/assumptions!$C$7,"")</f>
        <v/>
      </c>
      <c r="H49" s="77">
        <f>IF(ISNUMBER(H33),H33*1000+40*12*1000/assumptions!$C$7,"")</f>
        <v/>
      </c>
      <c r="I49" s="77">
        <f>IF(ISNUMBER(I33),I33*1000+40*12*1000/assumptions!$C$7,"")</f>
        <v/>
      </c>
      <c r="J49" s="77">
        <f>IF(ISNUMBER(J33),J33*1000+40*12*1000/assumptions!$C$7,"")</f>
        <v/>
      </c>
      <c r="K49" s="77">
        <f>IF(ISNUMBER(K33),K33*1000+40*12*1000/assumptions!$C$7,"")</f>
        <v/>
      </c>
      <c r="L49" s="77">
        <f>IF(ISNUMBER(L33),L33*1000+40*12*1000/assumptions!$C$7,"")</f>
        <v/>
      </c>
      <c r="M49" s="77">
        <f>IF(ISNUMBER(M33),M33*1000+40*12*1000/assumptions!$C$7,"")</f>
        <v/>
      </c>
      <c r="N49" s="77">
        <f>IF(ISNUMBER(N33),N33*1000+40*12*1000/assumptions!$C$7,"")</f>
        <v/>
      </c>
      <c r="O49" s="77">
        <f>IF(ISNUMBER(O33),O33*1000+40*12*1000/assumptions!$C$7,"")</f>
        <v/>
      </c>
    </row>
    <row r="50" ht="16.5" customHeight="1" s="78">
      <c r="A50" s="77" t="inlineStr">
        <is>
          <t>HN large all-in catalogue total (需量 corrected 28→30 元/kW·月 per 187号/654号 tables — Q34)</t>
        </is>
      </c>
      <c r="B50" s="142" t="inlineStr">
        <is>
          <t>元/MWh</t>
        </is>
      </c>
      <c r="C50" s="77" t="inlineStr">
        <is>
          <t>E1=E2</t>
        </is>
      </c>
      <c r="F50" s="77">
        <f>IF(ISNUMBER(F34),F34*1000+30*12*1000/assumptions!$B$7,"")</f>
        <v/>
      </c>
      <c r="G50" s="77">
        <f>IF(ISNUMBER(G34),G34*1000+30*12*1000/assumptions!$B$7,"")</f>
        <v/>
      </c>
      <c r="H50" s="77">
        <f>IF(ISNUMBER(H34),H34*1000+30*12*1000/assumptions!$B$7,"")</f>
        <v/>
      </c>
      <c r="I50" s="77">
        <f>IF(ISNUMBER(I34),I34*1000+30*12*1000/assumptions!$B$7,"")</f>
        <v/>
      </c>
      <c r="J50" s="77">
        <f>IF(ISNUMBER(J34),J34*1000+30*12*1000/assumptions!$B$7,"")</f>
        <v/>
      </c>
      <c r="K50" s="77">
        <f>IF(ISNUMBER(K34),K34*1000+30*12*1000/assumptions!$B$7,"")</f>
        <v/>
      </c>
      <c r="L50" s="77">
        <f>IF(ISNUMBER(L34),L34*1000+30*12*1000/assumptions!$B$7,"")</f>
        <v/>
      </c>
      <c r="M50" s="77">
        <f>IF(ISNUMBER(M34),M34*1000+30*12*1000/assumptions!$B$7,"")</f>
        <v/>
      </c>
      <c r="N50" s="77">
        <f>IF(ISNUMBER(N34),N34*1000+30*12*1000/assumptions!$B$7,"")</f>
        <v/>
      </c>
      <c r="O50" s="77">
        <f>IF(ISNUMBER(O34),O34*1000+30*12*1000/assumptions!$B$7,"")</f>
        <v/>
      </c>
    </row>
    <row r="51" ht="16.5" customHeight="1" s="78">
      <c r="A51" s="77" t="inlineStr">
        <is>
          <t>HN medium all-in catalogue total</t>
        </is>
      </c>
      <c r="B51" s="142" t="inlineStr">
        <is>
          <t>元/MWh</t>
        </is>
      </c>
      <c r="C51" s="77" t="inlineStr">
        <is>
          <t>E1=E2</t>
        </is>
      </c>
      <c r="F51" s="77">
        <f>IF(ISNUMBER(F35),F35*1000+30*12*1000/assumptions!$C$7,"")</f>
        <v/>
      </c>
      <c r="G51" s="77">
        <f>IF(ISNUMBER(G35),G35*1000+30*12*1000/assumptions!$C$7,"")</f>
        <v/>
      </c>
      <c r="H51" s="77">
        <f>IF(ISNUMBER(H35),H35*1000+30*12*1000/assumptions!$C$7,"")</f>
        <v/>
      </c>
      <c r="I51" s="77">
        <f>IF(ISNUMBER(I35),I35*1000+30*12*1000/assumptions!$C$7,"")</f>
        <v/>
      </c>
      <c r="J51" s="77">
        <f>IF(ISNUMBER(J35),J35*1000+30*12*1000/assumptions!$C$7,"")</f>
        <v/>
      </c>
      <c r="K51" s="77">
        <f>IF(ISNUMBER(K35),K35*1000+30*12*1000/assumptions!$C$7,"")</f>
        <v/>
      </c>
      <c r="L51" s="77">
        <f>IF(ISNUMBER(L35),L35*1000+30*12*1000/assumptions!$C$7,"")</f>
        <v/>
      </c>
      <c r="M51" s="77">
        <f>IF(ISNUMBER(M35),M35*1000+30*12*1000/assumptions!$C$7,"")</f>
        <v/>
      </c>
      <c r="N51" s="77">
        <f>IF(ISNUMBER(N35),N35*1000+30*12*1000/assumptions!$C$7,"")</f>
        <v/>
      </c>
      <c r="O51" s="77">
        <f>IF(ISNUMBER(O35),O35*1000+30*12*1000/assumptions!$C$7,"")</f>
        <v/>
      </c>
    </row>
    <row r="52" ht="16.5" customHeight="1" s="78">
      <c r="A52" s="77" t="inlineStr">
        <is>
          <t>SC large all-in catalogue total (需量 39 through 2020, 33 from 2021 per 629号 — corrected)</t>
        </is>
      </c>
      <c r="B52" s="142" t="inlineStr">
        <is>
          <t>元/MWh</t>
        </is>
      </c>
      <c r="C52" s="77" t="inlineStr">
        <is>
          <t>E1=E2</t>
        </is>
      </c>
      <c r="F52" s="77">
        <f>IF(ISNUMBER(F36),F36*1000+39*12*1000/assumptions!$B$7,"")</f>
        <v/>
      </c>
      <c r="G52" s="77">
        <f>IF(ISNUMBER(G36),G36*1000+39*12*1000/assumptions!$B$7,"")</f>
        <v/>
      </c>
      <c r="H52" s="77">
        <f>IF(ISNUMBER(H36),H36*1000+39*12*1000/assumptions!$B$7,"")</f>
        <v/>
      </c>
      <c r="I52" s="77">
        <f>IF(ISNUMBER(I36),I36*1000+39*12*1000/assumptions!$B$7,"")</f>
        <v/>
      </c>
      <c r="J52" s="77">
        <f>IF(ISNUMBER(J36),J36*1000+39*12*1000/assumptions!$B$7,"")</f>
        <v/>
      </c>
      <c r="K52" s="77">
        <f>IF(ISNUMBER(K36),K36*1000+39*12*1000/assumptions!$B$7,"")</f>
        <v/>
      </c>
      <c r="L52" s="77">
        <f>IF(ISNUMBER(L36),L36*1000+39*12*1000/assumptions!$B$7,"")</f>
        <v/>
      </c>
      <c r="M52" s="77">
        <f>IF(ISNUMBER(M36),M36*1000+39*12*1000/assumptions!$B$7,"")</f>
        <v/>
      </c>
      <c r="N52" s="77">
        <f>IF(ISNUMBER(N36),N36*1000+39*12*1000/assumptions!$B$7,"")</f>
        <v/>
      </c>
      <c r="O52" s="77">
        <f>IF(ISNUMBER(O36),O36*1000+33*12*1000/assumptions!$B$7,"")</f>
        <v/>
      </c>
    </row>
    <row r="53" ht="16.5" customHeight="1" s="78">
      <c r="A53" s="77" t="inlineStr">
        <is>
          <t>SC medium all-in catalogue total</t>
        </is>
      </c>
      <c r="B53" s="142" t="inlineStr">
        <is>
          <t>元/MWh</t>
        </is>
      </c>
      <c r="C53" s="77" t="inlineStr">
        <is>
          <t>E1=E2</t>
        </is>
      </c>
      <c r="F53" s="77">
        <f>IF(ISNUMBER(F37),F37*1000+39*12*1000/assumptions!$C$7,"")</f>
        <v/>
      </c>
      <c r="G53" s="77">
        <f>IF(ISNUMBER(G37),G37*1000+39*12*1000/assumptions!$C$7,"")</f>
        <v/>
      </c>
      <c r="H53" s="77">
        <f>IF(ISNUMBER(H37),H37*1000+39*12*1000/assumptions!$C$7,"")</f>
        <v/>
      </c>
      <c r="I53" s="77">
        <f>IF(ISNUMBER(I37),I37*1000+39*12*1000/assumptions!$C$7,"")</f>
        <v/>
      </c>
      <c r="J53" s="77">
        <f>IF(ISNUMBER(J37),J37*1000+39*12*1000/assumptions!$C$7,"")</f>
        <v/>
      </c>
      <c r="K53" s="77">
        <f>IF(ISNUMBER(K37),K37*1000+39*12*1000/assumptions!$C$7,"")</f>
        <v/>
      </c>
      <c r="L53" s="77">
        <f>IF(ISNUMBER(L37),L37*1000+39*12*1000/assumptions!$C$7,"")</f>
        <v/>
      </c>
      <c r="M53" s="77">
        <f>IF(ISNUMBER(M37),M37*1000+39*12*1000/assumptions!$C$7,"")</f>
        <v/>
      </c>
      <c r="N53" s="77">
        <f>IF(ISNUMBER(N37),N37*1000+39*12*1000/assumptions!$C$7,"")</f>
        <v/>
      </c>
      <c r="O53" s="77">
        <f>IF(ISNUMBER(O37),O37*1000+33*12*1000/assumptions!$C$7,"")</f>
        <v/>
      </c>
    </row>
    <row r="54" ht="16.5" customHeight="1" s="78">
      <c r="A54" s="77" t="inlineStr">
        <is>
          <t>IM large all-in catalogue total</t>
        </is>
      </c>
      <c r="B54" s="142" t="inlineStr">
        <is>
          <t>元/MWh</t>
        </is>
      </c>
      <c r="C54" s="77" t="inlineStr">
        <is>
          <t>E1=E2</t>
        </is>
      </c>
      <c r="F54" s="77">
        <f>IF(ISNUMBER(F38),F38*1000+28*12*1000/assumptions!$B$7,"")</f>
        <v/>
      </c>
      <c r="G54" s="77">
        <f>IF(ISNUMBER(G38),G38*1000+28*12*1000/assumptions!$B$7,"")</f>
        <v/>
      </c>
      <c r="H54" s="77">
        <f>IF(ISNUMBER(H38),H38*1000+28*12*1000/assumptions!$B$7,"")</f>
        <v/>
      </c>
      <c r="I54" s="77">
        <f>IF(ISNUMBER(I38),I38*1000+28*12*1000/assumptions!$B$7,"")</f>
        <v/>
      </c>
      <c r="J54" s="77">
        <f>IF(ISNUMBER(J38),J38*1000+28*12*1000/assumptions!$B$7,"")</f>
        <v/>
      </c>
      <c r="K54" s="77">
        <f>IF(ISNUMBER(K38),K38*1000+28*12*1000/assumptions!$B$7,"")</f>
        <v/>
      </c>
      <c r="L54" s="77">
        <f>IF(ISNUMBER(L38),L38*1000+28*12*1000/assumptions!$B$7,"")</f>
        <v/>
      </c>
      <c r="M54" s="77">
        <f>IF(ISNUMBER(M38),M38*1000+28*12*1000/assumptions!$B$7,"")</f>
        <v/>
      </c>
      <c r="N54" s="77">
        <f>IF(ISNUMBER(N38),N38*1000+28*12*1000/assumptions!$B$7,"")</f>
        <v/>
      </c>
      <c r="O54" s="77">
        <f>IF(ISNUMBER(O38),O38*1000+28*12*1000/assumptions!$B$7,"")</f>
        <v/>
      </c>
    </row>
    <row r="55" ht="16.5" customHeight="1" s="78">
      <c r="A55" s="77" t="inlineStr">
        <is>
          <t>IM medium all-in catalogue total</t>
        </is>
      </c>
      <c r="B55" s="142" t="inlineStr">
        <is>
          <t>元/MWh</t>
        </is>
      </c>
      <c r="C55" s="77" t="inlineStr">
        <is>
          <t>E1=E2</t>
        </is>
      </c>
      <c r="F55" s="77">
        <f>IF(ISNUMBER(F39),F39*1000+28*12*1000/assumptions!$C$7,"")</f>
        <v/>
      </c>
      <c r="G55" s="77">
        <f>IF(ISNUMBER(G39),G39*1000+28*12*1000/assumptions!$C$7,"")</f>
        <v/>
      </c>
      <c r="H55" s="77">
        <f>IF(ISNUMBER(H39),H39*1000+28*12*1000/assumptions!$C$7,"")</f>
        <v/>
      </c>
      <c r="I55" s="77">
        <f>IF(ISNUMBER(I39),I39*1000+28*12*1000/assumptions!$C$7,"")</f>
        <v/>
      </c>
      <c r="J55" s="77">
        <f>IF(ISNUMBER(J39),J39*1000+28*12*1000/assumptions!$C$7,"")</f>
        <v/>
      </c>
      <c r="K55" s="77">
        <f>IF(ISNUMBER(K39),K39*1000+28*12*1000/assumptions!$C$7,"")</f>
        <v/>
      </c>
      <c r="L55" s="77">
        <f>IF(ISNUMBER(L39),L39*1000+28*12*1000/assumptions!$C$7,"")</f>
        <v/>
      </c>
      <c r="M55" s="77">
        <f>IF(ISNUMBER(M39),M39*1000+28*12*1000/assumptions!$C$7,"")</f>
        <v/>
      </c>
      <c r="N55" s="77">
        <f>IF(ISNUMBER(N39),N39*1000+28*12*1000/assumptions!$C$7,"")</f>
        <v/>
      </c>
      <c r="O55" s="77">
        <f>IF(ISNUMBER(O39),O39*1000+28*12*1000/assumptions!$C$7,"")</f>
        <v/>
      </c>
    </row>
    <row r="57" ht="15" customHeight="1" s="78">
      <c r="A57" s="109" t="inlineStr">
        <is>
          <t>D. CATALOGUE BASKETS (renormalised over available provinces, D23; estimated=Y). Weights = assumptions!E46:E52 (Set C). 2020 COVID rebate shown separately.</t>
        </is>
      </c>
    </row>
    <row r="58" ht="16.5" customHeight="1" s="78">
      <c r="A58" s="77" t="inlineStr">
        <is>
          <t>CN LARGE catalogue basket (renormalised; 2021 = Jan–Sep basis)</t>
        </is>
      </c>
      <c r="B58" s="142" t="inlineStr">
        <is>
          <t>元/MWh</t>
        </is>
      </c>
      <c r="C58" s="77" t="inlineStr">
        <is>
          <t>E1=E2; estimated=Y</t>
        </is>
      </c>
      <c r="F58" s="77">
        <f>IF((IF(ISNUMBER(F42),assumptions!$E$46,0)+IF(ISNUMBER(F44),assumptions!$E$47,0)+IF(ISNUMBER(F46),assumptions!$E$48,0)+IF(ISNUMBER(F48),assumptions!$E$49,0)+IF(ISNUMBER(F50),assumptions!$E$50,0)+IF(ISNUMBER(F54),assumptions!$E$51,0)+IF(ISNUMBER(F52),assumptions!$E$52,0))&gt;0,(IF(ISNUMBER(F42),assumptions!$E$46*F42,0)+IF(ISNUMBER(F44),assumptions!$E$47*F44,0)+IF(ISNUMBER(F46),assumptions!$E$48*F46,0)+IF(ISNUMBER(F48),assumptions!$E$49*F48,0)+IF(ISNUMBER(F50),assumptions!$E$50*F50,0)+IF(ISNUMBER(F54),assumptions!$E$51*F54,0)+IF(ISNUMBER(F52),assumptions!$E$52*F52,0))/(IF(ISNUMBER(F42),assumptions!$E$46,0)+IF(ISNUMBER(F44),assumptions!$E$47,0)+IF(ISNUMBER(F46),assumptions!$E$48,0)+IF(ISNUMBER(F48),assumptions!$E$49,0)+IF(ISNUMBER(F50),assumptions!$E$50,0)+IF(ISNUMBER(F54),assumptions!$E$51,0)+IF(ISNUMBER(F52),assumptions!$E$52,0)),"")</f>
        <v/>
      </c>
      <c r="G58" s="77">
        <f>IF((IF(ISNUMBER(G42),assumptions!$E$46,0)+IF(ISNUMBER(G44),assumptions!$E$47,0)+IF(ISNUMBER(G46),assumptions!$E$48,0)+IF(ISNUMBER(G48),assumptions!$E$49,0)+IF(ISNUMBER(G50),assumptions!$E$50,0)+IF(ISNUMBER(G54),assumptions!$E$51,0)+IF(ISNUMBER(G52),assumptions!$E$52,0))&gt;0,(IF(ISNUMBER(G42),assumptions!$E$46*G42,0)+IF(ISNUMBER(G44),assumptions!$E$47*G44,0)+IF(ISNUMBER(G46),assumptions!$E$48*G46,0)+IF(ISNUMBER(G48),assumptions!$E$49*G48,0)+IF(ISNUMBER(G50),assumptions!$E$50*G50,0)+IF(ISNUMBER(G54),assumptions!$E$51*G54,0)+IF(ISNUMBER(G52),assumptions!$E$52*G52,0))/(IF(ISNUMBER(G42),assumptions!$E$46,0)+IF(ISNUMBER(G44),assumptions!$E$47,0)+IF(ISNUMBER(G46),assumptions!$E$48,0)+IF(ISNUMBER(G48),assumptions!$E$49,0)+IF(ISNUMBER(G50),assumptions!$E$50,0)+IF(ISNUMBER(G54),assumptions!$E$51,0)+IF(ISNUMBER(G52),assumptions!$E$52,0)),"")</f>
        <v/>
      </c>
      <c r="H58" s="77">
        <f>IF((IF(ISNUMBER(H42),assumptions!$E$46,0)+IF(ISNUMBER(H44),assumptions!$E$47,0)+IF(ISNUMBER(H46),assumptions!$E$48,0)+IF(ISNUMBER(H48),assumptions!$E$49,0)+IF(ISNUMBER(H50),assumptions!$E$50,0)+IF(ISNUMBER(H54),assumptions!$E$51,0)+IF(ISNUMBER(H52),assumptions!$E$52,0))&gt;0,(IF(ISNUMBER(H42),assumptions!$E$46*H42,0)+IF(ISNUMBER(H44),assumptions!$E$47*H44,0)+IF(ISNUMBER(H46),assumptions!$E$48*H46,0)+IF(ISNUMBER(H48),assumptions!$E$49*H48,0)+IF(ISNUMBER(H50),assumptions!$E$50*H50,0)+IF(ISNUMBER(H54),assumptions!$E$51*H54,0)+IF(ISNUMBER(H52),assumptions!$E$52*H52,0))/(IF(ISNUMBER(H42),assumptions!$E$46,0)+IF(ISNUMBER(H44),assumptions!$E$47,0)+IF(ISNUMBER(H46),assumptions!$E$48,0)+IF(ISNUMBER(H48),assumptions!$E$49,0)+IF(ISNUMBER(H50),assumptions!$E$50,0)+IF(ISNUMBER(H54),assumptions!$E$51,0)+IF(ISNUMBER(H52),assumptions!$E$52,0)),"")</f>
        <v/>
      </c>
      <c r="I58" s="77">
        <f>IF((IF(ISNUMBER(I42),assumptions!$E$46,0)+IF(ISNUMBER(I44),assumptions!$E$47,0)+IF(ISNUMBER(I46),assumptions!$E$48,0)+IF(ISNUMBER(I48),assumptions!$E$49,0)+IF(ISNUMBER(I50),assumptions!$E$50,0)+IF(ISNUMBER(I54),assumptions!$E$51,0)+IF(ISNUMBER(I52),assumptions!$E$52,0))&gt;0,(IF(ISNUMBER(I42),assumptions!$E$46*I42,0)+IF(ISNUMBER(I44),assumptions!$E$47*I44,0)+IF(ISNUMBER(I46),assumptions!$E$48*I46,0)+IF(ISNUMBER(I48),assumptions!$E$49*I48,0)+IF(ISNUMBER(I50),assumptions!$E$50*I50,0)+IF(ISNUMBER(I54),assumptions!$E$51*I54,0)+IF(ISNUMBER(I52),assumptions!$E$52*I52,0))/(IF(ISNUMBER(I42),assumptions!$E$46,0)+IF(ISNUMBER(I44),assumptions!$E$47,0)+IF(ISNUMBER(I46),assumptions!$E$48,0)+IF(ISNUMBER(I48),assumptions!$E$49,0)+IF(ISNUMBER(I50),assumptions!$E$50,0)+IF(ISNUMBER(I54),assumptions!$E$51,0)+IF(ISNUMBER(I52),assumptions!$E$52,0)),"")</f>
        <v/>
      </c>
      <c r="J58" s="77">
        <f>IF((IF(ISNUMBER(J42),assumptions!$E$46,0)+IF(ISNUMBER(J44),assumptions!$E$47,0)+IF(ISNUMBER(J46),assumptions!$E$48,0)+IF(ISNUMBER(J48),assumptions!$E$49,0)+IF(ISNUMBER(J50),assumptions!$E$50,0)+IF(ISNUMBER(J54),assumptions!$E$51,0)+IF(ISNUMBER(J52),assumptions!$E$52,0))&gt;0,(IF(ISNUMBER(J42),assumptions!$E$46*J42,0)+IF(ISNUMBER(J44),assumptions!$E$47*J44,0)+IF(ISNUMBER(J46),assumptions!$E$48*J46,0)+IF(ISNUMBER(J48),assumptions!$E$49*J48,0)+IF(ISNUMBER(J50),assumptions!$E$50*J50,0)+IF(ISNUMBER(J54),assumptions!$E$51*J54,0)+IF(ISNUMBER(J52),assumptions!$E$52*J52,0))/(IF(ISNUMBER(J42),assumptions!$E$46,0)+IF(ISNUMBER(J44),assumptions!$E$47,0)+IF(ISNUMBER(J46),assumptions!$E$48,0)+IF(ISNUMBER(J48),assumptions!$E$49,0)+IF(ISNUMBER(J50),assumptions!$E$50,0)+IF(ISNUMBER(J54),assumptions!$E$51,0)+IF(ISNUMBER(J52),assumptions!$E$52,0)),"")</f>
        <v/>
      </c>
      <c r="K58" s="77">
        <f>IF((IF(ISNUMBER(K42),assumptions!$E$46,0)+IF(ISNUMBER(K44),assumptions!$E$47,0)+IF(ISNUMBER(K46),assumptions!$E$48,0)+IF(ISNUMBER(K48),assumptions!$E$49,0)+IF(ISNUMBER(K50),assumptions!$E$50,0)+IF(ISNUMBER(K54),assumptions!$E$51,0)+IF(ISNUMBER(K52),assumptions!$E$52,0))&gt;0,(IF(ISNUMBER(K42),assumptions!$E$46*K42,0)+IF(ISNUMBER(K44),assumptions!$E$47*K44,0)+IF(ISNUMBER(K46),assumptions!$E$48*K46,0)+IF(ISNUMBER(K48),assumptions!$E$49*K48,0)+IF(ISNUMBER(K50),assumptions!$E$50*K50,0)+IF(ISNUMBER(K54),assumptions!$E$51*K54,0)+IF(ISNUMBER(K52),assumptions!$E$52*K52,0))/(IF(ISNUMBER(K42),assumptions!$E$46,0)+IF(ISNUMBER(K44),assumptions!$E$47,0)+IF(ISNUMBER(K46),assumptions!$E$48,0)+IF(ISNUMBER(K48),assumptions!$E$49,0)+IF(ISNUMBER(K50),assumptions!$E$50,0)+IF(ISNUMBER(K54),assumptions!$E$51,0)+IF(ISNUMBER(K52),assumptions!$E$52,0)),"")</f>
        <v/>
      </c>
      <c r="L58" s="77">
        <f>IF((IF(ISNUMBER(L42),assumptions!$E$46,0)+IF(ISNUMBER(L44),assumptions!$E$47,0)+IF(ISNUMBER(L46),assumptions!$E$48,0)+IF(ISNUMBER(L48),assumptions!$E$49,0)+IF(ISNUMBER(L50),assumptions!$E$50,0)+IF(ISNUMBER(L54),assumptions!$E$51,0)+IF(ISNUMBER(L52),assumptions!$E$52,0))&gt;0,(IF(ISNUMBER(L42),assumptions!$E$46*L42,0)+IF(ISNUMBER(L44),assumptions!$E$47*L44,0)+IF(ISNUMBER(L46),assumptions!$E$48*L46,0)+IF(ISNUMBER(L48),assumptions!$E$49*L48,0)+IF(ISNUMBER(L50),assumptions!$E$50*L50,0)+IF(ISNUMBER(L54),assumptions!$E$51*L54,0)+IF(ISNUMBER(L52),assumptions!$E$52*L52,0))/(IF(ISNUMBER(L42),assumptions!$E$46,0)+IF(ISNUMBER(L44),assumptions!$E$47,0)+IF(ISNUMBER(L46),assumptions!$E$48,0)+IF(ISNUMBER(L48),assumptions!$E$49,0)+IF(ISNUMBER(L50),assumptions!$E$50,0)+IF(ISNUMBER(L54),assumptions!$E$51,0)+IF(ISNUMBER(L52),assumptions!$E$52,0)),"")</f>
        <v/>
      </c>
      <c r="M58" s="77">
        <f>IF((IF(ISNUMBER(M42),assumptions!$E$46,0)+IF(ISNUMBER(M44),assumptions!$E$47,0)+IF(ISNUMBER(M46),assumptions!$E$48,0)+IF(ISNUMBER(M48),assumptions!$E$49,0)+IF(ISNUMBER(M50),assumptions!$E$50,0)+IF(ISNUMBER(M54),assumptions!$E$51,0)+IF(ISNUMBER(M52),assumptions!$E$52,0))&gt;0,(IF(ISNUMBER(M42),assumptions!$E$46*M42,0)+IF(ISNUMBER(M44),assumptions!$E$47*M44,0)+IF(ISNUMBER(M46),assumptions!$E$48*M46,0)+IF(ISNUMBER(M48),assumptions!$E$49*M48,0)+IF(ISNUMBER(M50),assumptions!$E$50*M50,0)+IF(ISNUMBER(M54),assumptions!$E$51*M54,0)+IF(ISNUMBER(M52),assumptions!$E$52*M52,0))/(IF(ISNUMBER(M42),assumptions!$E$46,0)+IF(ISNUMBER(M44),assumptions!$E$47,0)+IF(ISNUMBER(M46),assumptions!$E$48,0)+IF(ISNUMBER(M48),assumptions!$E$49,0)+IF(ISNUMBER(M50),assumptions!$E$50,0)+IF(ISNUMBER(M54),assumptions!$E$51,0)+IF(ISNUMBER(M52),assumptions!$E$52,0)),"")</f>
        <v/>
      </c>
      <c r="N58" s="77">
        <f>IF((IF(ISNUMBER(N42),assumptions!$E$46,0)+IF(ISNUMBER(N44),assumptions!$E$47,0)+IF(ISNUMBER(N46),assumptions!$E$48,0)+IF(ISNUMBER(N48),assumptions!$E$49,0)+IF(ISNUMBER(N50),assumptions!$E$50,0)+IF(ISNUMBER(N54),assumptions!$E$51,0)+IF(ISNUMBER(N52),assumptions!$E$52,0))&gt;0,(IF(ISNUMBER(N42),assumptions!$E$46*N42,0)+IF(ISNUMBER(N44),assumptions!$E$47*N44,0)+IF(ISNUMBER(N46),assumptions!$E$48*N46,0)+IF(ISNUMBER(N48),assumptions!$E$49*N48,0)+IF(ISNUMBER(N50),assumptions!$E$50*N50,0)+IF(ISNUMBER(N54),assumptions!$E$51*N54,0)+IF(ISNUMBER(N52),assumptions!$E$52*N52,0))/(IF(ISNUMBER(N42),assumptions!$E$46,0)+IF(ISNUMBER(N44),assumptions!$E$47,0)+IF(ISNUMBER(N46),assumptions!$E$48,0)+IF(ISNUMBER(N48),assumptions!$E$49,0)+IF(ISNUMBER(N50),assumptions!$E$50,0)+IF(ISNUMBER(N54),assumptions!$E$51,0)+IF(ISNUMBER(N52),assumptions!$E$52,0)),"")</f>
        <v/>
      </c>
      <c r="O58" s="77">
        <f>IF((IF(ISNUMBER(O42),assumptions!$E$46,0)+IF(ISNUMBER(O44),assumptions!$E$47,0)+IF(ISNUMBER(O46),assumptions!$E$48,0)+IF(ISNUMBER(O48),assumptions!$E$49,0)+IF(ISNUMBER(O50),assumptions!$E$50,0)+IF(ISNUMBER(O54),assumptions!$E$51,0)+IF(ISNUMBER(O52),assumptions!$E$52,0))&gt;0,(IF(ISNUMBER(O42),assumptions!$E$46*O42,0)+IF(ISNUMBER(O44),assumptions!$E$47*O44,0)+IF(ISNUMBER(O46),assumptions!$E$48*O46,0)+IF(ISNUMBER(O48),assumptions!$E$49*O48,0)+IF(ISNUMBER(O50),assumptions!$E$50*O50,0)+IF(ISNUMBER(O54),assumptions!$E$51*O54,0)+IF(ISNUMBER(O52),assumptions!$E$52*O52,0))/(IF(ISNUMBER(O42),assumptions!$E$46,0)+IF(ISNUMBER(O44),assumptions!$E$47,0)+IF(ISNUMBER(O46),assumptions!$E$48,0)+IF(ISNUMBER(O48),assumptions!$E$49,0)+IF(ISNUMBER(O50),assumptions!$E$50,0)+IF(ISNUMBER(O54),assumptions!$E$51,0)+IF(ISNUMBER(O52),assumptions!$E$52,0)),"")</f>
        <v/>
      </c>
      <c r="U58" s="77" t="inlineStr">
        <is>
          <t>D23 (user-approved 2026-07-15). Renormalised weighted mean over provinces with sourced values.</t>
        </is>
      </c>
    </row>
    <row r="59" ht="16.5" customHeight="1" s="78">
      <c r="A59" s="77" t="inlineStr">
        <is>
          <t>CN LARGE catalogue basket EXCL Inner Mongolia (swing-constituent variant)</t>
        </is>
      </c>
      <c r="B59" s="142" t="inlineStr">
        <is>
          <t>元/MWh</t>
        </is>
      </c>
      <c r="C59" s="77" t="inlineStr">
        <is>
          <t>estimated=Y</t>
        </is>
      </c>
      <c r="F59" s="77">
        <f>IF((IF(ISNUMBER(F42),assumptions!$E$46,0)+IF(ISNUMBER(F44),assumptions!$E$47,0)+IF(ISNUMBER(F46),assumptions!$E$48,0)+IF(ISNUMBER(F48),assumptions!$E$49,0)+IF(ISNUMBER(F50),assumptions!$E$50,0)+IF(ISNUMBER(F52),assumptions!$E$52,0))&gt;0,(IF(ISNUMBER(F42),assumptions!$E$46*F42,0)+IF(ISNUMBER(F44),assumptions!$E$47*F44,0)+IF(ISNUMBER(F46),assumptions!$E$48*F46,0)+IF(ISNUMBER(F48),assumptions!$E$49*F48,0)+IF(ISNUMBER(F50),assumptions!$E$50*F50,0)+IF(ISNUMBER(F52),assumptions!$E$52*F52,0))/(IF(ISNUMBER(F42),assumptions!$E$46,0)+IF(ISNUMBER(F44),assumptions!$E$47,0)+IF(ISNUMBER(F46),assumptions!$E$48,0)+IF(ISNUMBER(F48),assumptions!$E$49,0)+IF(ISNUMBER(F50),assumptions!$E$50,0)+IF(ISNUMBER(F52),assumptions!$E$52,0)),"")</f>
        <v/>
      </c>
      <c r="G59" s="77">
        <f>IF((IF(ISNUMBER(G42),assumptions!$E$46,0)+IF(ISNUMBER(G44),assumptions!$E$47,0)+IF(ISNUMBER(G46),assumptions!$E$48,0)+IF(ISNUMBER(G48),assumptions!$E$49,0)+IF(ISNUMBER(G50),assumptions!$E$50,0)+IF(ISNUMBER(G52),assumptions!$E$52,0))&gt;0,(IF(ISNUMBER(G42),assumptions!$E$46*G42,0)+IF(ISNUMBER(G44),assumptions!$E$47*G44,0)+IF(ISNUMBER(G46),assumptions!$E$48*G46,0)+IF(ISNUMBER(G48),assumptions!$E$49*G48,0)+IF(ISNUMBER(G50),assumptions!$E$50*G50,0)+IF(ISNUMBER(G52),assumptions!$E$52*G52,0))/(IF(ISNUMBER(G42),assumptions!$E$46,0)+IF(ISNUMBER(G44),assumptions!$E$47,0)+IF(ISNUMBER(G46),assumptions!$E$48,0)+IF(ISNUMBER(G48),assumptions!$E$49,0)+IF(ISNUMBER(G50),assumptions!$E$50,0)+IF(ISNUMBER(G52),assumptions!$E$52,0)),"")</f>
        <v/>
      </c>
      <c r="H59" s="77">
        <f>IF((IF(ISNUMBER(H42),assumptions!$E$46,0)+IF(ISNUMBER(H44),assumptions!$E$47,0)+IF(ISNUMBER(H46),assumptions!$E$48,0)+IF(ISNUMBER(H48),assumptions!$E$49,0)+IF(ISNUMBER(H50),assumptions!$E$50,0)+IF(ISNUMBER(H52),assumptions!$E$52,0))&gt;0,(IF(ISNUMBER(H42),assumptions!$E$46*H42,0)+IF(ISNUMBER(H44),assumptions!$E$47*H44,0)+IF(ISNUMBER(H46),assumptions!$E$48*H46,0)+IF(ISNUMBER(H48),assumptions!$E$49*H48,0)+IF(ISNUMBER(H50),assumptions!$E$50*H50,0)+IF(ISNUMBER(H52),assumptions!$E$52*H52,0))/(IF(ISNUMBER(H42),assumptions!$E$46,0)+IF(ISNUMBER(H44),assumptions!$E$47,0)+IF(ISNUMBER(H46),assumptions!$E$48,0)+IF(ISNUMBER(H48),assumptions!$E$49,0)+IF(ISNUMBER(H50),assumptions!$E$50,0)+IF(ISNUMBER(H52),assumptions!$E$52,0)),"")</f>
        <v/>
      </c>
      <c r="I59" s="77">
        <f>IF((IF(ISNUMBER(I42),assumptions!$E$46,0)+IF(ISNUMBER(I44),assumptions!$E$47,0)+IF(ISNUMBER(I46),assumptions!$E$48,0)+IF(ISNUMBER(I48),assumptions!$E$49,0)+IF(ISNUMBER(I50),assumptions!$E$50,0)+IF(ISNUMBER(I52),assumptions!$E$52,0))&gt;0,(IF(ISNUMBER(I42),assumptions!$E$46*I42,0)+IF(ISNUMBER(I44),assumptions!$E$47*I44,0)+IF(ISNUMBER(I46),assumptions!$E$48*I46,0)+IF(ISNUMBER(I48),assumptions!$E$49*I48,0)+IF(ISNUMBER(I50),assumptions!$E$50*I50,0)+IF(ISNUMBER(I52),assumptions!$E$52*I52,0))/(IF(ISNUMBER(I42),assumptions!$E$46,0)+IF(ISNUMBER(I44),assumptions!$E$47,0)+IF(ISNUMBER(I46),assumptions!$E$48,0)+IF(ISNUMBER(I48),assumptions!$E$49,0)+IF(ISNUMBER(I50),assumptions!$E$50,0)+IF(ISNUMBER(I52),assumptions!$E$52,0)),"")</f>
        <v/>
      </c>
      <c r="J59" s="77">
        <f>IF((IF(ISNUMBER(J42),assumptions!$E$46,0)+IF(ISNUMBER(J44),assumptions!$E$47,0)+IF(ISNUMBER(J46),assumptions!$E$48,0)+IF(ISNUMBER(J48),assumptions!$E$49,0)+IF(ISNUMBER(J50),assumptions!$E$50,0)+IF(ISNUMBER(J52),assumptions!$E$52,0))&gt;0,(IF(ISNUMBER(J42),assumptions!$E$46*J42,0)+IF(ISNUMBER(J44),assumptions!$E$47*J44,0)+IF(ISNUMBER(J46),assumptions!$E$48*J46,0)+IF(ISNUMBER(J48),assumptions!$E$49*J48,0)+IF(ISNUMBER(J50),assumptions!$E$50*J50,0)+IF(ISNUMBER(J52),assumptions!$E$52*J52,0))/(IF(ISNUMBER(J42),assumptions!$E$46,0)+IF(ISNUMBER(J44),assumptions!$E$47,0)+IF(ISNUMBER(J46),assumptions!$E$48,0)+IF(ISNUMBER(J48),assumptions!$E$49,0)+IF(ISNUMBER(J50),assumptions!$E$50,0)+IF(ISNUMBER(J52),assumptions!$E$52,0)),"")</f>
        <v/>
      </c>
      <c r="K59" s="77">
        <f>IF((IF(ISNUMBER(K42),assumptions!$E$46,0)+IF(ISNUMBER(K44),assumptions!$E$47,0)+IF(ISNUMBER(K46),assumptions!$E$48,0)+IF(ISNUMBER(K48),assumptions!$E$49,0)+IF(ISNUMBER(K50),assumptions!$E$50,0)+IF(ISNUMBER(K52),assumptions!$E$52,0))&gt;0,(IF(ISNUMBER(K42),assumptions!$E$46*K42,0)+IF(ISNUMBER(K44),assumptions!$E$47*K44,0)+IF(ISNUMBER(K46),assumptions!$E$48*K46,0)+IF(ISNUMBER(K48),assumptions!$E$49*K48,0)+IF(ISNUMBER(K50),assumptions!$E$50*K50,0)+IF(ISNUMBER(K52),assumptions!$E$52*K52,0))/(IF(ISNUMBER(K42),assumptions!$E$46,0)+IF(ISNUMBER(K44),assumptions!$E$47,0)+IF(ISNUMBER(K46),assumptions!$E$48,0)+IF(ISNUMBER(K48),assumptions!$E$49,0)+IF(ISNUMBER(K50),assumptions!$E$50,0)+IF(ISNUMBER(K52),assumptions!$E$52,0)),"")</f>
        <v/>
      </c>
      <c r="L59" s="77">
        <f>IF((IF(ISNUMBER(L42),assumptions!$E$46,0)+IF(ISNUMBER(L44),assumptions!$E$47,0)+IF(ISNUMBER(L46),assumptions!$E$48,0)+IF(ISNUMBER(L48),assumptions!$E$49,0)+IF(ISNUMBER(L50),assumptions!$E$50,0)+IF(ISNUMBER(L52),assumptions!$E$52,0))&gt;0,(IF(ISNUMBER(L42),assumptions!$E$46*L42,0)+IF(ISNUMBER(L44),assumptions!$E$47*L44,0)+IF(ISNUMBER(L46),assumptions!$E$48*L46,0)+IF(ISNUMBER(L48),assumptions!$E$49*L48,0)+IF(ISNUMBER(L50),assumptions!$E$50*L50,0)+IF(ISNUMBER(L52),assumptions!$E$52*L52,0))/(IF(ISNUMBER(L42),assumptions!$E$46,0)+IF(ISNUMBER(L44),assumptions!$E$47,0)+IF(ISNUMBER(L46),assumptions!$E$48,0)+IF(ISNUMBER(L48),assumptions!$E$49,0)+IF(ISNUMBER(L50),assumptions!$E$50,0)+IF(ISNUMBER(L52),assumptions!$E$52,0)),"")</f>
        <v/>
      </c>
      <c r="M59" s="77">
        <f>IF((IF(ISNUMBER(M42),assumptions!$E$46,0)+IF(ISNUMBER(M44),assumptions!$E$47,0)+IF(ISNUMBER(M46),assumptions!$E$48,0)+IF(ISNUMBER(M48),assumptions!$E$49,0)+IF(ISNUMBER(M50),assumptions!$E$50,0)+IF(ISNUMBER(M52),assumptions!$E$52,0))&gt;0,(IF(ISNUMBER(M42),assumptions!$E$46*M42,0)+IF(ISNUMBER(M44),assumptions!$E$47*M44,0)+IF(ISNUMBER(M46),assumptions!$E$48*M46,0)+IF(ISNUMBER(M48),assumptions!$E$49*M48,0)+IF(ISNUMBER(M50),assumptions!$E$50*M50,0)+IF(ISNUMBER(M52),assumptions!$E$52*M52,0))/(IF(ISNUMBER(M42),assumptions!$E$46,0)+IF(ISNUMBER(M44),assumptions!$E$47,0)+IF(ISNUMBER(M46),assumptions!$E$48,0)+IF(ISNUMBER(M48),assumptions!$E$49,0)+IF(ISNUMBER(M50),assumptions!$E$50,0)+IF(ISNUMBER(M52),assumptions!$E$52,0)),"")</f>
        <v/>
      </c>
      <c r="N59" s="77">
        <f>IF((IF(ISNUMBER(N42),assumptions!$E$46,0)+IF(ISNUMBER(N44),assumptions!$E$47,0)+IF(ISNUMBER(N46),assumptions!$E$48,0)+IF(ISNUMBER(N48),assumptions!$E$49,0)+IF(ISNUMBER(N50),assumptions!$E$50,0)+IF(ISNUMBER(N52),assumptions!$E$52,0))&gt;0,(IF(ISNUMBER(N42),assumptions!$E$46*N42,0)+IF(ISNUMBER(N44),assumptions!$E$47*N44,0)+IF(ISNUMBER(N46),assumptions!$E$48*N46,0)+IF(ISNUMBER(N48),assumptions!$E$49*N48,0)+IF(ISNUMBER(N50),assumptions!$E$50*N50,0)+IF(ISNUMBER(N52),assumptions!$E$52*N52,0))/(IF(ISNUMBER(N42),assumptions!$E$46,0)+IF(ISNUMBER(N44),assumptions!$E$47,0)+IF(ISNUMBER(N46),assumptions!$E$48,0)+IF(ISNUMBER(N48),assumptions!$E$49,0)+IF(ISNUMBER(N50),assumptions!$E$50,0)+IF(ISNUMBER(N52),assumptions!$E$52,0)),"")</f>
        <v/>
      </c>
      <c r="O59" s="77">
        <f>IF((IF(ISNUMBER(O42),assumptions!$E$46,0)+IF(ISNUMBER(O44),assumptions!$E$47,0)+IF(ISNUMBER(O46),assumptions!$E$48,0)+IF(ISNUMBER(O48),assumptions!$E$49,0)+IF(ISNUMBER(O50),assumptions!$E$50,0)+IF(ISNUMBER(O52),assumptions!$E$52,0))&gt;0,(IF(ISNUMBER(O42),assumptions!$E$46*O42,0)+IF(ISNUMBER(O44),assumptions!$E$47*O44,0)+IF(ISNUMBER(O46),assumptions!$E$48*O46,0)+IF(ISNUMBER(O48),assumptions!$E$49*O48,0)+IF(ISNUMBER(O50),assumptions!$E$50*O50,0)+IF(ISNUMBER(O52),assumptions!$E$52*O52,0))/(IF(ISNUMBER(O42),assumptions!$E$46,0)+IF(ISNUMBER(O44),assumptions!$E$47,0)+IF(ISNUMBER(O46),assumptions!$E$48,0)+IF(ISNUMBER(O48),assumptions!$E$49,0)+IF(ISNUMBER(O50),assumptions!$E$50,0)+IF(ISNUMBER(O52),assumptions!$E$52,0)),"")</f>
        <v/>
      </c>
      <c r="U59" s="77" t="inlineStr">
        <is>
          <t>Report basket with/without IM per project instructions.</t>
        </is>
      </c>
    </row>
    <row r="60" ht="16.5" customHeight="1" s="78">
      <c r="A60" s="77" t="inlineStr">
        <is>
          <t>CN MEDIUM catalogue basket (renormalised; 2021 = Jan–Sep basis)</t>
        </is>
      </c>
      <c r="B60" s="142" t="inlineStr">
        <is>
          <t>元/MWh</t>
        </is>
      </c>
      <c r="C60" s="77" t="inlineStr">
        <is>
          <t>E1=E2; estimated=Y</t>
        </is>
      </c>
      <c r="F60" s="77">
        <f>IF((IF(ISNUMBER(F43),assumptions!$E$46,0)+IF(ISNUMBER(F45),assumptions!$E$47,0)+IF(ISNUMBER(F47),assumptions!$E$48,0)+IF(ISNUMBER(F49),assumptions!$E$49,0)+IF(ISNUMBER(F51),assumptions!$E$50,0)+IF(ISNUMBER(F55),assumptions!$E$51,0)+IF(ISNUMBER(F53),assumptions!$E$52,0))&gt;0,(IF(ISNUMBER(F43),assumptions!$E$46*F43,0)+IF(ISNUMBER(F45),assumptions!$E$47*F45,0)+IF(ISNUMBER(F47),assumptions!$E$48*F47,0)+IF(ISNUMBER(F49),assumptions!$E$49*F49,0)+IF(ISNUMBER(F51),assumptions!$E$50*F51,0)+IF(ISNUMBER(F55),assumptions!$E$51*F55,0)+IF(ISNUMBER(F53),assumptions!$E$52*F53,0))/(IF(ISNUMBER(F43),assumptions!$E$46,0)+IF(ISNUMBER(F45),assumptions!$E$47,0)+IF(ISNUMBER(F47),assumptions!$E$48,0)+IF(ISNUMBER(F49),assumptions!$E$49,0)+IF(ISNUMBER(F51),assumptions!$E$50,0)+IF(ISNUMBER(F55),assumptions!$E$51,0)+IF(ISNUMBER(F53),assumptions!$E$52,0)),"")</f>
        <v/>
      </c>
      <c r="G60" s="77">
        <f>IF((IF(ISNUMBER(G43),assumptions!$E$46,0)+IF(ISNUMBER(G45),assumptions!$E$47,0)+IF(ISNUMBER(G47),assumptions!$E$48,0)+IF(ISNUMBER(G49),assumptions!$E$49,0)+IF(ISNUMBER(G51),assumptions!$E$50,0)+IF(ISNUMBER(G55),assumptions!$E$51,0)+IF(ISNUMBER(G53),assumptions!$E$52,0))&gt;0,(IF(ISNUMBER(G43),assumptions!$E$46*G43,0)+IF(ISNUMBER(G45),assumptions!$E$47*G45,0)+IF(ISNUMBER(G47),assumptions!$E$48*G47,0)+IF(ISNUMBER(G49),assumptions!$E$49*G49,0)+IF(ISNUMBER(G51),assumptions!$E$50*G51,0)+IF(ISNUMBER(G55),assumptions!$E$51*G55,0)+IF(ISNUMBER(G53),assumptions!$E$52*G53,0))/(IF(ISNUMBER(G43),assumptions!$E$46,0)+IF(ISNUMBER(G45),assumptions!$E$47,0)+IF(ISNUMBER(G47),assumptions!$E$48,0)+IF(ISNUMBER(G49),assumptions!$E$49,0)+IF(ISNUMBER(G51),assumptions!$E$50,0)+IF(ISNUMBER(G55),assumptions!$E$51,0)+IF(ISNUMBER(G53),assumptions!$E$52,0)),"")</f>
        <v/>
      </c>
      <c r="H60" s="77">
        <f>IF((IF(ISNUMBER(H43),assumptions!$E$46,0)+IF(ISNUMBER(H45),assumptions!$E$47,0)+IF(ISNUMBER(H47),assumptions!$E$48,0)+IF(ISNUMBER(H49),assumptions!$E$49,0)+IF(ISNUMBER(H51),assumptions!$E$50,0)+IF(ISNUMBER(H55),assumptions!$E$51,0)+IF(ISNUMBER(H53),assumptions!$E$52,0))&gt;0,(IF(ISNUMBER(H43),assumptions!$E$46*H43,0)+IF(ISNUMBER(H45),assumptions!$E$47*H45,0)+IF(ISNUMBER(H47),assumptions!$E$48*H47,0)+IF(ISNUMBER(H49),assumptions!$E$49*H49,0)+IF(ISNUMBER(H51),assumptions!$E$50*H51,0)+IF(ISNUMBER(H55),assumptions!$E$51*H55,0)+IF(ISNUMBER(H53),assumptions!$E$52*H53,0))/(IF(ISNUMBER(H43),assumptions!$E$46,0)+IF(ISNUMBER(H45),assumptions!$E$47,0)+IF(ISNUMBER(H47),assumptions!$E$48,0)+IF(ISNUMBER(H49),assumptions!$E$49,0)+IF(ISNUMBER(H51),assumptions!$E$50,0)+IF(ISNUMBER(H55),assumptions!$E$51,0)+IF(ISNUMBER(H53),assumptions!$E$52,0)),"")</f>
        <v/>
      </c>
      <c r="I60" s="77">
        <f>IF((IF(ISNUMBER(I43),assumptions!$E$46,0)+IF(ISNUMBER(I45),assumptions!$E$47,0)+IF(ISNUMBER(I47),assumptions!$E$48,0)+IF(ISNUMBER(I49),assumptions!$E$49,0)+IF(ISNUMBER(I51),assumptions!$E$50,0)+IF(ISNUMBER(I55),assumptions!$E$51,0)+IF(ISNUMBER(I53),assumptions!$E$52,0))&gt;0,(IF(ISNUMBER(I43),assumptions!$E$46*I43,0)+IF(ISNUMBER(I45),assumptions!$E$47*I45,0)+IF(ISNUMBER(I47),assumptions!$E$48*I47,0)+IF(ISNUMBER(I49),assumptions!$E$49*I49,0)+IF(ISNUMBER(I51),assumptions!$E$50*I51,0)+IF(ISNUMBER(I55),assumptions!$E$51*I55,0)+IF(ISNUMBER(I53),assumptions!$E$52*I53,0))/(IF(ISNUMBER(I43),assumptions!$E$46,0)+IF(ISNUMBER(I45),assumptions!$E$47,0)+IF(ISNUMBER(I47),assumptions!$E$48,0)+IF(ISNUMBER(I49),assumptions!$E$49,0)+IF(ISNUMBER(I51),assumptions!$E$50,0)+IF(ISNUMBER(I55),assumptions!$E$51,0)+IF(ISNUMBER(I53),assumptions!$E$52,0)),"")</f>
        <v/>
      </c>
      <c r="J60" s="77">
        <f>IF((IF(ISNUMBER(J43),assumptions!$E$46,0)+IF(ISNUMBER(J45),assumptions!$E$47,0)+IF(ISNUMBER(J47),assumptions!$E$48,0)+IF(ISNUMBER(J49),assumptions!$E$49,0)+IF(ISNUMBER(J51),assumptions!$E$50,0)+IF(ISNUMBER(J55),assumptions!$E$51,0)+IF(ISNUMBER(J53),assumptions!$E$52,0))&gt;0,(IF(ISNUMBER(J43),assumptions!$E$46*J43,0)+IF(ISNUMBER(J45),assumptions!$E$47*J45,0)+IF(ISNUMBER(J47),assumptions!$E$48*J47,0)+IF(ISNUMBER(J49),assumptions!$E$49*J49,0)+IF(ISNUMBER(J51),assumptions!$E$50*J51,0)+IF(ISNUMBER(J55),assumptions!$E$51*J55,0)+IF(ISNUMBER(J53),assumptions!$E$52*J53,0))/(IF(ISNUMBER(J43),assumptions!$E$46,0)+IF(ISNUMBER(J45),assumptions!$E$47,0)+IF(ISNUMBER(J47),assumptions!$E$48,0)+IF(ISNUMBER(J49),assumptions!$E$49,0)+IF(ISNUMBER(J51),assumptions!$E$50,0)+IF(ISNUMBER(J55),assumptions!$E$51,0)+IF(ISNUMBER(J53),assumptions!$E$52,0)),"")</f>
        <v/>
      </c>
      <c r="K60" s="77">
        <f>IF((IF(ISNUMBER(K43),assumptions!$E$46,0)+IF(ISNUMBER(K45),assumptions!$E$47,0)+IF(ISNUMBER(K47),assumptions!$E$48,0)+IF(ISNUMBER(K49),assumptions!$E$49,0)+IF(ISNUMBER(K51),assumptions!$E$50,0)+IF(ISNUMBER(K55),assumptions!$E$51,0)+IF(ISNUMBER(K53),assumptions!$E$52,0))&gt;0,(IF(ISNUMBER(K43),assumptions!$E$46*K43,0)+IF(ISNUMBER(K45),assumptions!$E$47*K45,0)+IF(ISNUMBER(K47),assumptions!$E$48*K47,0)+IF(ISNUMBER(K49),assumptions!$E$49*K49,0)+IF(ISNUMBER(K51),assumptions!$E$50*K51,0)+IF(ISNUMBER(K55),assumptions!$E$51*K55,0)+IF(ISNUMBER(K53),assumptions!$E$52*K53,0))/(IF(ISNUMBER(K43),assumptions!$E$46,0)+IF(ISNUMBER(K45),assumptions!$E$47,0)+IF(ISNUMBER(K47),assumptions!$E$48,0)+IF(ISNUMBER(K49),assumptions!$E$49,0)+IF(ISNUMBER(K51),assumptions!$E$50,0)+IF(ISNUMBER(K55),assumptions!$E$51,0)+IF(ISNUMBER(K53),assumptions!$E$52,0)),"")</f>
        <v/>
      </c>
      <c r="L60" s="77">
        <f>IF((IF(ISNUMBER(L43),assumptions!$E$46,0)+IF(ISNUMBER(L45),assumptions!$E$47,0)+IF(ISNUMBER(L47),assumptions!$E$48,0)+IF(ISNUMBER(L49),assumptions!$E$49,0)+IF(ISNUMBER(L51),assumptions!$E$50,0)+IF(ISNUMBER(L55),assumptions!$E$51,0)+IF(ISNUMBER(L53),assumptions!$E$52,0))&gt;0,(IF(ISNUMBER(L43),assumptions!$E$46*L43,0)+IF(ISNUMBER(L45),assumptions!$E$47*L45,0)+IF(ISNUMBER(L47),assumptions!$E$48*L47,0)+IF(ISNUMBER(L49),assumptions!$E$49*L49,0)+IF(ISNUMBER(L51),assumptions!$E$50*L51,0)+IF(ISNUMBER(L55),assumptions!$E$51*L55,0)+IF(ISNUMBER(L53),assumptions!$E$52*L53,0))/(IF(ISNUMBER(L43),assumptions!$E$46,0)+IF(ISNUMBER(L45),assumptions!$E$47,0)+IF(ISNUMBER(L47),assumptions!$E$48,0)+IF(ISNUMBER(L49),assumptions!$E$49,0)+IF(ISNUMBER(L51),assumptions!$E$50,0)+IF(ISNUMBER(L55),assumptions!$E$51,0)+IF(ISNUMBER(L53),assumptions!$E$52,0)),"")</f>
        <v/>
      </c>
      <c r="M60" s="77">
        <f>IF((IF(ISNUMBER(M43),assumptions!$E$46,0)+IF(ISNUMBER(M45),assumptions!$E$47,0)+IF(ISNUMBER(M47),assumptions!$E$48,0)+IF(ISNUMBER(M49),assumptions!$E$49,0)+IF(ISNUMBER(M51),assumptions!$E$50,0)+IF(ISNUMBER(M55),assumptions!$E$51,0)+IF(ISNUMBER(M53),assumptions!$E$52,0))&gt;0,(IF(ISNUMBER(M43),assumptions!$E$46*M43,0)+IF(ISNUMBER(M45),assumptions!$E$47*M45,0)+IF(ISNUMBER(M47),assumptions!$E$48*M47,0)+IF(ISNUMBER(M49),assumptions!$E$49*M49,0)+IF(ISNUMBER(M51),assumptions!$E$50*M51,0)+IF(ISNUMBER(M55),assumptions!$E$51*M55,0)+IF(ISNUMBER(M53),assumptions!$E$52*M53,0))/(IF(ISNUMBER(M43),assumptions!$E$46,0)+IF(ISNUMBER(M45),assumptions!$E$47,0)+IF(ISNUMBER(M47),assumptions!$E$48,0)+IF(ISNUMBER(M49),assumptions!$E$49,0)+IF(ISNUMBER(M51),assumptions!$E$50,0)+IF(ISNUMBER(M55),assumptions!$E$51,0)+IF(ISNUMBER(M53),assumptions!$E$52,0)),"")</f>
        <v/>
      </c>
      <c r="N60" s="77">
        <f>IF((IF(ISNUMBER(N43),assumptions!$E$46,0)+IF(ISNUMBER(N45),assumptions!$E$47,0)+IF(ISNUMBER(N47),assumptions!$E$48,0)+IF(ISNUMBER(N49),assumptions!$E$49,0)+IF(ISNUMBER(N51),assumptions!$E$50,0)+IF(ISNUMBER(N55),assumptions!$E$51,0)+IF(ISNUMBER(N53),assumptions!$E$52,0))&gt;0,(IF(ISNUMBER(N43),assumptions!$E$46*N43,0)+IF(ISNUMBER(N45),assumptions!$E$47*N45,0)+IF(ISNUMBER(N47),assumptions!$E$48*N47,0)+IF(ISNUMBER(N49),assumptions!$E$49*N49,0)+IF(ISNUMBER(N51),assumptions!$E$50*N51,0)+IF(ISNUMBER(N55),assumptions!$E$51*N55,0)+IF(ISNUMBER(N53),assumptions!$E$52*N53,0))/(IF(ISNUMBER(N43),assumptions!$E$46,0)+IF(ISNUMBER(N45),assumptions!$E$47,0)+IF(ISNUMBER(N47),assumptions!$E$48,0)+IF(ISNUMBER(N49),assumptions!$E$49,0)+IF(ISNUMBER(N51),assumptions!$E$50,0)+IF(ISNUMBER(N55),assumptions!$E$51,0)+IF(ISNUMBER(N53),assumptions!$E$52,0)),"")</f>
        <v/>
      </c>
      <c r="O60" s="77">
        <f>IF((IF(ISNUMBER(O43),assumptions!$E$46,0)+IF(ISNUMBER(O45),assumptions!$E$47,0)+IF(ISNUMBER(O47),assumptions!$E$48,0)+IF(ISNUMBER(O49),assumptions!$E$49,0)+IF(ISNUMBER(O51),assumptions!$E$50,0)+IF(ISNUMBER(O55),assumptions!$E$51,0)+IF(ISNUMBER(O53),assumptions!$E$52,0))&gt;0,(IF(ISNUMBER(O43),assumptions!$E$46*O43,0)+IF(ISNUMBER(O45),assumptions!$E$47*O45,0)+IF(ISNUMBER(O47),assumptions!$E$48*O47,0)+IF(ISNUMBER(O49),assumptions!$E$49*O49,0)+IF(ISNUMBER(O51),assumptions!$E$50*O51,0)+IF(ISNUMBER(O55),assumptions!$E$51*O55,0)+IF(ISNUMBER(O53),assumptions!$E$52*O53,0))/(IF(ISNUMBER(O43),assumptions!$E$46,0)+IF(ISNUMBER(O45),assumptions!$E$47,0)+IF(ISNUMBER(O47),assumptions!$E$48,0)+IF(ISNUMBER(O49),assumptions!$E$49,0)+IF(ISNUMBER(O51),assumptions!$E$50,0)+IF(ISNUMBER(O55),assumptions!$E$51,0)+IF(ISNUMBER(O53),assumptions!$E$52,0)),"")</f>
        <v/>
      </c>
    </row>
    <row r="61" ht="16.5" customHeight="1" s="78">
      <c r="A61" s="77" t="inlineStr">
        <is>
          <t>CN MEDIUM catalogue basket EXCL Inner Mongolia</t>
        </is>
      </c>
      <c r="B61" s="142" t="inlineStr">
        <is>
          <t>元/MWh</t>
        </is>
      </c>
      <c r="C61" s="77" t="inlineStr">
        <is>
          <t>estimated=Y</t>
        </is>
      </c>
      <c r="F61" s="77">
        <f>IF((IF(ISNUMBER(F43),assumptions!$E$46,0)+IF(ISNUMBER(F45),assumptions!$E$47,0)+IF(ISNUMBER(F47),assumptions!$E$48,0)+IF(ISNUMBER(F49),assumptions!$E$49,0)+IF(ISNUMBER(F51),assumptions!$E$50,0)+IF(ISNUMBER(F53),assumptions!$E$52,0))&gt;0,(IF(ISNUMBER(F43),assumptions!$E$46*F43,0)+IF(ISNUMBER(F45),assumptions!$E$47*F45,0)+IF(ISNUMBER(F47),assumptions!$E$48*F47,0)+IF(ISNUMBER(F49),assumptions!$E$49*F49,0)+IF(ISNUMBER(F51),assumptions!$E$50*F51,0)+IF(ISNUMBER(F53),assumptions!$E$52*F53,0))/(IF(ISNUMBER(F43),assumptions!$E$46,0)+IF(ISNUMBER(F45),assumptions!$E$47,0)+IF(ISNUMBER(F47),assumptions!$E$48,0)+IF(ISNUMBER(F49),assumptions!$E$49,0)+IF(ISNUMBER(F51),assumptions!$E$50,0)+IF(ISNUMBER(F53),assumptions!$E$52,0)),"")</f>
        <v/>
      </c>
      <c r="G61" s="77">
        <f>IF((IF(ISNUMBER(G43),assumptions!$E$46,0)+IF(ISNUMBER(G45),assumptions!$E$47,0)+IF(ISNUMBER(G47),assumptions!$E$48,0)+IF(ISNUMBER(G49),assumptions!$E$49,0)+IF(ISNUMBER(G51),assumptions!$E$50,0)+IF(ISNUMBER(G53),assumptions!$E$52,0))&gt;0,(IF(ISNUMBER(G43),assumptions!$E$46*G43,0)+IF(ISNUMBER(G45),assumptions!$E$47*G45,0)+IF(ISNUMBER(G47),assumptions!$E$48*G47,0)+IF(ISNUMBER(G49),assumptions!$E$49*G49,0)+IF(ISNUMBER(G51),assumptions!$E$50*G51,0)+IF(ISNUMBER(G53),assumptions!$E$52*G53,0))/(IF(ISNUMBER(G43),assumptions!$E$46,0)+IF(ISNUMBER(G45),assumptions!$E$47,0)+IF(ISNUMBER(G47),assumptions!$E$48,0)+IF(ISNUMBER(G49),assumptions!$E$49,0)+IF(ISNUMBER(G51),assumptions!$E$50,0)+IF(ISNUMBER(G53),assumptions!$E$52,0)),"")</f>
        <v/>
      </c>
      <c r="H61" s="77">
        <f>IF((IF(ISNUMBER(H43),assumptions!$E$46,0)+IF(ISNUMBER(H45),assumptions!$E$47,0)+IF(ISNUMBER(H47),assumptions!$E$48,0)+IF(ISNUMBER(H49),assumptions!$E$49,0)+IF(ISNUMBER(H51),assumptions!$E$50,0)+IF(ISNUMBER(H53),assumptions!$E$52,0))&gt;0,(IF(ISNUMBER(H43),assumptions!$E$46*H43,0)+IF(ISNUMBER(H45),assumptions!$E$47*H45,0)+IF(ISNUMBER(H47),assumptions!$E$48*H47,0)+IF(ISNUMBER(H49),assumptions!$E$49*H49,0)+IF(ISNUMBER(H51),assumptions!$E$50*H51,0)+IF(ISNUMBER(H53),assumptions!$E$52*H53,0))/(IF(ISNUMBER(H43),assumptions!$E$46,0)+IF(ISNUMBER(H45),assumptions!$E$47,0)+IF(ISNUMBER(H47),assumptions!$E$48,0)+IF(ISNUMBER(H49),assumptions!$E$49,0)+IF(ISNUMBER(H51),assumptions!$E$50,0)+IF(ISNUMBER(H53),assumptions!$E$52,0)),"")</f>
        <v/>
      </c>
      <c r="I61" s="77">
        <f>IF((IF(ISNUMBER(I43),assumptions!$E$46,0)+IF(ISNUMBER(I45),assumptions!$E$47,0)+IF(ISNUMBER(I47),assumptions!$E$48,0)+IF(ISNUMBER(I49),assumptions!$E$49,0)+IF(ISNUMBER(I51),assumptions!$E$50,0)+IF(ISNUMBER(I53),assumptions!$E$52,0))&gt;0,(IF(ISNUMBER(I43),assumptions!$E$46*I43,0)+IF(ISNUMBER(I45),assumptions!$E$47*I45,0)+IF(ISNUMBER(I47),assumptions!$E$48*I47,0)+IF(ISNUMBER(I49),assumptions!$E$49*I49,0)+IF(ISNUMBER(I51),assumptions!$E$50*I51,0)+IF(ISNUMBER(I53),assumptions!$E$52*I53,0))/(IF(ISNUMBER(I43),assumptions!$E$46,0)+IF(ISNUMBER(I45),assumptions!$E$47,0)+IF(ISNUMBER(I47),assumptions!$E$48,0)+IF(ISNUMBER(I49),assumptions!$E$49,0)+IF(ISNUMBER(I51),assumptions!$E$50,0)+IF(ISNUMBER(I53),assumptions!$E$52,0)),"")</f>
        <v/>
      </c>
      <c r="J61" s="77">
        <f>IF((IF(ISNUMBER(J43),assumptions!$E$46,0)+IF(ISNUMBER(J45),assumptions!$E$47,0)+IF(ISNUMBER(J47),assumptions!$E$48,0)+IF(ISNUMBER(J49),assumptions!$E$49,0)+IF(ISNUMBER(J51),assumptions!$E$50,0)+IF(ISNUMBER(J53),assumptions!$E$52,0))&gt;0,(IF(ISNUMBER(J43),assumptions!$E$46*J43,0)+IF(ISNUMBER(J45),assumptions!$E$47*J45,0)+IF(ISNUMBER(J47),assumptions!$E$48*J47,0)+IF(ISNUMBER(J49),assumptions!$E$49*J49,0)+IF(ISNUMBER(J51),assumptions!$E$50*J51,0)+IF(ISNUMBER(J53),assumptions!$E$52*J53,0))/(IF(ISNUMBER(J43),assumptions!$E$46,0)+IF(ISNUMBER(J45),assumptions!$E$47,0)+IF(ISNUMBER(J47),assumptions!$E$48,0)+IF(ISNUMBER(J49),assumptions!$E$49,0)+IF(ISNUMBER(J51),assumptions!$E$50,0)+IF(ISNUMBER(J53),assumptions!$E$52,0)),"")</f>
        <v/>
      </c>
      <c r="K61" s="77">
        <f>IF((IF(ISNUMBER(K43),assumptions!$E$46,0)+IF(ISNUMBER(K45),assumptions!$E$47,0)+IF(ISNUMBER(K47),assumptions!$E$48,0)+IF(ISNUMBER(K49),assumptions!$E$49,0)+IF(ISNUMBER(K51),assumptions!$E$50,0)+IF(ISNUMBER(K53),assumptions!$E$52,0))&gt;0,(IF(ISNUMBER(K43),assumptions!$E$46*K43,0)+IF(ISNUMBER(K45),assumptions!$E$47*K45,0)+IF(ISNUMBER(K47),assumptions!$E$48*K47,0)+IF(ISNUMBER(K49),assumptions!$E$49*K49,0)+IF(ISNUMBER(K51),assumptions!$E$50*K51,0)+IF(ISNUMBER(K53),assumptions!$E$52*K53,0))/(IF(ISNUMBER(K43),assumptions!$E$46,0)+IF(ISNUMBER(K45),assumptions!$E$47,0)+IF(ISNUMBER(K47),assumptions!$E$48,0)+IF(ISNUMBER(K49),assumptions!$E$49,0)+IF(ISNUMBER(K51),assumptions!$E$50,0)+IF(ISNUMBER(K53),assumptions!$E$52,0)),"")</f>
        <v/>
      </c>
      <c r="L61" s="77">
        <f>IF((IF(ISNUMBER(L43),assumptions!$E$46,0)+IF(ISNUMBER(L45),assumptions!$E$47,0)+IF(ISNUMBER(L47),assumptions!$E$48,0)+IF(ISNUMBER(L49),assumptions!$E$49,0)+IF(ISNUMBER(L51),assumptions!$E$50,0)+IF(ISNUMBER(L53),assumptions!$E$52,0))&gt;0,(IF(ISNUMBER(L43),assumptions!$E$46*L43,0)+IF(ISNUMBER(L45),assumptions!$E$47*L45,0)+IF(ISNUMBER(L47),assumptions!$E$48*L47,0)+IF(ISNUMBER(L49),assumptions!$E$49*L49,0)+IF(ISNUMBER(L51),assumptions!$E$50*L51,0)+IF(ISNUMBER(L53),assumptions!$E$52*L53,0))/(IF(ISNUMBER(L43),assumptions!$E$46,0)+IF(ISNUMBER(L45),assumptions!$E$47,0)+IF(ISNUMBER(L47),assumptions!$E$48,0)+IF(ISNUMBER(L49),assumptions!$E$49,0)+IF(ISNUMBER(L51),assumptions!$E$50,0)+IF(ISNUMBER(L53),assumptions!$E$52,0)),"")</f>
        <v/>
      </c>
      <c r="M61" s="77">
        <f>IF((IF(ISNUMBER(M43),assumptions!$E$46,0)+IF(ISNUMBER(M45),assumptions!$E$47,0)+IF(ISNUMBER(M47),assumptions!$E$48,0)+IF(ISNUMBER(M49),assumptions!$E$49,0)+IF(ISNUMBER(M51),assumptions!$E$50,0)+IF(ISNUMBER(M53),assumptions!$E$52,0))&gt;0,(IF(ISNUMBER(M43),assumptions!$E$46*M43,0)+IF(ISNUMBER(M45),assumptions!$E$47*M45,0)+IF(ISNUMBER(M47),assumptions!$E$48*M47,0)+IF(ISNUMBER(M49),assumptions!$E$49*M49,0)+IF(ISNUMBER(M51),assumptions!$E$50*M51,0)+IF(ISNUMBER(M53),assumptions!$E$52*M53,0))/(IF(ISNUMBER(M43),assumptions!$E$46,0)+IF(ISNUMBER(M45),assumptions!$E$47,0)+IF(ISNUMBER(M47),assumptions!$E$48,0)+IF(ISNUMBER(M49),assumptions!$E$49,0)+IF(ISNUMBER(M51),assumptions!$E$50,0)+IF(ISNUMBER(M53),assumptions!$E$52,0)),"")</f>
        <v/>
      </c>
      <c r="N61" s="77">
        <f>IF((IF(ISNUMBER(N43),assumptions!$E$46,0)+IF(ISNUMBER(N45),assumptions!$E$47,0)+IF(ISNUMBER(N47),assumptions!$E$48,0)+IF(ISNUMBER(N49),assumptions!$E$49,0)+IF(ISNUMBER(N51),assumptions!$E$50,0)+IF(ISNUMBER(N53),assumptions!$E$52,0))&gt;0,(IF(ISNUMBER(N43),assumptions!$E$46*N43,0)+IF(ISNUMBER(N45),assumptions!$E$47*N45,0)+IF(ISNUMBER(N47),assumptions!$E$48*N47,0)+IF(ISNUMBER(N49),assumptions!$E$49*N49,0)+IF(ISNUMBER(N51),assumptions!$E$50*N51,0)+IF(ISNUMBER(N53),assumptions!$E$52*N53,0))/(IF(ISNUMBER(N43),assumptions!$E$46,0)+IF(ISNUMBER(N45),assumptions!$E$47,0)+IF(ISNUMBER(N47),assumptions!$E$48,0)+IF(ISNUMBER(N49),assumptions!$E$49,0)+IF(ISNUMBER(N51),assumptions!$E$50,0)+IF(ISNUMBER(N53),assumptions!$E$52,0)),"")</f>
        <v/>
      </c>
      <c r="O61" s="77">
        <f>IF((IF(ISNUMBER(O43),assumptions!$E$46,0)+IF(ISNUMBER(O45),assumptions!$E$47,0)+IF(ISNUMBER(O47),assumptions!$E$48,0)+IF(ISNUMBER(O49),assumptions!$E$49,0)+IF(ISNUMBER(O51),assumptions!$E$50,0)+IF(ISNUMBER(O53),assumptions!$E$52,0))&gt;0,(IF(ISNUMBER(O43),assumptions!$E$46*O43,0)+IF(ISNUMBER(O45),assumptions!$E$47*O45,0)+IF(ISNUMBER(O47),assumptions!$E$48*O47,0)+IF(ISNUMBER(O49),assumptions!$E$49*O49,0)+IF(ISNUMBER(O51),assumptions!$E$50*O51,0)+IF(ISNUMBER(O53),assumptions!$E$52*O53,0))/(IF(ISNUMBER(O43),assumptions!$E$46,0)+IF(ISNUMBER(O45),assumptions!$E$47,0)+IF(ISNUMBER(O47),assumptions!$E$48,0)+IF(ISNUMBER(O49),assumptions!$E$49,0)+IF(ISNUMBER(O51),assumptions!$E$50,0)+IF(ISNUMBER(O53),assumptions!$E$52,0)),"")</f>
        <v/>
      </c>
    </row>
    <row r="62" ht="15" customHeight="1" s="78">
      <c r="A62" s="77" t="inlineStr">
        <is>
          <t>Basket coverage (sum of Set-C weights of provinces present)</t>
        </is>
      </c>
      <c r="B62" s="77" t="inlineStr">
        <is>
          <t>share</t>
        </is>
      </c>
      <c r="C62" s="77" t="inlineStr">
        <is>
          <t>report on every chart</t>
        </is>
      </c>
      <c r="F62" s="144">
        <f>(IF(ISNUMBER(F42),assumptions!$E$46,0)+IF(ISNUMBER(F44),assumptions!$E$47,0)+IF(ISNUMBER(F46),assumptions!$E$48,0)+IF(ISNUMBER(F48),assumptions!$E$49,0)+IF(ISNUMBER(F50),assumptions!$E$50,0)+IF(ISNUMBER(F54),assumptions!$E$51,0)+IF(ISNUMBER(F52),assumptions!$E$52,0))</f>
        <v/>
      </c>
      <c r="G62" s="144">
        <f>(IF(ISNUMBER(G42),assumptions!$E$46,0)+IF(ISNUMBER(G44),assumptions!$E$47,0)+IF(ISNUMBER(G46),assumptions!$E$48,0)+IF(ISNUMBER(G48),assumptions!$E$49,0)+IF(ISNUMBER(G50),assumptions!$E$50,0)+IF(ISNUMBER(G54),assumptions!$E$51,0)+IF(ISNUMBER(G52),assumptions!$E$52,0))</f>
        <v/>
      </c>
      <c r="H62" s="144">
        <f>(IF(ISNUMBER(H42),assumptions!$E$46,0)+IF(ISNUMBER(H44),assumptions!$E$47,0)+IF(ISNUMBER(H46),assumptions!$E$48,0)+IF(ISNUMBER(H48),assumptions!$E$49,0)+IF(ISNUMBER(H50),assumptions!$E$50,0)+IF(ISNUMBER(H54),assumptions!$E$51,0)+IF(ISNUMBER(H52),assumptions!$E$52,0))</f>
        <v/>
      </c>
      <c r="I62" s="144">
        <f>(IF(ISNUMBER(I42),assumptions!$E$46,0)+IF(ISNUMBER(I44),assumptions!$E$47,0)+IF(ISNUMBER(I46),assumptions!$E$48,0)+IF(ISNUMBER(I48),assumptions!$E$49,0)+IF(ISNUMBER(I50),assumptions!$E$50,0)+IF(ISNUMBER(I54),assumptions!$E$51,0)+IF(ISNUMBER(I52),assumptions!$E$52,0))</f>
        <v/>
      </c>
      <c r="J62" s="144">
        <f>(IF(ISNUMBER(J42),assumptions!$E$46,0)+IF(ISNUMBER(J44),assumptions!$E$47,0)+IF(ISNUMBER(J46),assumptions!$E$48,0)+IF(ISNUMBER(J48),assumptions!$E$49,0)+IF(ISNUMBER(J50),assumptions!$E$50,0)+IF(ISNUMBER(J54),assumptions!$E$51,0)+IF(ISNUMBER(J52),assumptions!$E$52,0))</f>
        <v/>
      </c>
      <c r="K62" s="144">
        <f>(IF(ISNUMBER(K42),assumptions!$E$46,0)+IF(ISNUMBER(K44),assumptions!$E$47,0)+IF(ISNUMBER(K46),assumptions!$E$48,0)+IF(ISNUMBER(K48),assumptions!$E$49,0)+IF(ISNUMBER(K50),assumptions!$E$50,0)+IF(ISNUMBER(K54),assumptions!$E$51,0)+IF(ISNUMBER(K52),assumptions!$E$52,0))</f>
        <v/>
      </c>
      <c r="L62" s="144">
        <f>(IF(ISNUMBER(L42),assumptions!$E$46,0)+IF(ISNUMBER(L44),assumptions!$E$47,0)+IF(ISNUMBER(L46),assumptions!$E$48,0)+IF(ISNUMBER(L48),assumptions!$E$49,0)+IF(ISNUMBER(L50),assumptions!$E$50,0)+IF(ISNUMBER(L54),assumptions!$E$51,0)+IF(ISNUMBER(L52),assumptions!$E$52,0))</f>
        <v/>
      </c>
      <c r="M62" s="144">
        <f>(IF(ISNUMBER(M42),assumptions!$E$46,0)+IF(ISNUMBER(M44),assumptions!$E$47,0)+IF(ISNUMBER(M46),assumptions!$E$48,0)+IF(ISNUMBER(M48),assumptions!$E$49,0)+IF(ISNUMBER(M50),assumptions!$E$50,0)+IF(ISNUMBER(M54),assumptions!$E$51,0)+IF(ISNUMBER(M52),assumptions!$E$52,0))</f>
        <v/>
      </c>
      <c r="N62" s="144">
        <f>(IF(ISNUMBER(N42),assumptions!$E$46,0)+IF(ISNUMBER(N44),assumptions!$E$47,0)+IF(ISNUMBER(N46),assumptions!$E$48,0)+IF(ISNUMBER(N48),assumptions!$E$49,0)+IF(ISNUMBER(N50),assumptions!$E$50,0)+IF(ISNUMBER(N54),assumptions!$E$51,0)+IF(ISNUMBER(N52),assumptions!$E$52,0))</f>
        <v/>
      </c>
      <c r="O62" s="144">
        <f>(IF(ISNUMBER(O42),assumptions!$E$46,0)+IF(ISNUMBER(O44),assumptions!$E$47,0)+IF(ISNUMBER(O46),assumptions!$E$48,0)+IF(ISNUMBER(O48),assumptions!$E$49,0)+IF(ISNUMBER(O50),assumptions!$E$50,0)+IF(ISNUMBER(O54),assumptions!$E$51,0)+IF(ISNUMBER(O52),assumptions!$E$52,0))</f>
        <v/>
      </c>
      <c r="U62" s="77" t="inlineStr">
        <is>
          <t>Same coverage applies to L and M (same province availability).</t>
        </is>
      </c>
    </row>
    <row r="63" ht="16.5" customHeight="1" s="78">
      <c r="A63" s="77" t="inlineStr">
        <is>
          <t>2020 COVID rebate on catalogue bills: −5% of bill, Feb–Dec (11/12 of year)</t>
        </is>
      </c>
      <c r="B63" s="142" t="inlineStr">
        <is>
          <t>元/MWh</t>
        </is>
      </c>
      <c r="C63" s="77" t="inlineStr">
        <is>
          <t>estimated=Y</t>
        </is>
      </c>
      <c r="N63" s="77">
        <f>-0.05*11/12*N58</f>
        <v/>
      </c>
      <c r="U63" s="142" t="inlineStr">
        <is>
          <t>发改价格〔2020〕258号 + 994号. Applied to LARGE basket row shown; medium analogue = −5%×11/12×medium basket. One-year rebate line.</t>
        </is>
      </c>
    </row>
    <row r="65" ht="16.5" customHeight="1" s="78">
      <c r="A65" s="109" t="inlineStr">
        <is>
          <t>E. MARKET ERA (2022–2026). Large: direct-market price + line loss + T&amp;D(220kV) + 系统运行 + funds. T&amp;D period mix: 2022 P2; 2023 = 5/12 P2 + 7/12 P3; 2024–25 P3; 2026 = 7/12 P3 + 5/12 P4 (D13-R).</t>
        </is>
      </c>
    </row>
    <row r="66" ht="16.5" customHeight="1" s="78">
      <c r="A66" s="77" t="inlineStr">
        <is>
          <t>JS direct-market annual avg price (market-wide; no 220kV-specific averages exist — qc)</t>
        </is>
      </c>
      <c r="B66" s="142" t="inlineStr">
        <is>
          <t>元/MWh</t>
        </is>
      </c>
      <c r="C66" s="77" t="inlineStr">
        <is>
          <t>estimated=Y where computed</t>
        </is>
      </c>
      <c r="P66" s="77" t="n">
        <v>466.69</v>
      </c>
      <c r="Q66" s="77" t="n">
        <v>466.64</v>
      </c>
      <c r="R66" s="77" t="n">
        <v>452.945</v>
      </c>
      <c r="S66" s="77" t="n">
        <v>412.45</v>
      </c>
      <c r="T66" s="77" t="n">
        <v>344.19</v>
      </c>
      <c r="U66" s="142" t="inlineStr">
        <is>
          <t>江苏交易中心 via 北极星/JS energy assoc/光伏們 — retr. 2026-07-15. 2026 = year-to-date basis, flag.</t>
        </is>
      </c>
    </row>
    <row r="67" ht="16.5" customHeight="1" s="78">
      <c r="A67" s="77" t="inlineStr">
        <is>
          <t>GD direct-market annual avg price (market-wide; no 220kV-specific averages exist — qc)</t>
        </is>
      </c>
      <c r="B67" s="142" t="inlineStr">
        <is>
          <t>元/MWh</t>
        </is>
      </c>
      <c r="C67" s="77" t="inlineStr">
        <is>
          <t>estimated=Y where computed</t>
        </is>
      </c>
      <c r="Q67" s="77" t="n">
        <v>553.88</v>
      </c>
      <c r="R67" s="77" t="n">
        <v>465.62</v>
      </c>
      <c r="S67" s="77" t="n">
        <v>391.86</v>
      </c>
      <c r="T67" s="77" t="n">
        <v>372.14</v>
      </c>
      <c r="U67" s="77" t="inlineStr">
        <is>
          <t>GD exchange notices (厘/kWh→元/MWh) — retr. 2026-07-15.</t>
        </is>
      </c>
    </row>
    <row r="68" ht="16.5" customHeight="1" s="78">
      <c r="A68" s="77" t="inlineStr">
        <is>
          <t>ZJ direct-market annual avg price (market-wide; no 220kV-specific averages exist — qc)</t>
        </is>
      </c>
      <c r="B68" s="142" t="inlineStr">
        <is>
          <t>元/MWh</t>
        </is>
      </c>
      <c r="C68" s="77" t="inlineStr">
        <is>
          <t>estimated=Y where computed</t>
        </is>
      </c>
      <c r="R68" s="77" t="n">
        <v>462.4</v>
      </c>
      <c r="S68" s="77" t="n">
        <v>412.39</v>
      </c>
      <c r="U68" s="77" t="inlineStr">
        <is>
          <t>2024 computed ≈462.4; 2025 annual trade 412.39 — retr. 2026-07-15.</t>
        </is>
      </c>
    </row>
    <row r="69" ht="16.5" customHeight="1" s="78">
      <c r="A69" s="77" t="inlineStr">
        <is>
          <t>HN direct-market annual avg price (market-wide; no 220kV-specific averages exist — qc)</t>
        </is>
      </c>
      <c r="B69" s="142" t="inlineStr">
        <is>
          <t>元/MWh</t>
        </is>
      </c>
      <c r="C69" s="77" t="inlineStr">
        <is>
          <t>estimated=Y where computed</t>
        </is>
      </c>
      <c r="R69" s="77" t="n">
        <v>411.4</v>
      </c>
      <c r="S69" s="77" t="n">
        <v>401.67</v>
      </c>
      <c r="U69" s="77" t="inlineStr">
        <is>
          <t>2024 computed ≈411.4; 2025 直接交易结算 401.67 — retr. 2026-07-15.</t>
        </is>
      </c>
    </row>
    <row r="70" ht="16.5" customHeight="1" s="78">
      <c r="A70" s="77" t="inlineStr">
        <is>
          <t>SC direct-market annual avg price (market-wide; no 220kV-specific averages exist — qc)</t>
        </is>
      </c>
      <c r="B70" s="142" t="inlineStr">
        <is>
          <t>元/MWh</t>
        </is>
      </c>
      <c r="C70" s="77" t="inlineStr">
        <is>
          <t>estimated=Y where computed</t>
        </is>
      </c>
      <c r="S70" s="77" t="n">
        <v>254.06</v>
      </c>
      <c r="U70" s="77" t="inlineStr">
        <is>
          <t>2025 年度常规直购 0.25406 元/kWh (hydro province) — retr. 2026-07-15.</t>
        </is>
      </c>
    </row>
    <row r="71" ht="16.5" customHeight="1" s="78">
      <c r="A71" s="77" t="inlineStr">
        <is>
          <t>SD / IM direct-market prices: GAP all years (volumes disclosed only)</t>
        </is>
      </c>
      <c r="B71" s="142" t="inlineStr">
        <is>
          <t>元/MWh</t>
        </is>
      </c>
      <c r="C71" s="77" t="inlineStr">
        <is>
          <t>GAP</t>
        </is>
      </c>
      <c r="U71" s="77" t="inlineStr">
        <is>
          <t>qc; gap-fill target.</t>
        </is>
      </c>
    </row>
    <row r="72" ht="16.5" customHeight="1" s="78">
      <c r="A72" s="77" t="inlineStr">
        <is>
          <t>T&amp;D P2 (1508号, eff. 2021-01) 220kV vol / [需量] — vol values in row; 需量: JS40 GD32 SD38 ZJ40 HN28 SC33 IM28</t>
        </is>
      </c>
      <c r="B72" s="142" t="inlineStr">
        <is>
          <t>元/kWh</t>
        </is>
      </c>
      <c r="C72" s="77" t="inlineStr">
        <is>
          <t>raw</t>
        </is>
      </c>
      <c r="U72" s="142" t="inlineStr">
        <is>
          <t>发改价格规〔2020〕1508号 annex PDF (ndrc.gov.cn) — staged 2026-07-15. Incl. VAT/线损调整/交叉补贴; excl funds.</t>
        </is>
      </c>
    </row>
    <row r="73" ht="16.5" customHeight="1" s="78">
      <c r="A73" s="77" t="inlineStr">
        <is>
          <t>P2 220kV vol: JS/GD/SD/ZJ/HN/IM/SC</t>
        </is>
      </c>
      <c r="B73" s="142" t="inlineStr">
        <is>
          <t>元/kWh</t>
        </is>
      </c>
      <c r="C73" s="77" t="inlineStr">
        <is>
          <t>raw</t>
        </is>
      </c>
      <c r="D73" s="77" t="n">
        <v>0.1014</v>
      </c>
      <c r="E73" s="77" t="n">
        <v>0.0212</v>
      </c>
      <c r="F73" s="77" t="n">
        <v>0.1169</v>
      </c>
      <c r="G73" s="77" t="n">
        <v>0.1102</v>
      </c>
      <c r="H73" s="77" t="n">
        <v>0.1612</v>
      </c>
      <c r="I73" s="77" t="n">
        <v>0.0545</v>
      </c>
      <c r="J73" s="77" t="n">
        <v>0.0668</v>
      </c>
      <c r="U73" s="77" t="inlineStr">
        <is>
          <t>Order: JS,GD,SD,ZJ,HN,IM,SC in columns D–J (NOT years — positional block).</t>
        </is>
      </c>
    </row>
    <row r="74" ht="16.5" customHeight="1" s="78">
      <c r="A74" s="77" t="inlineStr">
        <is>
          <t>P2 需量: same order</t>
        </is>
      </c>
      <c r="B74" s="142" t="inlineStr">
        <is>
          <t>元/kW·月</t>
        </is>
      </c>
      <c r="C74" s="77" t="inlineStr">
        <is>
          <t>raw</t>
        </is>
      </c>
      <c r="D74" s="77" t="n">
        <v>40</v>
      </c>
      <c r="E74" s="77" t="n">
        <v>32</v>
      </c>
      <c r="F74" s="77" t="n">
        <v>38</v>
      </c>
      <c r="G74" s="77" t="n">
        <v>40</v>
      </c>
      <c r="H74" s="77" t="n">
        <v>28</v>
      </c>
      <c r="I74" s="77" t="n">
        <v>28</v>
      </c>
      <c r="J74" s="77" t="n">
        <v>33</v>
      </c>
      <c r="U74" s="77" t="inlineStr">
        <is>
          <t>JS40 GD32 SD38 ZJ40 HN28 IM28 SC33.</t>
        </is>
      </c>
    </row>
    <row r="75" ht="16.5" customHeight="1" s="78">
      <c r="A75" s="77" t="inlineStr">
        <is>
          <t>P2 1-10kV vol: same order</t>
        </is>
      </c>
      <c r="B75" s="142" t="inlineStr">
        <is>
          <t>元/kWh</t>
        </is>
      </c>
      <c r="C75" s="77" t="inlineStr">
        <is>
          <t>raw</t>
        </is>
      </c>
      <c r="D75" s="77" t="n">
        <v>0.1764</v>
      </c>
      <c r="E75" s="77" t="n">
        <v>0.1074</v>
      </c>
      <c r="F75" s="77" t="n">
        <v>0.1809</v>
      </c>
      <c r="G75" s="77" t="n">
        <v>0.1772</v>
      </c>
      <c r="H75" s="77" t="n">
        <v>0.2052</v>
      </c>
      <c r="I75" s="77" t="n">
        <v>0.0885</v>
      </c>
      <c r="J75" s="77" t="n">
        <v>0.1626</v>
      </c>
    </row>
    <row r="76" ht="16.5" customHeight="1" s="78">
      <c r="A76" s="77" t="inlineStr">
        <is>
          <t>P3 1-10kV 需量: same order (from 526号 annex, in-session extraction)</t>
        </is>
      </c>
      <c r="B76" s="142" t="inlineStr">
        <is>
          <t>元/kW·月</t>
        </is>
      </c>
      <c r="C76" s="77" t="inlineStr">
        <is>
          <t>raw</t>
        </is>
      </c>
      <c r="D76" s="77" t="n">
        <v>51.2</v>
      </c>
      <c r="E76" s="77" t="n">
        <v>36.1</v>
      </c>
      <c r="F76" s="77" t="n">
        <v>38.4</v>
      </c>
      <c r="G76" s="77" t="n">
        <v>48</v>
      </c>
      <c r="H76" s="77" t="n">
        <v>40</v>
      </c>
      <c r="I76" s="77" t="n">
        <v>32.8</v>
      </c>
      <c r="J76" s="77" t="n">
        <v>35</v>
      </c>
      <c r="U76" s="77" t="inlineStr">
        <is>
          <t>526号 annex pp. as cn_td note — retr. 2026-07-15.</t>
        </is>
      </c>
    </row>
    <row r="77" ht="16.5" customHeight="1" s="78">
      <c r="A77" s="77" t="inlineStr">
        <is>
          <t>P4 1-10kV 需量: same order (from 1077号 annex notes in cn_td)</t>
        </is>
      </c>
      <c r="B77" s="142" t="inlineStr">
        <is>
          <t>元/kW·月</t>
        </is>
      </c>
      <c r="C77" s="77" t="inlineStr">
        <is>
          <t>raw</t>
        </is>
      </c>
      <c r="D77" s="77" t="n">
        <v>51.2</v>
      </c>
      <c r="E77" s="77" t="n">
        <v>36.1</v>
      </c>
      <c r="F77" s="77" t="n">
        <v>40</v>
      </c>
      <c r="G77" s="77" t="n">
        <v>47.2</v>
      </c>
      <c r="H77" s="77" t="n">
        <v>40</v>
      </c>
      <c r="I77" s="77" t="n">
        <v>34.4</v>
      </c>
      <c r="J77" s="77" t="n">
        <v>35</v>
      </c>
      <c r="U77" s="77" t="inlineStr">
        <is>
          <t>1077号 annex — retr. 2026-07-14.</t>
        </is>
      </c>
    </row>
    <row r="78" ht="16.5" customHeight="1" s="78">
      <c r="A78" s="142" t="inlineStr">
        <is>
          <t>上网环节线损率: JS/GD/SD/ZJ/HN/IM/SC (ZJ GAP). P4-published rates applied to earlier years where P3 rate unknown — estimated=Y</t>
        </is>
      </c>
      <c r="B78" s="77" t="inlineStr">
        <is>
          <t>rate</t>
        </is>
      </c>
      <c r="C78" s="77" t="inlineStr">
        <is>
          <t>estimated=Y</t>
        </is>
      </c>
      <c r="D78" s="77" t="n">
        <v>0.0318</v>
      </c>
      <c r="E78" s="77" t="n">
        <v>0.0331</v>
      </c>
      <c r="F78" s="77" t="n">
        <v>0.0307</v>
      </c>
      <c r="G78" s="77" t="n"/>
      <c r="H78" s="77" t="n">
        <v>0.0482</v>
      </c>
      <c r="I78" s="77" t="n">
        <v>0.0281</v>
      </c>
      <c r="J78" s="77" t="n">
        <v>0.0564</v>
      </c>
      <c r="U78" s="77" t="inlineStr">
        <is>
          <t>JS 3.18% (P3, 526号); others per 1077号 annex (cn_td notes) — positional block D–J = JS,GD,SD,ZJ(GAP),HN,IM,SC.</t>
        </is>
      </c>
    </row>
    <row r="79" ht="16.5" customHeight="1" s="78">
      <c r="A79" s="142" t="inlineStr">
        <is>
          <t>政府性基金及附加 (current): JS/GD/SD/ZJ/HN/IM/SC (ZJ/IM/SC GAP)</t>
        </is>
      </c>
      <c r="B79" s="142" t="inlineStr">
        <is>
          <t>元/kWh</t>
        </is>
      </c>
      <c r="C79" s="77" t="inlineStr">
        <is>
          <t>raw</t>
        </is>
      </c>
      <c r="D79" s="77" t="n">
        <v>0.0294</v>
      </c>
      <c r="E79" s="77" t="n">
        <v>0.02766875</v>
      </c>
      <c r="F79" s="77" t="n">
        <v>0.02716875</v>
      </c>
      <c r="H79" s="77" t="n">
        <v>0.028889375</v>
      </c>
      <c r="U79" s="77" t="inlineStr">
        <is>
          <t>Provincial 代理购电 monthly tables — retr. 2026-07-15. Positional block D–J. Applied flat across market era (可再生 1.9分 constant since 2016; 重大水利 46号 rates extended to 2030 by 财税〔2026〕6号) — estimated=Y.</t>
        </is>
      </c>
    </row>
    <row r="80" ht="16.5" customHeight="1" s="78">
      <c r="A80" s="142" t="inlineStr">
        <is>
          <t>系统运行费 observations: JS 2026-03 0.0876 | GD 2026-04 0.0859 | SD 2025-10 0.0964 | HN 2025-05 0.072256 (monthly snapshots used as year proxies — estimated=Y, flagged hard) [JS SUPERSEDED by true annuals row 81 — D80 kept for reference only]</t>
        </is>
      </c>
      <c r="B80" s="142" t="inlineStr">
        <is>
          <t>元/kWh</t>
        </is>
      </c>
      <c r="C80" s="77" t="inlineStr">
        <is>
          <t>estimated=Y</t>
        </is>
      </c>
      <c r="D80" s="77" t="n">
        <v>0.0876</v>
      </c>
      <c r="E80" s="77" t="n">
        <v>0.0859</v>
      </c>
      <c r="F80" s="77" t="n">
        <v>0.0964</v>
      </c>
      <c r="H80" s="77" t="n">
        <v>0.072256</v>
      </c>
      <c r="U80" s="77" t="inlineStr">
        <is>
          <t>SGCC/provincial 代理购电公告 (JS Mar-2026 itemised incl. 煤电容量 0.0350, 新能源机制差价 0.0186; SD Oct-2025 components; HN May-2025; GD Apr-2026 unitemised) — retr. 2026-07-15. Positional block. Not levied as separate line before 06/2023 (526号).</t>
        </is>
      </c>
    </row>
    <row r="81" ht="16.5" customHeight="1" s="78">
      <c r="A81" s="77" t="inlineStr">
        <is>
          <t>JS 系统运行费 TRUE ANNUALS (42 monthly 代理购电公告 2023-01–2026-06; supersedes D80 snapshot for JS): 2023 = Jun–Dec avg (fee not a line item pre-526号 — do NOT backfill Jan–May); 2026 = Jan–Jun avg (part-yr).</t>
        </is>
      </c>
      <c r="B81" s="142" t="inlineStr">
        <is>
          <t>元/kWh</t>
        </is>
      </c>
      <c r="C81" s="77" t="inlineStr">
        <is>
          <t>flat adder, all bands</t>
        </is>
      </c>
      <c r="P81" s="77" t="n">
        <v>0</v>
      </c>
      <c r="Q81" s="77" t="n">
        <v>0.0209</v>
      </c>
      <c r="R81" s="77" t="n">
        <v>0.0349</v>
      </c>
      <c r="S81" s="77" t="n">
        <v>0.047317</v>
      </c>
      <c r="T81" s="77" t="n">
        <v>0.08681999999999999</v>
      </c>
      <c r="U81" s="142" t="inlineStr">
        <is>
          <t>国网江苏 monthly 代理购电价格公告 via js.sgcc.com.cn archive (ids 10316–12987) + 北极星 mirrors for the 2 months where the official site attaches the wrong PDF (Sep-24→Oct-24 page, Mar-25→Apr-25 page — MD5-identical, all 12 branch subsites) + Suzhou branch page for 2025-06. Component sums verified every OCR month. Monthly detail in stage4_gapfill_staging.md. — retr. 2026-07-15</t>
        </is>
      </c>
    </row>
    <row r="82" ht="16.5" customHeight="1" s="78">
      <c r="A82" s="109" t="inlineStr">
        <is>
          <t>F. Large market-era per-province totals (元/MWh) and basket. 系统运行: 2022 = 0 (not a separate line pre-06/2023); 2023 = 7/12 × proxy (flag); 2024+ = proxy (flag). Provinces lacking funds data (ZJ, SC) excluded from basket — shown for reference.</t>
        </is>
      </c>
    </row>
    <row r="83" ht="16.5" customHeight="1" s="78">
      <c r="A83" s="77" t="inlineStr">
        <is>
          <t>JS large market-era all-in total</t>
        </is>
      </c>
      <c r="B83" s="142" t="inlineStr">
        <is>
          <t>元/MWh</t>
        </is>
      </c>
      <c r="C83" s="77" t="inlineStr">
        <is>
          <t>E1=E2; estimated=Y</t>
        </is>
      </c>
      <c r="P83" s="77">
        <f>P66+P66*D78+D73*1000+D74*12*1000/assumptions!$B$7+0+D79*1000</f>
        <v/>
      </c>
      <c r="Q83" s="77">
        <f>Q66+Q66*D78+(5/12*D73+7/12*cn_td!$B$5)*1000+(5/12*D74+7/12*cn_td!$C$5)*12*1000/assumptions!$B$7+7/12*Q81*1000+D79*1000</f>
        <v/>
      </c>
      <c r="R83" s="77">
        <f>R66+R66*D78+cn_td!$B$5*1000+cn_td!$C$5*12*1000/assumptions!$B$7+R81*1000+D79*1000</f>
        <v/>
      </c>
      <c r="S83" s="77">
        <f>S66+S66*D78+cn_td!$B$5*1000+cn_td!$C$5*12*1000/assumptions!$B$7+S81*1000+D79*1000</f>
        <v/>
      </c>
      <c r="T83" s="77">
        <f>T66+T66*D78+(7/12*cn_td!$B$5+5/12*cn_td!$D$5)*1000+(7/12*cn_td!$C$5+5/12*cn_td!$E$5)*12*1000/assumptions!$B$7+T81*1000+D79*1000</f>
        <v/>
      </c>
    </row>
    <row r="84" ht="16.5" customHeight="1" s="78">
      <c r="A84" s="77" t="inlineStr">
        <is>
          <t>GD large market-era all-in total</t>
        </is>
      </c>
      <c r="B84" s="142" t="inlineStr">
        <is>
          <t>元/MWh</t>
        </is>
      </c>
      <c r="C84" s="77" t="inlineStr">
        <is>
          <t>E1=E2; estimated=Y</t>
        </is>
      </c>
      <c r="Q84" s="77">
        <f>Q67+Q67*E78+(5/12*E73+7/12*cn_td!$B$6)*1000+(5/12*E74+7/12*cn_td!$C$6)*12*1000/assumptions!$B$7+7/12*E80*1000+E79*1000</f>
        <v/>
      </c>
      <c r="R84" s="77">
        <f>R67+R67*E78+cn_td!$B$6*1000+cn_td!$C$6*12*1000/assumptions!$B$7+E80*1000+E79*1000</f>
        <v/>
      </c>
      <c r="S84" s="77">
        <f>S67+S67*E78+cn_td!$B$6*1000+cn_td!$C$6*12*1000/assumptions!$B$7+E80*1000+E79*1000</f>
        <v/>
      </c>
      <c r="T84" s="77">
        <f>T67+T67*E78+(7/12*cn_td!$B$6+5/12*cn_td!$D$6)*1000+(7/12*cn_td!$C$6+5/12*cn_td!$E$6)*12*1000/assumptions!$B$7+E80*1000+E79*1000</f>
        <v/>
      </c>
    </row>
    <row r="85" ht="16.5" customHeight="1" s="78">
      <c r="A85" s="77" t="inlineStr">
        <is>
          <t>ZJ large market-era all-in total (EXCL funds/线损 where GAP — reference only, not in basket)</t>
        </is>
      </c>
      <c r="B85" s="142" t="inlineStr">
        <is>
          <t>元/MWh</t>
        </is>
      </c>
      <c r="C85" s="77" t="inlineStr">
        <is>
          <t>E1=E2; estimated=Y</t>
        </is>
      </c>
      <c r="R85" s="77">
        <f>R68+0+cn_td!$B$8*1000+cn_td!$C$8*12*1000/assumptions!$B$7+0+0</f>
        <v/>
      </c>
      <c r="S85" s="77">
        <f>S68+0+cn_td!$B$8*1000+cn_td!$C$8*12*1000/assumptions!$B$7+0+0</f>
        <v/>
      </c>
    </row>
    <row r="86" ht="16.5" customHeight="1" s="78">
      <c r="A86" s="77" t="inlineStr">
        <is>
          <t>HN large market-era all-in total</t>
        </is>
      </c>
      <c r="B86" s="142" t="inlineStr">
        <is>
          <t>元/MWh</t>
        </is>
      </c>
      <c r="C86" s="77" t="inlineStr">
        <is>
          <t>E1=E2; estimated=Y</t>
        </is>
      </c>
      <c r="R86" s="77">
        <f>R69+R69*H78+cn_td!$B$9*1000+cn_td!$C$9*12*1000/assumptions!$B$7+H80*1000+H79*1000</f>
        <v/>
      </c>
      <c r="S86" s="77">
        <f>S69+S69*H78+cn_td!$B$9*1000+cn_td!$C$9*12*1000/assumptions!$B$7+H80*1000+H79*1000</f>
        <v/>
      </c>
    </row>
    <row r="87" ht="16.5" customHeight="1" s="78">
      <c r="A87" s="77" t="inlineStr">
        <is>
          <t>SC large market-era all-in total (EXCL funds/线损 where GAP — reference only, not in basket)</t>
        </is>
      </c>
      <c r="B87" s="142" t="inlineStr">
        <is>
          <t>元/MWh</t>
        </is>
      </c>
      <c r="C87" s="77" t="inlineStr">
        <is>
          <t>E1=E2; estimated=Y</t>
        </is>
      </c>
      <c r="S87" s="77">
        <f>S70+S70*J78+cn_td!$B$11*1000+cn_td!$C$11*12*1000/assumptions!$B$7+0+0</f>
        <v/>
      </c>
    </row>
    <row r="88" ht="16.5" customHeight="1" s="78">
      <c r="A88" s="77" t="inlineStr">
        <is>
          <t>CN LARGE market-era basket (renormalised over complete provinces: JS/GD/HN; D23)</t>
        </is>
      </c>
      <c r="B88" s="142" t="inlineStr">
        <is>
          <t>元/MWh</t>
        </is>
      </c>
      <c r="C88" s="77" t="inlineStr">
        <is>
          <t>E1=E2; estimated=Y</t>
        </is>
      </c>
      <c r="P88" s="77">
        <f>IF((IF(ISNUMBER(P83),assumptions!$E$46,0)+IF(ISNUMBER(P84),assumptions!$E$47,0)+IF(ISNUMBER(P86),assumptions!$E$50,0))&gt;0,(IF(ISNUMBER(P83),assumptions!$E$46*P83,0)+IF(ISNUMBER(P84),assumptions!$E$47*P84,0)+IF(ISNUMBER(P86),assumptions!$E$50*P86,0))/(IF(ISNUMBER(P83),assumptions!$E$46,0)+IF(ISNUMBER(P84),assumptions!$E$47,0)+IF(ISNUMBER(P86),assumptions!$E$50,0)),"")</f>
        <v/>
      </c>
      <c r="Q88" s="77">
        <f>IF((IF(ISNUMBER(Q83),assumptions!$E$46,0)+IF(ISNUMBER(Q84),assumptions!$E$47,0)+IF(ISNUMBER(Q86),assumptions!$E$50,0))&gt;0,(IF(ISNUMBER(Q83),assumptions!$E$46*Q83,0)+IF(ISNUMBER(Q84),assumptions!$E$47*Q84,0)+IF(ISNUMBER(Q86),assumptions!$E$50*Q86,0))/(IF(ISNUMBER(Q83),assumptions!$E$46,0)+IF(ISNUMBER(Q84),assumptions!$E$47,0)+IF(ISNUMBER(Q86),assumptions!$E$50,0)),"")</f>
        <v/>
      </c>
      <c r="R88" s="77">
        <f>IF((IF(ISNUMBER(R83),assumptions!$E$46,0)+IF(ISNUMBER(R84),assumptions!$E$47,0)+IF(ISNUMBER(R86),assumptions!$E$50,0))&gt;0,(IF(ISNUMBER(R83),assumptions!$E$46*R83,0)+IF(ISNUMBER(R84),assumptions!$E$47*R84,0)+IF(ISNUMBER(R86),assumptions!$E$50*R86,0))/(IF(ISNUMBER(R83),assumptions!$E$46,0)+IF(ISNUMBER(R84),assumptions!$E$47,0)+IF(ISNUMBER(R86),assumptions!$E$50,0)),"")</f>
        <v/>
      </c>
      <c r="S88" s="77">
        <f>IF((IF(ISNUMBER(S83),assumptions!$E$46,0)+IF(ISNUMBER(S84),assumptions!$E$47,0)+IF(ISNUMBER(S86),assumptions!$E$50,0))&gt;0,(IF(ISNUMBER(S83),assumptions!$E$46*S83,0)+IF(ISNUMBER(S84),assumptions!$E$47*S84,0)+IF(ISNUMBER(S86),assumptions!$E$50*S86,0))/(IF(ISNUMBER(S83),assumptions!$E$46,0)+IF(ISNUMBER(S84),assumptions!$E$47,0)+IF(ISNUMBER(S86),assumptions!$E$50,0)),"")</f>
        <v/>
      </c>
      <c r="T88" s="77">
        <f>IF((IF(ISNUMBER(T83),assumptions!$E$46,0)+IF(ISNUMBER(T84),assumptions!$E$47,0)+IF(ISNUMBER(T86),assumptions!$E$50,0))&gt;0,(IF(ISNUMBER(T83),assumptions!$E$46*T83,0)+IF(ISNUMBER(T84),assumptions!$E$47*T84,0)+IF(ISNUMBER(T86),assumptions!$E$50*T86,0))/(IF(ISNUMBER(T83),assumptions!$E$46,0)+IF(ISNUMBER(T84),assumptions!$E$47,0)+IF(ISNUMBER(T86),assumptions!$E$50,0)),"")</f>
        <v/>
      </c>
      <c r="U88" s="142" t="inlineStr">
        <is>
          <t>系统运行 proxy flags carried; IM/SD absent (market prices GAP), ZJ/SC excluded (funds GAP).</t>
        </is>
      </c>
    </row>
    <row r="89" ht="15" customHeight="1" s="78">
      <c r="A89" s="77" t="inlineStr">
        <is>
          <t>Large market basket coverage (Set-C weight share)</t>
        </is>
      </c>
      <c r="B89" s="77" t="inlineStr">
        <is>
          <t>share</t>
        </is>
      </c>
      <c r="P89" s="144">
        <f>IF(ISNUMBER(P83),assumptions!$E$46,0)+IF(ISNUMBER(P84),assumptions!$E$47,0)+IF(ISNUMBER(P86),assumptions!$E$50,0)</f>
        <v/>
      </c>
      <c r="Q89" s="144">
        <f>IF(ISNUMBER(Q83),assumptions!$E$46,0)+IF(ISNUMBER(Q84),assumptions!$E$47,0)+IF(ISNUMBER(Q86),assumptions!$E$50,0)</f>
        <v/>
      </c>
      <c r="R89" s="144">
        <f>IF(ISNUMBER(R83),assumptions!$E$46,0)+IF(ISNUMBER(R84),assumptions!$E$47,0)+IF(ISNUMBER(R86),assumptions!$E$50,0)</f>
        <v/>
      </c>
      <c r="S89" s="144">
        <f>IF(ISNUMBER(S83),assumptions!$E$46,0)+IF(ISNUMBER(S84),assumptions!$E$47,0)+IF(ISNUMBER(S86),assumptions!$E$50,0)</f>
        <v/>
      </c>
      <c r="T89" s="144">
        <f>IF(ISNUMBER(T83),assumptions!$E$46,0)+IF(ISNUMBER(T84),assumptions!$E$47,0)+IF(ISNUMBER(T86),assumptions!$E$50,0)</f>
        <v/>
      </c>
    </row>
    <row r="91" ht="16.5" customHeight="1" s="78">
      <c r="A91" s="109" t="inlineStr">
        <is>
          <t>G. Medium market era — Jiangsu annual build (代理购电 basis; the only province with complete annual series). Full-bill spot observations for GD/SD/HN kept as snapshot anchors.</t>
        </is>
      </c>
    </row>
    <row r="92" ht="16.5" customHeight="1" s="78">
      <c r="A92" s="77" t="inlineStr">
        <is>
          <t>JS 代理购电价格 annual avg (1-10kV; 2026 = Jan–Jul). Definitional break Jun-2023 (526号): pre-break includes 辅助服务 etc., post-break excludes 线损+系统运行 (quoted separately) — marked</t>
        </is>
      </c>
      <c r="B92" s="142" t="inlineStr">
        <is>
          <t>元/kWh</t>
        </is>
      </c>
      <c r="C92" s="77" t="inlineStr">
        <is>
          <t>estimated=Y</t>
        </is>
      </c>
      <c r="P92" s="77" t="n">
        <v>0.4515</v>
      </c>
      <c r="Q92" s="77" t="n">
        <v>0.4606</v>
      </c>
      <c r="R92" s="77" t="n">
        <v>0.4481</v>
      </c>
      <c r="S92" s="77" t="n">
        <v>0.4363</v>
      </c>
      <c r="T92" s="77" t="n">
        <v>0.3631</v>
      </c>
      <c r="U92" s="77" t="inlineStr">
        <is>
          <t>SGCC JS monthly 代理购电公告, monthly→annual computed — retr. 2026-07-15. 2021-12: 0.4514 (transition month, not annualised).</t>
        </is>
      </c>
    </row>
    <row r="93" ht="16.5" customHeight="1" s="78">
      <c r="A93" s="77" t="inlineStr">
        <is>
          <t>CN MEDIUM market era — JS all-in total (= the CN medium line 2022+; basket coverage 17.7%, JS only)</t>
        </is>
      </c>
      <c r="B93" s="142" t="inlineStr">
        <is>
          <t>元/MWh</t>
        </is>
      </c>
      <c r="C93" s="77" t="inlineStr">
        <is>
          <t>E1=E2; estimated=Y [CORRECTED 2026-07-16 Q45: line-loss term was missing x1000]</t>
        </is>
      </c>
      <c r="P93" s="77">
        <f>P92*1000+0+D75*1000+D74*12*1000/assumptions!$C$7+0+D79*1000</f>
        <v/>
      </c>
      <c r="Q93" s="77">
        <f>Q92*1000+7/12*Q92*D78*1000+(5/12*D75+7/12*cn_td!$F$5)*1000+(5/12*D74+7/12*D76)*12*1000/assumptions!$C$7+7/12*Q81*1000+D79*1000</f>
        <v/>
      </c>
      <c r="R93" s="77">
        <f>R92*1000+R92*D78*1000+cn_td!$F$5*1000+D76*12*1000/assumptions!$C$7+R81*1000+D79*1000</f>
        <v/>
      </c>
      <c r="S93" s="77">
        <f>S92*1000+S92*D78*1000+cn_td!$F$5*1000+D76*12*1000/assumptions!$C$7+S81*1000+D79*1000</f>
        <v/>
      </c>
      <c r="T93" s="77">
        <f>T92*1000+T92*D78*1000+(7/12*cn_td!$F$5+5/12*cn_td!$G$5)*1000+(7/12*D76+5/12*D77)*12*1000/assumptions!$C$7+T81*1000+D79*1000</f>
        <v/>
      </c>
      <c r="U93" s="142" t="inlineStr">
        <is>
          <t>系统运行 2024–25 = 2026-03 proxy (flag); 2023 = 7/12 proxy. Cross-check vs SGCC JS Mar-2026 notice: 电度 0.6106 元/kWh = 代购0.3458+线损0.0121+输配0.1357+基金0.0294+系统运行0.0876 ✓ reconciles.</t>
        </is>
      </c>
    </row>
    <row r="94" ht="16.5" customHeight="1" s="78">
      <c r="A94" s="77" t="inlineStr">
        <is>
          <t>Full-bill 电度 snapshot anchors (元/kWh, 1-10kV 两部制): GD 2022-01 0.68756875 | GD 2026-04 0.65856875 | SD 2025-10 0.68806875 | HN 2025-05 0.692638375 | JS 2026-03 0.6106</t>
        </is>
      </c>
      <c r="B94" s="142" t="inlineStr">
        <is>
          <t>元/kWh</t>
        </is>
      </c>
      <c r="C94" s="77" t="inlineStr">
        <is>
          <t>observed snapshots</t>
        </is>
      </c>
      <c r="P94" s="77" t="n">
        <v>0.68756875</v>
      </c>
      <c r="Q94" s="77" t="n">
        <v>0.65856875</v>
      </c>
      <c r="R94" s="77" t="n">
        <v>0.68806875</v>
      </c>
      <c r="S94" s="77" t="n">
        <v>0.692638375</v>
      </c>
      <c r="T94" s="77" t="n">
        <v>0.6106</v>
      </c>
      <c r="U94" s="77" t="inlineStr">
        <is>
          <t>Provincial 代理购电公告 — retr. 2026-07-15. POSITIONAL block (D–H = the five snapshots in label order), NOT years. Sanity anchors for the medium market-era line; 需量 charges additional.</t>
        </is>
      </c>
    </row>
    <row r="96" ht="16.5" customHeight="1" s="78">
      <c r="A96" s="109" t="inlineStr">
        <is>
          <t>H. Reference: 燃煤发电基准价 (1658号 regime, 元/kWh) — context for market prices; NEA 2024: 中长期均价 avg +4.7% vs benchmark.</t>
        </is>
      </c>
    </row>
    <row r="97" ht="16.5" customHeight="1" s="78">
      <c r="A97" s="142" t="inlineStr">
        <is>
          <t>基准价: JS/GD/SD/ZJ/HN/IM/SC (positional D–J)</t>
        </is>
      </c>
      <c r="B97" s="142" t="inlineStr">
        <is>
          <t>元/kWh</t>
        </is>
      </c>
      <c r="C97" s="77" t="inlineStr">
        <is>
          <t>reference</t>
        </is>
      </c>
      <c r="D97" s="77" t="n">
        <v>0.391</v>
      </c>
      <c r="E97" s="77" t="n">
        <v>0.453</v>
      </c>
      <c r="F97" s="77" t="n">
        <v>0.3949</v>
      </c>
      <c r="G97" s="77" t="n">
        <v>0.4153</v>
      </c>
      <c r="H97" s="77" t="n">
        <v>0.3779</v>
      </c>
      <c r="I97" s="77" t="n">
        <v>0.2829</v>
      </c>
      <c r="J97" s="77" t="n">
        <v>0.4012</v>
      </c>
      <c r="U97" s="142" t="inlineStr">
        <is>
          <t>各省 1658号-regime notices; 蒙西 内发改价费字〔2020〕80号 — retr. 2026-07-15. 蒙东 0.3035 not used.</t>
        </is>
      </c>
    </row>
    <row r="99" ht="15" customHeight="1" s="78">
      <c r="A99" s="109" t="inlineStr">
        <is>
          <t>I. SENSITIVITY — LARGE archetype at assumptions!B56 hours (6,500h). Only demand-charge terms change; renormalisation identical.</t>
        </is>
      </c>
    </row>
    <row r="100" ht="16.5" customHeight="1" s="78">
      <c r="A100" s="77" t="inlineStr">
        <is>
          <t>CN LARGE basket @6,500h (catalogue era)</t>
        </is>
      </c>
      <c r="B100" s="142" t="inlineStr">
        <is>
          <t>元/MWh</t>
        </is>
      </c>
      <c r="C100" s="77" t="inlineStr">
        <is>
          <t>estimated=Y</t>
        </is>
      </c>
      <c r="F100" s="77">
        <f>IF((IF(ISNUMBER(F42),assumptions!$E$46,0)+IF(ISNUMBER(F44),assumptions!$E$47,0)+IF(ISNUMBER(F46),assumptions!$E$48,0)+IF(ISNUMBER(F48),assumptions!$E$49,0)+IF(ISNUMBER(F50),assumptions!$E$50,0)+IF(ISNUMBER(F52),assumptions!$E$52,0)+IF(ISNUMBER(F54),assumptions!$E$51,0))&gt;0,F58+((IF(ISNUMBER(F42),assumptions!$E$46*40,0)+IF(ISNUMBER(F44),assumptions!$E$47*32,0)+IF(ISNUMBER(F46),assumptions!$E$48*38,0)+IF(ISNUMBER(F48),assumptions!$E$49*40,0)+IF(ISNUMBER(F50),assumptions!$E$50*28,0)+IF(ISNUMBER(F52),assumptions!$E$52*33,0)+IF(ISNUMBER(F54),assumptions!$E$51*28,0))/(IF(ISNUMBER(F42),assumptions!$E$46,0)+IF(ISNUMBER(F44),assumptions!$E$47,0)+IF(ISNUMBER(F46),assumptions!$E$48,0)+IF(ISNUMBER(F48),assumptions!$E$49,0)+IF(ISNUMBER(F50),assumptions!$E$50,0)+IF(ISNUMBER(F52),assumptions!$E$52,0)+IF(ISNUMBER(F54),assumptions!$E$51,0)))*12*1000*(1/assumptions!$B$56-1/assumptions!$B$7),"")</f>
        <v/>
      </c>
      <c r="G100" s="77">
        <f>IF((IF(ISNUMBER(G42),assumptions!$E$46,0)+IF(ISNUMBER(G44),assumptions!$E$47,0)+IF(ISNUMBER(G46),assumptions!$E$48,0)+IF(ISNUMBER(G48),assumptions!$E$49,0)+IF(ISNUMBER(G50),assumptions!$E$50,0)+IF(ISNUMBER(G52),assumptions!$E$52,0)+IF(ISNUMBER(G54),assumptions!$E$51,0))&gt;0,G58+((IF(ISNUMBER(G42),assumptions!$E$46*40,0)+IF(ISNUMBER(G44),assumptions!$E$47*32,0)+IF(ISNUMBER(G46),assumptions!$E$48*38,0)+IF(ISNUMBER(G48),assumptions!$E$49*40,0)+IF(ISNUMBER(G50),assumptions!$E$50*28,0)+IF(ISNUMBER(G52),assumptions!$E$52*33,0)+IF(ISNUMBER(G54),assumptions!$E$51*28,0))/(IF(ISNUMBER(G42),assumptions!$E$46,0)+IF(ISNUMBER(G44),assumptions!$E$47,0)+IF(ISNUMBER(G46),assumptions!$E$48,0)+IF(ISNUMBER(G48),assumptions!$E$49,0)+IF(ISNUMBER(G50),assumptions!$E$50,0)+IF(ISNUMBER(G52),assumptions!$E$52,0)+IF(ISNUMBER(G54),assumptions!$E$51,0)))*12*1000*(1/assumptions!$B$56-1/assumptions!$B$7),"")</f>
        <v/>
      </c>
      <c r="H100" s="77">
        <f>IF((IF(ISNUMBER(H42),assumptions!$E$46,0)+IF(ISNUMBER(H44),assumptions!$E$47,0)+IF(ISNUMBER(H46),assumptions!$E$48,0)+IF(ISNUMBER(H48),assumptions!$E$49,0)+IF(ISNUMBER(H50),assumptions!$E$50,0)+IF(ISNUMBER(H52),assumptions!$E$52,0)+IF(ISNUMBER(H54),assumptions!$E$51,0))&gt;0,H58+((IF(ISNUMBER(H42),assumptions!$E$46*40,0)+IF(ISNUMBER(H44),assumptions!$E$47*32,0)+IF(ISNUMBER(H46),assumptions!$E$48*38,0)+IF(ISNUMBER(H48),assumptions!$E$49*40,0)+IF(ISNUMBER(H50),assumptions!$E$50*28,0)+IF(ISNUMBER(H52),assumptions!$E$52*33,0)+IF(ISNUMBER(H54),assumptions!$E$51*28,0))/(IF(ISNUMBER(H42),assumptions!$E$46,0)+IF(ISNUMBER(H44),assumptions!$E$47,0)+IF(ISNUMBER(H46),assumptions!$E$48,0)+IF(ISNUMBER(H48),assumptions!$E$49,0)+IF(ISNUMBER(H50),assumptions!$E$50,0)+IF(ISNUMBER(H52),assumptions!$E$52,0)+IF(ISNUMBER(H54),assumptions!$E$51,0)))*12*1000*(1/assumptions!$B$56-1/assumptions!$B$7),"")</f>
        <v/>
      </c>
      <c r="I100" s="77">
        <f>IF((IF(ISNUMBER(I42),assumptions!$E$46,0)+IF(ISNUMBER(I44),assumptions!$E$47,0)+IF(ISNUMBER(I46),assumptions!$E$48,0)+IF(ISNUMBER(I48),assumptions!$E$49,0)+IF(ISNUMBER(I50),assumptions!$E$50,0)+IF(ISNUMBER(I52),assumptions!$E$52,0)+IF(ISNUMBER(I54),assumptions!$E$51,0))&gt;0,I58+((IF(ISNUMBER(I42),assumptions!$E$46*40,0)+IF(ISNUMBER(I44),assumptions!$E$47*32,0)+IF(ISNUMBER(I46),assumptions!$E$48*38,0)+IF(ISNUMBER(I48),assumptions!$E$49*40,0)+IF(ISNUMBER(I50),assumptions!$E$50*28,0)+IF(ISNUMBER(I52),assumptions!$E$52*33,0)+IF(ISNUMBER(I54),assumptions!$E$51*28,0))/(IF(ISNUMBER(I42),assumptions!$E$46,0)+IF(ISNUMBER(I44),assumptions!$E$47,0)+IF(ISNUMBER(I46),assumptions!$E$48,0)+IF(ISNUMBER(I48),assumptions!$E$49,0)+IF(ISNUMBER(I50),assumptions!$E$50,0)+IF(ISNUMBER(I52),assumptions!$E$52,0)+IF(ISNUMBER(I54),assumptions!$E$51,0)))*12*1000*(1/assumptions!$B$56-1/assumptions!$B$7),"")</f>
        <v/>
      </c>
      <c r="J100" s="77">
        <f>IF((IF(ISNUMBER(J42),assumptions!$E$46,0)+IF(ISNUMBER(J44),assumptions!$E$47,0)+IF(ISNUMBER(J46),assumptions!$E$48,0)+IF(ISNUMBER(J48),assumptions!$E$49,0)+IF(ISNUMBER(J50),assumptions!$E$50,0)+IF(ISNUMBER(J52),assumptions!$E$52,0)+IF(ISNUMBER(J54),assumptions!$E$51,0))&gt;0,J58+((IF(ISNUMBER(J42),assumptions!$E$46*40,0)+IF(ISNUMBER(J44),assumptions!$E$47*32,0)+IF(ISNUMBER(J46),assumptions!$E$48*38,0)+IF(ISNUMBER(J48),assumptions!$E$49*40,0)+IF(ISNUMBER(J50),assumptions!$E$50*28,0)+IF(ISNUMBER(J52),assumptions!$E$52*33,0)+IF(ISNUMBER(J54),assumptions!$E$51*28,0))/(IF(ISNUMBER(J42),assumptions!$E$46,0)+IF(ISNUMBER(J44),assumptions!$E$47,0)+IF(ISNUMBER(J46),assumptions!$E$48,0)+IF(ISNUMBER(J48),assumptions!$E$49,0)+IF(ISNUMBER(J50),assumptions!$E$50,0)+IF(ISNUMBER(J52),assumptions!$E$52,0)+IF(ISNUMBER(J54),assumptions!$E$51,0)))*12*1000*(1/assumptions!$B$56-1/assumptions!$B$7),"")</f>
        <v/>
      </c>
      <c r="K100" s="77">
        <f>IF((IF(ISNUMBER(K42),assumptions!$E$46,0)+IF(ISNUMBER(K44),assumptions!$E$47,0)+IF(ISNUMBER(K46),assumptions!$E$48,0)+IF(ISNUMBER(K48),assumptions!$E$49,0)+IF(ISNUMBER(K50),assumptions!$E$50,0)+IF(ISNUMBER(K52),assumptions!$E$52,0)+IF(ISNUMBER(K54),assumptions!$E$51,0))&gt;0,K58+((IF(ISNUMBER(K42),assumptions!$E$46*40,0)+IF(ISNUMBER(K44),assumptions!$E$47*32,0)+IF(ISNUMBER(K46),assumptions!$E$48*38,0)+IF(ISNUMBER(K48),assumptions!$E$49*40,0)+IF(ISNUMBER(K50),assumptions!$E$50*28,0)+IF(ISNUMBER(K52),assumptions!$E$52*33,0)+IF(ISNUMBER(K54),assumptions!$E$51*28,0))/(IF(ISNUMBER(K42),assumptions!$E$46,0)+IF(ISNUMBER(K44),assumptions!$E$47,0)+IF(ISNUMBER(K46),assumptions!$E$48,0)+IF(ISNUMBER(K48),assumptions!$E$49,0)+IF(ISNUMBER(K50),assumptions!$E$50,0)+IF(ISNUMBER(K52),assumptions!$E$52,0)+IF(ISNUMBER(K54),assumptions!$E$51,0)))*12*1000*(1/assumptions!$B$56-1/assumptions!$B$7),"")</f>
        <v/>
      </c>
      <c r="L100" s="77">
        <f>IF((IF(ISNUMBER(L42),assumptions!$E$46,0)+IF(ISNUMBER(L44),assumptions!$E$47,0)+IF(ISNUMBER(L46),assumptions!$E$48,0)+IF(ISNUMBER(L48),assumptions!$E$49,0)+IF(ISNUMBER(L50),assumptions!$E$50,0)+IF(ISNUMBER(L52),assumptions!$E$52,0)+IF(ISNUMBER(L54),assumptions!$E$51,0))&gt;0,L58+((IF(ISNUMBER(L42),assumptions!$E$46*40,0)+IF(ISNUMBER(L44),assumptions!$E$47*32,0)+IF(ISNUMBER(L46),assumptions!$E$48*38,0)+IF(ISNUMBER(L48),assumptions!$E$49*40,0)+IF(ISNUMBER(L50),assumptions!$E$50*28,0)+IF(ISNUMBER(L52),assumptions!$E$52*33,0)+IF(ISNUMBER(L54),assumptions!$E$51*28,0))/(IF(ISNUMBER(L42),assumptions!$E$46,0)+IF(ISNUMBER(L44),assumptions!$E$47,0)+IF(ISNUMBER(L46),assumptions!$E$48,0)+IF(ISNUMBER(L48),assumptions!$E$49,0)+IF(ISNUMBER(L50),assumptions!$E$50,0)+IF(ISNUMBER(L52),assumptions!$E$52,0)+IF(ISNUMBER(L54),assumptions!$E$51,0)))*12*1000*(1/assumptions!$B$56-1/assumptions!$B$7),"")</f>
        <v/>
      </c>
      <c r="M100" s="77">
        <f>IF((IF(ISNUMBER(M42),assumptions!$E$46,0)+IF(ISNUMBER(M44),assumptions!$E$47,0)+IF(ISNUMBER(M46),assumptions!$E$48,0)+IF(ISNUMBER(M48),assumptions!$E$49,0)+IF(ISNUMBER(M50),assumptions!$E$50,0)+IF(ISNUMBER(M52),assumptions!$E$52,0)+IF(ISNUMBER(M54),assumptions!$E$51,0))&gt;0,M58+((IF(ISNUMBER(M42),assumptions!$E$46*40,0)+IF(ISNUMBER(M44),assumptions!$E$47*32,0)+IF(ISNUMBER(M46),assumptions!$E$48*38,0)+IF(ISNUMBER(M48),assumptions!$E$49*40,0)+IF(ISNUMBER(M50),assumptions!$E$50*28,0)+IF(ISNUMBER(M52),assumptions!$E$52*33,0)+IF(ISNUMBER(M54),assumptions!$E$51*28,0))/(IF(ISNUMBER(M42),assumptions!$E$46,0)+IF(ISNUMBER(M44),assumptions!$E$47,0)+IF(ISNUMBER(M46),assumptions!$E$48,0)+IF(ISNUMBER(M48),assumptions!$E$49,0)+IF(ISNUMBER(M50),assumptions!$E$50,0)+IF(ISNUMBER(M52),assumptions!$E$52,0)+IF(ISNUMBER(M54),assumptions!$E$51,0)))*12*1000*(1/assumptions!$B$56-1/assumptions!$B$7),"")</f>
        <v/>
      </c>
      <c r="N100" s="77">
        <f>IF((IF(ISNUMBER(N42),assumptions!$E$46,0)+IF(ISNUMBER(N44),assumptions!$E$47,0)+IF(ISNUMBER(N46),assumptions!$E$48,0)+IF(ISNUMBER(N48),assumptions!$E$49,0)+IF(ISNUMBER(N50),assumptions!$E$50,0)+IF(ISNUMBER(N52),assumptions!$E$52,0)+IF(ISNUMBER(N54),assumptions!$E$51,0))&gt;0,N58+((IF(ISNUMBER(N42),assumptions!$E$46*40,0)+IF(ISNUMBER(N44),assumptions!$E$47*32,0)+IF(ISNUMBER(N46),assumptions!$E$48*38,0)+IF(ISNUMBER(N48),assumptions!$E$49*40,0)+IF(ISNUMBER(N50),assumptions!$E$50*28,0)+IF(ISNUMBER(N52),assumptions!$E$52*33,0)+IF(ISNUMBER(N54),assumptions!$E$51*28,0))/(IF(ISNUMBER(N42),assumptions!$E$46,0)+IF(ISNUMBER(N44),assumptions!$E$47,0)+IF(ISNUMBER(N46),assumptions!$E$48,0)+IF(ISNUMBER(N48),assumptions!$E$49,0)+IF(ISNUMBER(N50),assumptions!$E$50,0)+IF(ISNUMBER(N52),assumptions!$E$52,0)+IF(ISNUMBER(N54),assumptions!$E$51,0)))*12*1000*(1/assumptions!$B$56-1/assumptions!$B$7),"")</f>
        <v/>
      </c>
      <c r="O100" s="77">
        <f>IF((IF(ISNUMBER(O42),assumptions!$E$46,0)+IF(ISNUMBER(O44),assumptions!$E$47,0)+IF(ISNUMBER(O46),assumptions!$E$48,0)+IF(ISNUMBER(O48),assumptions!$E$49,0)+IF(ISNUMBER(O50),assumptions!$E$50,0)+IF(ISNUMBER(O52),assumptions!$E$52,0)+IF(ISNUMBER(O54),assumptions!$E$51,0))&gt;0,O58+((IF(ISNUMBER(O42),assumptions!$E$46*40,0)+IF(ISNUMBER(O44),assumptions!$E$47*32,0)+IF(ISNUMBER(O46),assumptions!$E$48*38,0)+IF(ISNUMBER(O48),assumptions!$E$49*40,0)+IF(ISNUMBER(O50),assumptions!$E$50*28,0)+IF(ISNUMBER(O52),assumptions!$E$52*33,0)+IF(ISNUMBER(O54),assumptions!$E$51*28,0))/(IF(ISNUMBER(O42),assumptions!$E$46,0)+IF(ISNUMBER(O44),assumptions!$E$47,0)+IF(ISNUMBER(O46),assumptions!$E$48,0)+IF(ISNUMBER(O48),assumptions!$E$49,0)+IF(ISNUMBER(O50),assumptions!$E$50,0)+IF(ISNUMBER(O52),assumptions!$E$52,0)+IF(ISNUMBER(O54),assumptions!$E$51,0)))*12*1000*(1/assumptions!$B$56-1/assumptions!$B$7),"")</f>
        <v/>
      </c>
      <c r="U100" s="77" t="inlineStr">
        <is>
          <t>Formula: basket + renormalised weighted 需量 charge × (12,000/h6500 − 12,000/h8000).</t>
        </is>
      </c>
    </row>
    <row r="101" ht="16.5" customHeight="1" s="78">
      <c r="A101" s="77" t="inlineStr">
        <is>
          <t>CN LARGE basket @6,500h (market era)</t>
        </is>
      </c>
      <c r="B101" s="142" t="inlineStr">
        <is>
          <t>元/MWh</t>
        </is>
      </c>
      <c r="C101" s="77" t="inlineStr">
        <is>
          <t>estimated=Y</t>
        </is>
      </c>
      <c r="P101" s="77">
        <f>IF((IF(ISNUMBER(P83),assumptions!$E$46,0)+IF(ISNUMBER(P84),assumptions!$E$47,0)+IF(ISNUMBER(P86),assumptions!$E$50,0))&gt;0,P88+((IF(ISNUMBER(P83),assumptions!$E$46*D74,0)+IF(ISNUMBER(P84),assumptions!$E$47*E74,0)+IF(ISNUMBER(P86),assumptions!$E$50*H74,0))/(IF(ISNUMBER(P83),assumptions!$E$46,0)+IF(ISNUMBER(P84),assumptions!$E$47,0)+IF(ISNUMBER(P86),assumptions!$E$50,0)))*12*1000*(1/assumptions!$B$56-1/assumptions!$B$7),"")</f>
        <v/>
      </c>
      <c r="Q101" s="77">
        <f>IF((IF(ISNUMBER(Q83),assumptions!$E$46,0)+IF(ISNUMBER(Q84),assumptions!$E$47,0)+IF(ISNUMBER(Q86),assumptions!$E$50,0))&gt;0,Q88+((IF(ISNUMBER(Q83),assumptions!$E$46*(5/12*D74+7/12*cn_td!$C$5),0)+IF(ISNUMBER(Q84),assumptions!$E$47*(5/12*E74+7/12*cn_td!$C$6),0)+IF(ISNUMBER(Q86),assumptions!$E$50*(5/12*H74+7/12*cn_td!$C$9),0))/(IF(ISNUMBER(Q83),assumptions!$E$46,0)+IF(ISNUMBER(Q84),assumptions!$E$47,0)+IF(ISNUMBER(Q86),assumptions!$E$50,0)))*12*1000*(1/assumptions!$B$56-1/assumptions!$B$7),"")</f>
        <v/>
      </c>
      <c r="R101" s="77">
        <f>IF((IF(ISNUMBER(R83),assumptions!$E$46,0)+IF(ISNUMBER(R84),assumptions!$E$47,0)+IF(ISNUMBER(R86),assumptions!$E$50,0))&gt;0,R88+((IF(ISNUMBER(R83),assumptions!$E$46*cn_td!$C$5,0)+IF(ISNUMBER(R84),assumptions!$E$47*cn_td!$C$6,0)+IF(ISNUMBER(R86),assumptions!$E$50*cn_td!$C$9,0))/(IF(ISNUMBER(R83),assumptions!$E$46,0)+IF(ISNUMBER(R84),assumptions!$E$47,0)+IF(ISNUMBER(R86),assumptions!$E$50,0)))*12*1000*(1/assumptions!$B$56-1/assumptions!$B$7),"")</f>
        <v/>
      </c>
      <c r="S101" s="77">
        <f>IF((IF(ISNUMBER(S83),assumptions!$E$46,0)+IF(ISNUMBER(S84),assumptions!$E$47,0)+IF(ISNUMBER(S86),assumptions!$E$50,0))&gt;0,S88+((IF(ISNUMBER(S83),assumptions!$E$46*cn_td!$C$5,0)+IF(ISNUMBER(S84),assumptions!$E$47*cn_td!$C$6,0)+IF(ISNUMBER(S86),assumptions!$E$50*cn_td!$C$9,0))/(IF(ISNUMBER(S83),assumptions!$E$46,0)+IF(ISNUMBER(S84),assumptions!$E$47,0)+IF(ISNUMBER(S86),assumptions!$E$50,0)))*12*1000*(1/assumptions!$B$56-1/assumptions!$B$7),"")</f>
        <v/>
      </c>
      <c r="T101" s="77">
        <f>IF((IF(ISNUMBER(T83),assumptions!$E$46,0)+IF(ISNUMBER(T84),assumptions!$E$47,0)+IF(ISNUMBER(T86),assumptions!$E$50,0))&gt;0,T88+((IF(ISNUMBER(T83),assumptions!$E$46*(7/12*cn_td!$C$5+5/12*cn_td!$E$5),0)+IF(ISNUMBER(T84),assumptions!$E$47*(7/12*cn_td!$C$6+5/12*cn_td!$E$6),0)+IF(ISNUMBER(T86),assumptions!$E$50*(7/12*cn_td!$C$9+5/12*cn_td!$E$9),0))/(IF(ISNUMBER(T83),assumptions!$E$46,0)+IF(ISNUMBER(T84),assumptions!$E$47,0)+IF(ISNUMBER(T86),assumptions!$E$50,0)))*12*1000*(1/assumptions!$B$56-1/assumptions!$B$7),"")</f>
        <v/>
      </c>
    </row>
    <row r="103" ht="16.5" customHeight="1" s="78">
      <c r="A103" s="77" t="inlineStr">
        <is>
          <t>J2. JS 系统运行费 SPLIT (Q43/D42, retr. 2026-07-16): 12-month unweighted means from itemised monthly 代理购电公告 prose (attachment PDFs/DOCs; 2025-06 via NJ-company mirror id12399; 2025-12 image-PDF read visually)</t>
        </is>
      </c>
    </row>
    <row r="104" ht="16.5" customHeight="1" s="78">
      <c r="A104" s="77" t="inlineStr">
        <is>
          <t>JS capacity charges within 系统运行费 (煤电容量+抽水蓄能容量+天然气发电容量[含气电联动])</t>
        </is>
      </c>
      <c r="B104" s="142" t="inlineStr">
        <is>
          <t>元/kWh</t>
        </is>
      </c>
      <c r="C104" s="77" t="inlineStr">
        <is>
          <t>estimated=Y (function 2 per D9)</t>
        </is>
      </c>
      <c r="R104" s="77" t="n">
        <v>0.043242</v>
      </c>
      <c r="S104" s="77" t="n">
        <v>0.042742</v>
      </c>
      <c r="U104" s="77" t="inlineStr">
        <is>
          <t>Monthly itemisation: e.g. 2025-07: 煤电 0.0129 + 抽蓄 0.0043 + 气电 0.0230; gas-capacity constant 0.0230 all 24 months.</t>
        </is>
      </c>
    </row>
    <row r="105" ht="16.5" customHeight="1" s="78">
      <c r="A105" s="77" t="inlineStr">
        <is>
          <t>JS 电价交叉补贴新增损益 within 系统运行费 (EXPLICIT quantified cross-subsidy line)</t>
        </is>
      </c>
      <c r="B105" s="142" t="inlineStr">
        <is>
          <t>元/kWh</t>
        </is>
      </c>
      <c r="C105" s="77" t="inlineStr">
        <is>
          <t>estimated=Y (incidence: pays cross-subsidy)</t>
        </is>
      </c>
      <c r="R105" s="77" t="n">
        <v>0.004758</v>
      </c>
      <c r="S105" s="77" t="n">
        <v>0.008383</v>
      </c>
      <c r="U105" s="77" t="inlineStr">
        <is>
          <t>Swings monthly (-0.0157 to +0.0370); the post-reform incremental cross-subsidy recovered from all C&amp;I users.</t>
        </is>
      </c>
    </row>
    <row r="106" ht="16.5" customHeight="1" s="78">
      <c r="A106" s="77" t="inlineStr">
        <is>
          <t>JS residual system P&amp;L (保供+线损损益+峰谷分时损益+力调+辅助服务)</t>
        </is>
      </c>
      <c r="B106" s="142" t="inlineStr">
        <is>
          <t>元/kWh</t>
        </is>
      </c>
      <c r="C106" s="77" t="inlineStr">
        <is>
          <t>estimated=Y (function 4)</t>
        </is>
      </c>
      <c r="R106" s="77">
        <f>R81-R104-R105</f>
        <v/>
      </c>
      <c r="S106" s="77">
        <f>S81-S104-S105</f>
        <v/>
      </c>
      <c r="U106" s="77" t="inlineStr">
        <is>
          <t>Residual by construction — sums to r81 exactly.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S22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77" min="1" max="1"/>
    <col width="14" customWidth="1" style="77" min="2" max="2"/>
    <col width="46" customWidth="1" style="77" min="3" max="3"/>
  </cols>
  <sheetData>
    <row r="1" ht="15" customHeight="1" s="78">
      <c r="A1" s="109" t="inlineStr">
        <is>
          <t>STAGE 5 — INDUSTRIAL OUTPUT, ENERGY-INTENSIVE SUBSECTORS (UK / DE / CN), 2010–2025</t>
        </is>
      </c>
    </row>
    <row r="2" ht="15" customHeight="1" s="78">
      <c r="A2" s="145" t="inlineStr">
        <is>
          <t>Headline per D33: (A) five commensurable sector output indices rebased 2010=100; (B) physical tonnage panel. Manufacturing totals = context only. CN index = chained NBS same-scope real VA growth per D34, estimated=Y.</t>
        </is>
      </c>
    </row>
    <row r="3" ht="15" customHeight="1" s="78">
      <c r="A3" s="145" t="inlineStr">
        <is>
          <t>CAUSAL CAUTION (mandatory on every chart): two diverging lines are not causation. Output moves with global demand, FX, policy and plant events — not electricity prices alone. All retrievals 2026-07-16.</t>
        </is>
      </c>
    </row>
    <row r="5" ht="15" customHeight="1" s="78">
      <c r="A5" s="109" t="inlineStr">
        <is>
          <t>A. UK RAW — ONS Index of Production, CVMSA annual, native 2023=100 (S64)</t>
        </is>
      </c>
      <c r="B5" s="77" t="inlineStr">
        <is>
          <t>Unit</t>
        </is>
      </c>
      <c r="C5" s="77" t="inlineStr">
        <is>
          <t>Case/notes</t>
        </is>
      </c>
      <c r="D5" s="109" t="n">
        <v>2010</v>
      </c>
      <c r="E5" s="109" t="n">
        <v>2011</v>
      </c>
      <c r="F5" s="109" t="n">
        <v>2012</v>
      </c>
      <c r="G5" s="109" t="n">
        <v>2013</v>
      </c>
      <c r="H5" s="109" t="n">
        <v>2014</v>
      </c>
      <c r="I5" s="109" t="n">
        <v>2015</v>
      </c>
      <c r="J5" s="109" t="n">
        <v>2016</v>
      </c>
      <c r="K5" s="109" t="n">
        <v>2017</v>
      </c>
      <c r="L5" s="109" t="n">
        <v>2018</v>
      </c>
      <c r="M5" s="109" t="n">
        <v>2019</v>
      </c>
      <c r="N5" s="109" t="n">
        <v>2020</v>
      </c>
      <c r="O5" s="109" t="n">
        <v>2021</v>
      </c>
      <c r="P5" s="109" t="n">
        <v>2022</v>
      </c>
      <c r="Q5" s="109" t="n">
        <v>2023</v>
      </c>
      <c r="R5" s="109" t="n">
        <v>2024</v>
      </c>
      <c r="S5" s="109" t="n">
        <v>2025</v>
      </c>
    </row>
    <row r="6" ht="15" customHeight="1" s="78">
      <c r="A6" s="77" t="inlineStr">
        <is>
          <t>UK B-E production (context)</t>
        </is>
      </c>
      <c r="B6" s="77" t="inlineStr">
        <is>
          <t>index 2023=100</t>
        </is>
      </c>
      <c r="C6" s="77" t="inlineStr">
        <is>
          <t>ONS DIOP K222, retrieved 2026-07-16</t>
        </is>
      </c>
      <c r="D6" s="77" t="n">
        <v>98.2</v>
      </c>
      <c r="E6" s="77" t="n">
        <v>93</v>
      </c>
      <c r="F6" s="77" t="n">
        <v>92.90000000000001</v>
      </c>
      <c r="G6" s="77" t="n">
        <v>94.59999999999999</v>
      </c>
      <c r="H6" s="77" t="n">
        <v>96.2</v>
      </c>
      <c r="I6" s="77" t="n">
        <v>99.8</v>
      </c>
      <c r="J6" s="77" t="n">
        <v>99.59999999999999</v>
      </c>
      <c r="K6" s="77" t="n">
        <v>100.3</v>
      </c>
      <c r="L6" s="77" t="n">
        <v>103</v>
      </c>
      <c r="M6" s="77" t="n">
        <v>104.5</v>
      </c>
      <c r="N6" s="77" t="n">
        <v>105.2</v>
      </c>
      <c r="O6" s="77" t="n">
        <v>106.7</v>
      </c>
      <c r="P6" s="77" t="n">
        <v>102.6</v>
      </c>
      <c r="Q6" s="77" t="n">
        <v>100</v>
      </c>
      <c r="R6" s="77" t="n">
        <v>98.40000000000001</v>
      </c>
      <c r="S6" s="77" t="n">
        <v>98.2</v>
      </c>
    </row>
    <row r="7" ht="15" customHeight="1" s="78">
      <c r="A7" s="77" t="inlineStr">
        <is>
          <t>UK C manufacturing (context)</t>
        </is>
      </c>
      <c r="B7" s="77" t="inlineStr">
        <is>
          <t>index 2023=100</t>
        </is>
      </c>
      <c r="C7" s="77" t="inlineStr">
        <is>
          <t>ONS DIOP K22A, retrieved 2026-07-16</t>
        </is>
      </c>
      <c r="D7" s="77" t="n">
        <v>81.59999999999999</v>
      </c>
      <c r="E7" s="77" t="n">
        <v>80</v>
      </c>
      <c r="F7" s="77" t="n">
        <v>82.3</v>
      </c>
      <c r="G7" s="77" t="n">
        <v>85.8</v>
      </c>
      <c r="H7" s="77" t="n">
        <v>88.40000000000001</v>
      </c>
      <c r="I7" s="77" t="n">
        <v>90.3</v>
      </c>
      <c r="J7" s="77" t="n">
        <v>89.40000000000001</v>
      </c>
      <c r="K7" s="77" t="n">
        <v>90.90000000000001</v>
      </c>
      <c r="L7" s="77" t="n">
        <v>95.3</v>
      </c>
      <c r="M7" s="77" t="n">
        <v>96.5</v>
      </c>
      <c r="N7" s="77" t="n">
        <v>95.7</v>
      </c>
      <c r="O7" s="77" t="n">
        <v>100.8</v>
      </c>
      <c r="P7" s="77" t="n">
        <v>98.2</v>
      </c>
      <c r="Q7" s="77" t="n">
        <v>100</v>
      </c>
      <c r="R7" s="77" t="n">
        <v>100.3</v>
      </c>
      <c r="S7" s="77" t="n">
        <v>99.40000000000001</v>
      </c>
    </row>
    <row r="8" ht="15" customHeight="1" s="78">
      <c r="A8" s="77" t="inlineStr">
        <is>
          <t>UK 17 paper &amp; paper products</t>
        </is>
      </c>
      <c r="B8" s="77" t="inlineStr">
        <is>
          <t>index 2023=100</t>
        </is>
      </c>
      <c r="C8" s="77" t="inlineStr">
        <is>
          <t>ONS DIOP K22V, retrieved 2026-07-16</t>
        </is>
      </c>
      <c r="D8" s="77" t="n">
        <v>94.7</v>
      </c>
      <c r="E8" s="77" t="n">
        <v>80.90000000000001</v>
      </c>
      <c r="F8" s="77" t="n">
        <v>87.2</v>
      </c>
      <c r="G8" s="77" t="n">
        <v>105</v>
      </c>
      <c r="H8" s="77" t="n">
        <v>100.9</v>
      </c>
      <c r="I8" s="77" t="n">
        <v>94.2</v>
      </c>
      <c r="J8" s="77" t="n">
        <v>94.7</v>
      </c>
      <c r="K8" s="77" t="n">
        <v>100</v>
      </c>
      <c r="L8" s="77" t="n">
        <v>106.4</v>
      </c>
      <c r="M8" s="77" t="n">
        <v>116.2</v>
      </c>
      <c r="N8" s="77" t="n">
        <v>109.3</v>
      </c>
      <c r="O8" s="77" t="n">
        <v>118.2</v>
      </c>
      <c r="P8" s="77" t="n">
        <v>94.2</v>
      </c>
      <c r="Q8" s="77" t="n">
        <v>100</v>
      </c>
      <c r="R8" s="77" t="n">
        <v>102.3</v>
      </c>
      <c r="S8" s="77" t="n">
        <v>98.8</v>
      </c>
    </row>
    <row r="9" ht="15" customHeight="1" s="78">
      <c r="A9" s="77" t="inlineStr">
        <is>
          <t>UK 20 chemicals</t>
        </is>
      </c>
      <c r="B9" s="77" t="inlineStr">
        <is>
          <t>index 2023=100</t>
        </is>
      </c>
      <c r="C9" s="77" t="inlineStr">
        <is>
          <t>ONS DIOP K232, retrieved 2026-07-16</t>
        </is>
      </c>
      <c r="D9" s="77" t="n">
        <v>81.40000000000001</v>
      </c>
      <c r="E9" s="77" t="n">
        <v>66.90000000000001</v>
      </c>
      <c r="F9" s="77" t="n">
        <v>84.5</v>
      </c>
      <c r="G9" s="77" t="n">
        <v>83.59999999999999</v>
      </c>
      <c r="H9" s="77" t="n">
        <v>99</v>
      </c>
      <c r="I9" s="77" t="n">
        <v>129</v>
      </c>
      <c r="J9" s="77" t="n">
        <v>106.6</v>
      </c>
      <c r="K9" s="77" t="n">
        <v>107.7</v>
      </c>
      <c r="L9" s="77" t="n">
        <v>119.2</v>
      </c>
      <c r="M9" s="77" t="n">
        <v>138</v>
      </c>
      <c r="N9" s="77" t="n">
        <v>154.3</v>
      </c>
      <c r="O9" s="77" t="n">
        <v>140.1</v>
      </c>
      <c r="P9" s="77" t="n">
        <v>112.3</v>
      </c>
      <c r="Q9" s="77" t="n">
        <v>100</v>
      </c>
      <c r="R9" s="77" t="n">
        <v>99.59999999999999</v>
      </c>
      <c r="S9" s="77" t="n">
        <v>95.8</v>
      </c>
    </row>
    <row r="10" ht="15" customHeight="1" s="78">
      <c r="A10" s="77" t="inlineStr">
        <is>
          <t>UK 23 other non-metallic minerals</t>
        </is>
      </c>
      <c r="B10" s="77" t="inlineStr">
        <is>
          <t>index 2023=100</t>
        </is>
      </c>
      <c r="C10" s="77" t="inlineStr">
        <is>
          <t>ONS DIOP K23D, retrieved 2026-07-16</t>
        </is>
      </c>
      <c r="D10" s="77" t="n">
        <v>98.5</v>
      </c>
      <c r="E10" s="77" t="n">
        <v>99.7</v>
      </c>
      <c r="F10" s="77" t="n">
        <v>109.7</v>
      </c>
      <c r="G10" s="77" t="n">
        <v>115.6</v>
      </c>
      <c r="H10" s="77" t="n">
        <v>122.2</v>
      </c>
      <c r="I10" s="77" t="n">
        <v>113.9</v>
      </c>
      <c r="J10" s="77" t="n">
        <v>114.2</v>
      </c>
      <c r="K10" s="77" t="n">
        <v>113.4</v>
      </c>
      <c r="L10" s="77" t="n">
        <v>122.8</v>
      </c>
      <c r="M10" s="77" t="n">
        <v>121.4</v>
      </c>
      <c r="N10" s="77" t="n">
        <v>123.2</v>
      </c>
      <c r="O10" s="77" t="n">
        <v>132.5</v>
      </c>
      <c r="P10" s="77" t="n">
        <v>117.6</v>
      </c>
      <c r="Q10" s="77" t="n">
        <v>100</v>
      </c>
      <c r="R10" s="77" t="n">
        <v>91.59999999999999</v>
      </c>
      <c r="S10" s="77" t="n">
        <v>85.8</v>
      </c>
    </row>
    <row r="11" ht="15" customHeight="1" s="78">
      <c r="A11" s="77" t="inlineStr">
        <is>
          <t>UK 24 basic metals</t>
        </is>
      </c>
      <c r="B11" s="77" t="inlineStr">
        <is>
          <t>index 2023=100</t>
        </is>
      </c>
      <c r="C11" s="77" t="inlineStr">
        <is>
          <t>ONS DIOP K23H, retrieved 2026-07-16</t>
        </is>
      </c>
      <c r="D11" s="77" t="n">
        <v>86.8</v>
      </c>
      <c r="E11" s="77" t="n">
        <v>72.2</v>
      </c>
      <c r="F11" s="77" t="n">
        <v>91.90000000000001</v>
      </c>
      <c r="G11" s="77" t="n">
        <v>75.90000000000001</v>
      </c>
      <c r="H11" s="77" t="n">
        <v>91.59999999999999</v>
      </c>
      <c r="I11" s="77" t="n">
        <v>121.5</v>
      </c>
      <c r="J11" s="77" t="n">
        <v>112.7</v>
      </c>
      <c r="K11" s="77" t="n">
        <v>96</v>
      </c>
      <c r="L11" s="77" t="n">
        <v>87.5</v>
      </c>
      <c r="M11" s="77" t="n">
        <v>88.7</v>
      </c>
      <c r="N11" s="77" t="n">
        <v>95.90000000000001</v>
      </c>
      <c r="O11" s="77" t="n">
        <v>70.8</v>
      </c>
      <c r="P11" s="77" t="n">
        <v>87.2</v>
      </c>
      <c r="Q11" s="77" t="n">
        <v>100</v>
      </c>
      <c r="R11" s="77" t="n">
        <v>94.40000000000001</v>
      </c>
      <c r="S11" s="77" t="n">
        <v>81.8</v>
      </c>
    </row>
    <row r="12" ht="15" customHeight="1" s="78">
      <c r="A12" s="77" t="inlineStr">
        <is>
          <t>UK 24.1-3 basic iron &amp; steel</t>
        </is>
      </c>
      <c r="B12" s="77" t="inlineStr">
        <is>
          <t>index 2023=100</t>
        </is>
      </c>
      <c r="C12" s="77" t="inlineStr">
        <is>
          <t>ONS DIOP K23I, retrieved 2026-07-16</t>
        </is>
      </c>
      <c r="D12" s="77" t="n">
        <v>88.09999999999999</v>
      </c>
      <c r="E12" s="77" t="n">
        <v>102.8</v>
      </c>
      <c r="F12" s="77" t="n">
        <v>118.8</v>
      </c>
      <c r="G12" s="77" t="n">
        <v>115.1</v>
      </c>
      <c r="H12" s="77" t="n">
        <v>140.2</v>
      </c>
      <c r="I12" s="77" t="n">
        <v>187</v>
      </c>
      <c r="J12" s="77" t="n">
        <v>151.4</v>
      </c>
      <c r="K12" s="77" t="n">
        <v>125.4</v>
      </c>
      <c r="L12" s="77" t="n">
        <v>97.2</v>
      </c>
      <c r="M12" s="77" t="n">
        <v>120</v>
      </c>
      <c r="N12" s="77" t="n">
        <v>141.7</v>
      </c>
      <c r="O12" s="77" t="n">
        <v>69.90000000000001</v>
      </c>
      <c r="P12" s="77" t="n">
        <v>81.3</v>
      </c>
      <c r="Q12" s="77" t="n">
        <v>100</v>
      </c>
      <c r="R12" s="77" t="n">
        <v>85.2</v>
      </c>
      <c r="S12" s="77" t="n">
        <v>61</v>
      </c>
    </row>
    <row r="13" ht="15" customHeight="1" s="78">
      <c r="A13" s="77" t="inlineStr">
        <is>
          <t>UK 24.4-5 other basic metals &amp; casting</t>
        </is>
      </c>
      <c r="B13" s="77" t="inlineStr">
        <is>
          <t>index 2023=100</t>
        </is>
      </c>
      <c r="C13" s="77" t="inlineStr">
        <is>
          <t>ONS DIOP K23J, retrieved 2026-07-16</t>
        </is>
      </c>
      <c r="D13" s="77" t="n">
        <v>136.1</v>
      </c>
      <c r="E13" s="77" t="n">
        <v>64.40000000000001</v>
      </c>
      <c r="F13" s="77" t="n">
        <v>95.3</v>
      </c>
      <c r="G13" s="77" t="n">
        <v>56.8</v>
      </c>
      <c r="H13" s="77" t="n">
        <v>67.59999999999999</v>
      </c>
      <c r="I13" s="77" t="n">
        <v>88.7</v>
      </c>
      <c r="J13" s="77" t="n">
        <v>97.09999999999999</v>
      </c>
      <c r="K13" s="77" t="n">
        <v>85.90000000000001</v>
      </c>
      <c r="L13" s="77" t="n">
        <v>91.7</v>
      </c>
      <c r="M13" s="77" t="n">
        <v>76.09999999999999</v>
      </c>
      <c r="N13" s="77" t="n">
        <v>74.59999999999999</v>
      </c>
      <c r="O13" s="77" t="n">
        <v>72.8</v>
      </c>
      <c r="P13" s="77" t="n">
        <v>94</v>
      </c>
      <c r="Q13" s="77" t="n">
        <v>100</v>
      </c>
      <c r="R13" s="77" t="n">
        <v>104.7</v>
      </c>
      <c r="S13" s="77" t="n">
        <v>104.5</v>
      </c>
    </row>
    <row r="15" ht="15" customHeight="1" s="78">
      <c r="A15" s="109" t="inlineStr">
        <is>
          <t>B. DE RAW — Eurostat sts_inpr_a annual NSA, native 2021=100 (S65); last row Destatis GENESIS 42153-0001 (S66)</t>
        </is>
      </c>
      <c r="B15" s="77" t="inlineStr">
        <is>
          <t>Unit</t>
        </is>
      </c>
      <c r="C15" s="77" t="inlineStr">
        <is>
          <t>Case/notes</t>
        </is>
      </c>
      <c r="D15" s="109" t="n">
        <v>2010</v>
      </c>
      <c r="E15" s="109" t="n">
        <v>2011</v>
      </c>
      <c r="F15" s="109" t="n">
        <v>2012</v>
      </c>
      <c r="G15" s="109" t="n">
        <v>2013</v>
      </c>
      <c r="H15" s="109" t="n">
        <v>2014</v>
      </c>
      <c r="I15" s="109" t="n">
        <v>2015</v>
      </c>
      <c r="J15" s="109" t="n">
        <v>2016</v>
      </c>
      <c r="K15" s="109" t="n">
        <v>2017</v>
      </c>
      <c r="L15" s="109" t="n">
        <v>2018</v>
      </c>
      <c r="M15" s="109" t="n">
        <v>2019</v>
      </c>
      <c r="N15" s="109" t="n">
        <v>2020</v>
      </c>
      <c r="O15" s="109" t="n">
        <v>2021</v>
      </c>
      <c r="P15" s="109" t="n">
        <v>2022</v>
      </c>
      <c r="Q15" s="109" t="n">
        <v>2023</v>
      </c>
      <c r="R15" s="109" t="n">
        <v>2024</v>
      </c>
      <c r="S15" s="109" t="n">
        <v>2025</v>
      </c>
    </row>
    <row r="16" ht="15" customHeight="1" s="78">
      <c r="A16" s="77" t="inlineStr">
        <is>
          <t>DE C manufacturing (context)</t>
        </is>
      </c>
      <c r="B16" s="77" t="inlineStr">
        <is>
          <t>index 2021=100</t>
        </is>
      </c>
      <c r="C16" s="77" t="inlineStr">
        <is>
          <t>Eurostat sts_inpr_a NSA (CA checked, ≤0.6pt diff)</t>
        </is>
      </c>
      <c r="D16" s="77" t="n">
        <v>93.2</v>
      </c>
      <c r="E16" s="77" t="n">
        <v>101.1</v>
      </c>
      <c r="F16" s="77" t="n">
        <v>100</v>
      </c>
      <c r="G16" s="77" t="n">
        <v>99.90000000000001</v>
      </c>
      <c r="H16" s="77" t="n">
        <v>101.9</v>
      </c>
      <c r="I16" s="77" t="n">
        <v>103</v>
      </c>
      <c r="J16" s="77" t="n">
        <v>104.1</v>
      </c>
      <c r="K16" s="77" t="n">
        <v>106.9</v>
      </c>
      <c r="L16" s="77" t="n">
        <v>108.1</v>
      </c>
      <c r="M16" s="77" t="n">
        <v>104.7</v>
      </c>
      <c r="N16" s="77" t="n">
        <v>95.40000000000001</v>
      </c>
      <c r="O16" s="77" t="n">
        <v>100</v>
      </c>
      <c r="P16" s="77" t="n">
        <v>99.8</v>
      </c>
      <c r="Q16" s="77" t="n">
        <v>98.59999999999999</v>
      </c>
      <c r="R16" s="77" t="n">
        <v>93.8</v>
      </c>
      <c r="S16" s="77" t="n">
        <v>92.8</v>
      </c>
    </row>
    <row r="17" ht="15" customHeight="1" s="78">
      <c r="A17" s="77" t="inlineStr">
        <is>
          <t>DE C17 paper &amp; paper products</t>
        </is>
      </c>
      <c r="B17" s="77" t="inlineStr">
        <is>
          <t>index 2021=100</t>
        </is>
      </c>
      <c r="C17" s="77" t="inlineStr">
        <is>
          <t>Eurostat sts_inpr_a NSA (CA checked, ≤0.6pt diff)</t>
        </is>
      </c>
      <c r="D17" s="77" t="n">
        <v>104.3</v>
      </c>
      <c r="E17" s="77" t="n">
        <v>104.9</v>
      </c>
      <c r="F17" s="77" t="n">
        <v>102.6</v>
      </c>
      <c r="G17" s="77" t="n">
        <v>101.2</v>
      </c>
      <c r="H17" s="77" t="n">
        <v>100.2</v>
      </c>
      <c r="I17" s="77" t="n">
        <v>100.9</v>
      </c>
      <c r="J17" s="77" t="n">
        <v>99.90000000000001</v>
      </c>
      <c r="K17" s="77" t="n">
        <v>100.8</v>
      </c>
      <c r="L17" s="77" t="n">
        <v>100.2</v>
      </c>
      <c r="M17" s="77" t="n">
        <v>98.09999999999999</v>
      </c>
      <c r="N17" s="77" t="n">
        <v>94.90000000000001</v>
      </c>
      <c r="O17" s="77" t="n">
        <v>100</v>
      </c>
      <c r="P17" s="77" t="n">
        <v>94.40000000000001</v>
      </c>
      <c r="Q17" s="77" t="n">
        <v>82.40000000000001</v>
      </c>
      <c r="R17" s="77" t="n">
        <v>82.5</v>
      </c>
      <c r="S17" s="77" t="n">
        <v>80.3</v>
      </c>
    </row>
    <row r="18" ht="15" customHeight="1" s="78">
      <c r="A18" s="77" t="inlineStr">
        <is>
          <t>DE C20 chemicals</t>
        </is>
      </c>
      <c r="B18" s="77" t="inlineStr">
        <is>
          <t>index 2021=100</t>
        </is>
      </c>
      <c r="C18" s="77" t="inlineStr">
        <is>
          <t>Eurostat sts_inpr_a NSA (CA checked, ≤0.6pt diff)</t>
        </is>
      </c>
      <c r="D18" s="77" t="n">
        <v>102.1</v>
      </c>
      <c r="E18" s="77" t="n">
        <v>103.1</v>
      </c>
      <c r="F18" s="77" t="n">
        <v>100.2</v>
      </c>
      <c r="G18" s="77" t="n">
        <v>100.7</v>
      </c>
      <c r="H18" s="77" t="n">
        <v>99.40000000000001</v>
      </c>
      <c r="I18" s="77" t="n">
        <v>99</v>
      </c>
      <c r="J18" s="77" t="n">
        <v>99.3</v>
      </c>
      <c r="K18" s="77" t="n">
        <v>100.7</v>
      </c>
      <c r="L18" s="77" t="n">
        <v>98.5</v>
      </c>
      <c r="M18" s="77" t="n">
        <v>95.5</v>
      </c>
      <c r="N18" s="77" t="n">
        <v>94.59999999999999</v>
      </c>
      <c r="O18" s="77" t="n">
        <v>100</v>
      </c>
      <c r="P18" s="77" t="n">
        <v>89.90000000000001</v>
      </c>
      <c r="Q18" s="77" t="n">
        <v>78.59999999999999</v>
      </c>
      <c r="R18" s="77" t="n">
        <v>80.90000000000001</v>
      </c>
      <c r="S18" s="77" t="n">
        <v>78.40000000000001</v>
      </c>
    </row>
    <row r="19" ht="15" customHeight="1" s="78">
      <c r="A19" s="77" t="inlineStr">
        <is>
          <t>DE C23 other non-metallic minerals</t>
        </is>
      </c>
      <c r="B19" s="77" t="inlineStr">
        <is>
          <t>index 2021=100</t>
        </is>
      </c>
      <c r="C19" s="77" t="inlineStr">
        <is>
          <t>Eurostat sts_inpr_a NSA (CA checked, ≤0.6pt diff)</t>
        </is>
      </c>
      <c r="D19" s="77" t="n">
        <v>89.59999999999999</v>
      </c>
      <c r="E19" s="77" t="n">
        <v>96.90000000000001</v>
      </c>
      <c r="F19" s="77" t="n">
        <v>92.59999999999999</v>
      </c>
      <c r="G19" s="77" t="n">
        <v>92.09999999999999</v>
      </c>
      <c r="H19" s="77" t="n">
        <v>94.2</v>
      </c>
      <c r="I19" s="77" t="n">
        <v>94.09999999999999</v>
      </c>
      <c r="J19" s="77" t="n">
        <v>96.8</v>
      </c>
      <c r="K19" s="77" t="n">
        <v>98.40000000000001</v>
      </c>
      <c r="L19" s="77" t="n">
        <v>98.8</v>
      </c>
      <c r="M19" s="77" t="n">
        <v>97.3</v>
      </c>
      <c r="N19" s="77" t="n">
        <v>95.3</v>
      </c>
      <c r="O19" s="77" t="n">
        <v>100</v>
      </c>
      <c r="P19" s="77" t="n">
        <v>97.40000000000001</v>
      </c>
      <c r="Q19" s="77" t="n">
        <v>83.3</v>
      </c>
      <c r="R19" s="77" t="n">
        <v>79.8</v>
      </c>
      <c r="S19" s="77" t="n">
        <v>77.7</v>
      </c>
    </row>
    <row r="20" ht="15" customHeight="1" s="78">
      <c r="A20" s="77" t="inlineStr">
        <is>
          <t>DE C231 glass &amp; glass products</t>
        </is>
      </c>
      <c r="B20" s="77" t="inlineStr">
        <is>
          <t>index 2021=100</t>
        </is>
      </c>
      <c r="C20" s="77" t="inlineStr">
        <is>
          <t>Eurostat sts_inpr_a NSA (CA checked, ≤0.6pt diff)</t>
        </is>
      </c>
      <c r="D20" s="77" t="n">
        <v>96.40000000000001</v>
      </c>
      <c r="E20" s="77" t="n">
        <v>99.2</v>
      </c>
      <c r="F20" s="77" t="n">
        <v>93.59999999999999</v>
      </c>
      <c r="G20" s="77" t="n">
        <v>95.3</v>
      </c>
      <c r="H20" s="77" t="n">
        <v>97.59999999999999</v>
      </c>
      <c r="I20" s="77" t="n">
        <v>97.7</v>
      </c>
      <c r="J20" s="77" t="n">
        <v>100.4</v>
      </c>
      <c r="K20" s="77" t="n">
        <v>102.1</v>
      </c>
      <c r="L20" s="77" t="n">
        <v>102.7</v>
      </c>
      <c r="M20" s="77" t="n">
        <v>96</v>
      </c>
      <c r="N20" s="77" t="n">
        <v>93.5</v>
      </c>
      <c r="O20" s="77" t="n">
        <v>100</v>
      </c>
      <c r="P20" s="77" t="n">
        <v>99.90000000000001</v>
      </c>
      <c r="Q20" s="77" t="n">
        <v>89.2</v>
      </c>
      <c r="R20" s="77" t="n">
        <v>86.2</v>
      </c>
      <c r="S20" s="77" t="n">
        <v>80</v>
      </c>
    </row>
    <row r="21" ht="15" customHeight="1" s="78">
      <c r="A21" s="77" t="inlineStr">
        <is>
          <t>DE C2351 cement</t>
        </is>
      </c>
      <c r="B21" s="77" t="inlineStr">
        <is>
          <t>index 2021=100</t>
        </is>
      </c>
      <c r="C21" s="77" t="inlineStr">
        <is>
          <t>Eurostat sts_inpr_a NSA (CA checked, ≤0.6pt diff)</t>
        </is>
      </c>
      <c r="D21" s="77" t="n">
        <v>77.59999999999999</v>
      </c>
      <c r="E21" s="77" t="n">
        <v>87.8</v>
      </c>
      <c r="F21" s="77" t="n">
        <v>84.09999999999999</v>
      </c>
      <c r="G21" s="77" t="n">
        <v>82.09999999999999</v>
      </c>
      <c r="H21" s="77" t="n">
        <v>87.09999999999999</v>
      </c>
      <c r="I21" s="77" t="n">
        <v>87.3</v>
      </c>
      <c r="J21" s="77" t="n">
        <v>90.09999999999999</v>
      </c>
      <c r="K21" s="77" t="n">
        <v>93.2</v>
      </c>
      <c r="L21" s="77" t="n">
        <v>94.3</v>
      </c>
      <c r="M21" s="77" t="n">
        <v>96.2</v>
      </c>
      <c r="N21" s="77" t="n">
        <v>100.3</v>
      </c>
      <c r="O21" s="77" t="n">
        <v>100</v>
      </c>
      <c r="P21" s="77" t="n">
        <v>92.90000000000001</v>
      </c>
      <c r="Q21" s="77" t="n">
        <v>82.59999999999999</v>
      </c>
      <c r="R21" s="77" t="n">
        <v>77.3</v>
      </c>
      <c r="S21" s="77" t="n">
        <v>76.5</v>
      </c>
    </row>
    <row r="22" ht="15" customHeight="1" s="78">
      <c r="A22" s="77" t="inlineStr">
        <is>
          <t>DE C24 basic metals</t>
        </is>
      </c>
      <c r="B22" s="77" t="inlineStr">
        <is>
          <t>index 2021=100</t>
        </is>
      </c>
      <c r="C22" s="77" t="inlineStr">
        <is>
          <t>Eurostat sts_inpr_a NSA (CA checked, ≤0.6pt diff)</t>
        </is>
      </c>
      <c r="D22" s="77" t="n">
        <v>106.7</v>
      </c>
      <c r="E22" s="77" t="n">
        <v>111.7</v>
      </c>
      <c r="F22" s="77" t="n">
        <v>107.5</v>
      </c>
      <c r="G22" s="77" t="n">
        <v>106.8</v>
      </c>
      <c r="H22" s="77" t="n">
        <v>109.9</v>
      </c>
      <c r="I22" s="77" t="n">
        <v>110</v>
      </c>
      <c r="J22" s="77" t="n">
        <v>108.6</v>
      </c>
      <c r="K22" s="77" t="n">
        <v>111.3</v>
      </c>
      <c r="L22" s="77" t="n">
        <v>111.5</v>
      </c>
      <c r="M22" s="77" t="n">
        <v>104.6</v>
      </c>
      <c r="N22" s="77" t="n">
        <v>91.09999999999999</v>
      </c>
      <c r="O22" s="77" t="n">
        <v>100</v>
      </c>
      <c r="P22" s="77" t="n">
        <v>96</v>
      </c>
      <c r="Q22" s="77" t="n">
        <v>91.59999999999999</v>
      </c>
      <c r="R22" s="77" t="n">
        <v>90</v>
      </c>
      <c r="S22" s="77" t="n">
        <v>88.09999999999999</v>
      </c>
    </row>
    <row r="23" ht="15" customHeight="1" s="78">
      <c r="A23" s="77" t="inlineStr">
        <is>
          <t>DE C241 basic iron &amp; steel</t>
        </is>
      </c>
      <c r="B23" s="77" t="inlineStr">
        <is>
          <t>index 2021=100</t>
        </is>
      </c>
      <c r="C23" s="77" t="inlineStr">
        <is>
          <t>Eurostat sts_inpr_a NSA (CA checked, ≤0.6pt diff)</t>
        </is>
      </c>
      <c r="D23" s="77" t="n">
        <v>111.2</v>
      </c>
      <c r="E23" s="77" t="n">
        <v>112.5</v>
      </c>
      <c r="F23" s="77" t="n">
        <v>106.3</v>
      </c>
      <c r="G23" s="77" t="n">
        <v>106</v>
      </c>
      <c r="H23" s="77" t="n">
        <v>108</v>
      </c>
      <c r="I23" s="77" t="n">
        <v>106.6</v>
      </c>
      <c r="J23" s="77" t="n">
        <v>106.3</v>
      </c>
      <c r="K23" s="77" t="n">
        <v>108.5</v>
      </c>
      <c r="L23" s="77" t="n">
        <v>105.8</v>
      </c>
      <c r="M23" s="77" t="n">
        <v>100.2</v>
      </c>
      <c r="N23" s="77" t="n">
        <v>89.2</v>
      </c>
      <c r="O23" s="77" t="n">
        <v>100</v>
      </c>
      <c r="P23" s="77" t="n">
        <v>90.59999999999999</v>
      </c>
      <c r="Q23" s="77" t="n">
        <v>87.90000000000001</v>
      </c>
      <c r="R23" s="77" t="n">
        <v>91.7</v>
      </c>
      <c r="S23" s="77" t="n">
        <v>86.59999999999999</v>
      </c>
    </row>
    <row r="24" ht="15" customHeight="1" s="78">
      <c r="A24" s="77" t="inlineStr">
        <is>
          <t>DE C244 non-ferrous metals</t>
        </is>
      </c>
      <c r="B24" s="77" t="inlineStr">
        <is>
          <t>index 2021=100</t>
        </is>
      </c>
      <c r="C24" s="77" t="inlineStr">
        <is>
          <t>Eurostat sts_inpr_a NSA (CA checked, ≤0.6pt diff)</t>
        </is>
      </c>
      <c r="D24" s="77" t="n">
        <v>98.5</v>
      </c>
      <c r="E24" s="77" t="n">
        <v>99</v>
      </c>
      <c r="F24" s="77" t="n">
        <v>94.5</v>
      </c>
      <c r="G24" s="77" t="n">
        <v>96.59999999999999</v>
      </c>
      <c r="H24" s="77" t="n">
        <v>99.8</v>
      </c>
      <c r="I24" s="77" t="n">
        <v>101</v>
      </c>
      <c r="J24" s="77" t="n">
        <v>99.59999999999999</v>
      </c>
      <c r="K24" s="77" t="n">
        <v>101.2</v>
      </c>
      <c r="L24" s="77" t="n">
        <v>101.1</v>
      </c>
      <c r="M24" s="77" t="n">
        <v>98.8</v>
      </c>
      <c r="N24" s="77" t="n">
        <v>91.59999999999999</v>
      </c>
      <c r="O24" s="77" t="n">
        <v>100</v>
      </c>
      <c r="P24" s="77" t="n">
        <v>97.8</v>
      </c>
      <c r="Q24" s="77" t="n">
        <v>89.59999999999999</v>
      </c>
      <c r="R24" s="77" t="n">
        <v>92.2</v>
      </c>
      <c r="S24" s="77" t="n">
        <v>95.7</v>
      </c>
    </row>
    <row r="25" ht="15" customHeight="1" s="78">
      <c r="A25" s="77" t="inlineStr">
        <is>
          <t>DE Energieintensive Industriezweige (WZ 17+19+20+23+24)</t>
        </is>
      </c>
      <c r="B25" s="77" t="inlineStr">
        <is>
          <t>index 2021=100</t>
        </is>
      </c>
      <c r="C25" s="77" t="inlineStr">
        <is>
          <t>estimated=Y (own annual mean of 12 monthly originals, WERTORG)</t>
        </is>
      </c>
      <c r="D25" s="77" t="n">
        <v>100.95</v>
      </c>
      <c r="E25" s="77" t="n">
        <v>103.78</v>
      </c>
      <c r="F25" s="77" t="n">
        <v>100.78</v>
      </c>
      <c r="G25" s="77" t="n">
        <v>100.42</v>
      </c>
      <c r="H25" s="77" t="n">
        <v>100.68</v>
      </c>
      <c r="I25" s="77" t="n">
        <v>100.81</v>
      </c>
      <c r="J25" s="77" t="n">
        <v>101.03</v>
      </c>
      <c r="K25" s="77" t="n">
        <v>102.58</v>
      </c>
      <c r="L25" s="77" t="n">
        <v>101.51</v>
      </c>
      <c r="M25" s="77" t="n">
        <v>98.11</v>
      </c>
      <c r="N25" s="77" t="n">
        <v>94.20999999999999</v>
      </c>
      <c r="O25" s="77" t="n">
        <v>99.98999999999999</v>
      </c>
      <c r="P25" s="77" t="n">
        <v>94.2</v>
      </c>
      <c r="Q25" s="77" t="n">
        <v>83.41</v>
      </c>
      <c r="R25" s="77" t="n">
        <v>83.90000000000001</v>
      </c>
      <c r="S25" s="77" t="n">
        <v>81.64</v>
      </c>
    </row>
    <row r="27" ht="16.5" customHeight="1" s="78">
      <c r="A27" s="109" t="inlineStr">
        <is>
          <t>C. CN RAW — NBS 规模以上工业增加值 real YoY growth %, same-scope 同口径 (S67 Dec releases / S68 communiqués); VALUE-ADDED, not output</t>
        </is>
      </c>
      <c r="B27" s="77" t="inlineStr">
        <is>
          <t>Unit</t>
        </is>
      </c>
      <c r="C27" s="77" t="inlineStr">
        <is>
          <t>Case/notes</t>
        </is>
      </c>
      <c r="D27" s="109" t="n">
        <v>2010</v>
      </c>
      <c r="E27" s="109" t="n">
        <v>2011</v>
      </c>
      <c r="F27" s="109" t="n">
        <v>2012</v>
      </c>
      <c r="G27" s="109" t="n">
        <v>2013</v>
      </c>
      <c r="H27" s="109" t="n">
        <v>2014</v>
      </c>
      <c r="I27" s="109" t="n">
        <v>2015</v>
      </c>
      <c r="J27" s="109" t="n">
        <v>2016</v>
      </c>
      <c r="K27" s="109" t="n">
        <v>2017</v>
      </c>
      <c r="L27" s="109" t="n">
        <v>2018</v>
      </c>
      <c r="M27" s="109" t="n">
        <v>2019</v>
      </c>
      <c r="N27" s="109" t="n">
        <v>2020</v>
      </c>
      <c r="O27" s="109" t="n">
        <v>2021</v>
      </c>
      <c r="P27" s="109" t="n">
        <v>2022</v>
      </c>
      <c r="Q27" s="109" t="n">
        <v>2023</v>
      </c>
      <c r="R27" s="109" t="n">
        <v>2024</v>
      </c>
      <c r="S27" s="109" t="n">
        <v>2025</v>
      </c>
    </row>
    <row r="28" ht="16.5" customHeight="1" s="78">
      <c r="A28" s="77" t="inlineStr">
        <is>
          <t>CN 规模以上工业 total (context)</t>
        </is>
      </c>
      <c r="B28" s="77" t="inlineStr">
        <is>
          <t>% real YoY</t>
        </is>
      </c>
      <c r="C28" s="77" t="inlineStr">
        <is>
          <t>2011 rates under GB/T 4754-2002 names (及); threshold break 2011 (≥20m yuan)</t>
        </is>
      </c>
      <c r="D28" s="77" t="inlineStr">
        <is>
          <t>—</t>
        </is>
      </c>
      <c r="E28" s="77" t="n">
        <v>13.9</v>
      </c>
      <c r="F28" s="77" t="n">
        <v>10</v>
      </c>
      <c r="G28" s="77" t="n">
        <v>9.699999999999999</v>
      </c>
      <c r="H28" s="77" t="n">
        <v>8.300000000000001</v>
      </c>
      <c r="I28" s="77" t="n">
        <v>6.1</v>
      </c>
      <c r="J28" s="77" t="n">
        <v>6</v>
      </c>
      <c r="K28" s="77" t="n">
        <v>6.6</v>
      </c>
      <c r="L28" s="77" t="n">
        <v>6.2</v>
      </c>
      <c r="M28" s="77" t="n">
        <v>5.7</v>
      </c>
      <c r="N28" s="77" t="n">
        <v>2.8</v>
      </c>
      <c r="O28" s="77" t="n">
        <v>9.6</v>
      </c>
      <c r="P28" s="77" t="n">
        <v>3.6</v>
      </c>
      <c r="Q28" s="77" t="n">
        <v>4.6</v>
      </c>
      <c r="R28" s="77" t="n">
        <v>5.8</v>
      </c>
      <c r="S28" s="77" t="n">
        <v>5.9</v>
      </c>
    </row>
    <row r="29" ht="16.5" customHeight="1" s="78">
      <c r="A29" s="77" t="inlineStr">
        <is>
          <t>CN 制造业 (stored, NOT chained — unpublished 2011-12)</t>
        </is>
      </c>
      <c r="B29" s="77" t="inlineStr">
        <is>
          <t>% real YoY</t>
        </is>
      </c>
      <c r="C29" s="77" t="inlineStr">
        <is>
          <t>2011 rates under GB/T 4754-2002 names (及); threshold break 2011 (≥20m yuan)</t>
        </is>
      </c>
      <c r="D29" s="77" t="inlineStr">
        <is>
          <t>—</t>
        </is>
      </c>
      <c r="G29" s="77" t="n">
        <v>10.5</v>
      </c>
      <c r="H29" s="77" t="n">
        <v>9.4</v>
      </c>
      <c r="I29" s="77" t="n">
        <v>7</v>
      </c>
      <c r="J29" s="77" t="n">
        <v>6.8</v>
      </c>
      <c r="K29" s="77" t="n">
        <v>7.2</v>
      </c>
      <c r="L29" s="77" t="n">
        <v>6.5</v>
      </c>
      <c r="M29" s="77" t="n">
        <v>6</v>
      </c>
      <c r="N29" s="77" t="n">
        <v>3.4</v>
      </c>
      <c r="O29" s="77" t="n">
        <v>9.800000000000001</v>
      </c>
      <c r="P29" s="77" t="n">
        <v>3</v>
      </c>
      <c r="Q29" s="77" t="n">
        <v>5</v>
      </c>
      <c r="R29" s="77" t="n">
        <v>6.1</v>
      </c>
      <c r="S29" s="77" t="n">
        <v>6.4</v>
      </c>
    </row>
    <row r="30" ht="16.5" customHeight="1" s="78">
      <c r="A30" s="77" t="inlineStr">
        <is>
          <t>CN 化学原料和化学制品制造业 chemicals</t>
        </is>
      </c>
      <c r="B30" s="77" t="inlineStr">
        <is>
          <t>% real YoY</t>
        </is>
      </c>
      <c r="C30" s="77" t="inlineStr">
        <is>
          <t>2011 rates under GB/T 4754-2002 names (及); threshold break 2011 (≥20m yuan)</t>
        </is>
      </c>
      <c r="D30" s="77" t="inlineStr">
        <is>
          <t>—</t>
        </is>
      </c>
      <c r="E30" s="77" t="n">
        <v>14.7</v>
      </c>
      <c r="F30" s="77" t="n">
        <v>11.7</v>
      </c>
      <c r="G30" s="77" t="n">
        <v>12.1</v>
      </c>
      <c r="H30" s="77" t="n">
        <v>10.3</v>
      </c>
      <c r="I30" s="77" t="n">
        <v>9.5</v>
      </c>
      <c r="J30" s="77" t="n">
        <v>7.7</v>
      </c>
      <c r="K30" s="77" t="n">
        <v>3.8</v>
      </c>
      <c r="L30" s="77" t="n">
        <v>3.6</v>
      </c>
      <c r="M30" s="77" t="n">
        <v>4.7</v>
      </c>
      <c r="N30" s="77" t="n">
        <v>3.4</v>
      </c>
      <c r="O30" s="77" t="n">
        <v>7.7</v>
      </c>
      <c r="P30" s="77" t="n">
        <v>6.6</v>
      </c>
      <c r="Q30" s="77" t="n">
        <v>9.6</v>
      </c>
      <c r="R30" s="77" t="n">
        <v>8.9</v>
      </c>
      <c r="S30" s="77" t="n">
        <v>7.8</v>
      </c>
    </row>
    <row r="31" ht="16.5" customHeight="1" s="78">
      <c r="A31" s="77" t="inlineStr">
        <is>
          <t>CN 非金属矿物制品业 non-metallic minerals</t>
        </is>
      </c>
      <c r="B31" s="77" t="inlineStr">
        <is>
          <t>% real YoY</t>
        </is>
      </c>
      <c r="C31" s="77" t="inlineStr">
        <is>
          <t>2011 rates under GB/T 4754-2002 names (及); threshold break 2011 (≥20m yuan)</t>
        </is>
      </c>
      <c r="D31" s="77" t="inlineStr">
        <is>
          <t>—</t>
        </is>
      </c>
      <c r="E31" s="77" t="n">
        <v>18.4</v>
      </c>
      <c r="F31" s="77" t="n">
        <v>11.2</v>
      </c>
      <c r="G31" s="77" t="n">
        <v>11.5</v>
      </c>
      <c r="H31" s="77" t="n">
        <v>9.300000000000001</v>
      </c>
      <c r="I31" s="77" t="n">
        <v>6.5</v>
      </c>
      <c r="J31" s="77" t="n">
        <v>6.5</v>
      </c>
      <c r="K31" s="77" t="n">
        <v>3.7</v>
      </c>
      <c r="L31" s="77" t="n">
        <v>4.6</v>
      </c>
      <c r="M31" s="77" t="n">
        <v>8.9</v>
      </c>
      <c r="N31" s="77" t="n">
        <v>2.8</v>
      </c>
      <c r="O31" s="77" t="n">
        <v>8</v>
      </c>
      <c r="P31" s="77" t="n">
        <v>-1.5</v>
      </c>
      <c r="Q31" s="77" t="n">
        <v>-0.5</v>
      </c>
      <c r="R31" s="77" t="n">
        <v>-1.4</v>
      </c>
      <c r="S31" s="77" t="n">
        <v>-0.6</v>
      </c>
    </row>
    <row r="32" ht="16.5" customHeight="1" s="78">
      <c r="A32" s="77" t="inlineStr">
        <is>
          <t>CN 黑色金属冶炼和压延加工业 ferrous</t>
        </is>
      </c>
      <c r="B32" s="77" t="inlineStr">
        <is>
          <t>% real YoY</t>
        </is>
      </c>
      <c r="C32" s="77" t="inlineStr">
        <is>
          <t>2011 rates under GB/T 4754-2002 names (及); threshold break 2011 (≥20m yuan)</t>
        </is>
      </c>
      <c r="D32" s="77" t="inlineStr">
        <is>
          <t>—</t>
        </is>
      </c>
      <c r="E32" s="77" t="n">
        <v>9.699999999999999</v>
      </c>
      <c r="F32" s="77" t="n">
        <v>9.5</v>
      </c>
      <c r="G32" s="77" t="n">
        <v>9.9</v>
      </c>
      <c r="H32" s="77" t="n">
        <v>6.2</v>
      </c>
      <c r="I32" s="77" t="n">
        <v>5.4</v>
      </c>
      <c r="J32" s="77" t="n">
        <v>-1.7</v>
      </c>
      <c r="K32" s="77" t="n">
        <v>0.3</v>
      </c>
      <c r="L32" s="77" t="n">
        <v>7</v>
      </c>
      <c r="M32" s="77" t="n">
        <v>9.9</v>
      </c>
      <c r="N32" s="77" t="n">
        <v>6.7</v>
      </c>
      <c r="O32" s="77" t="n">
        <v>1.2</v>
      </c>
      <c r="P32" s="77" t="n">
        <v>1.2</v>
      </c>
      <c r="Q32" s="77" t="n">
        <v>7.1</v>
      </c>
      <c r="R32" s="77" t="n">
        <v>4</v>
      </c>
      <c r="S32" s="77" t="n">
        <v>4.5</v>
      </c>
    </row>
    <row r="33" ht="16.5" customHeight="1" s="78">
      <c r="A33" s="77" t="inlineStr">
        <is>
          <t>CN 有色金属冶炼和压延加工业 non-ferrous</t>
        </is>
      </c>
      <c r="B33" s="77" t="inlineStr">
        <is>
          <t>% real YoY</t>
        </is>
      </c>
      <c r="C33" s="77" t="inlineStr">
        <is>
          <t>2011 rates under GB/T 4754-2002 names (及); threshold break 2011 (≥20m yuan)</t>
        </is>
      </c>
      <c r="D33" s="77" t="inlineStr">
        <is>
          <t>—</t>
        </is>
      </c>
      <c r="E33" s="77" t="n">
        <v>13.6</v>
      </c>
      <c r="F33" s="77" t="n">
        <v>13.2</v>
      </c>
      <c r="G33" s="77" t="n">
        <v>14.6</v>
      </c>
      <c r="H33" s="77" t="n">
        <v>12.4</v>
      </c>
      <c r="I33" s="77" t="n">
        <v>11.3</v>
      </c>
      <c r="J33" s="77" t="n">
        <v>6.2</v>
      </c>
      <c r="K33" s="77" t="n">
        <v>1.5</v>
      </c>
      <c r="L33" s="77" t="n">
        <v>7.8</v>
      </c>
      <c r="M33" s="77" t="n">
        <v>9.199999999999999</v>
      </c>
      <c r="N33" s="77" t="n">
        <v>2.5</v>
      </c>
      <c r="O33" s="77" t="n">
        <v>3.9</v>
      </c>
      <c r="P33" s="77" t="n">
        <v>5.2</v>
      </c>
      <c r="Q33" s="77" t="n">
        <v>8.800000000000001</v>
      </c>
      <c r="R33" s="77" t="n">
        <v>9.699999999999999</v>
      </c>
      <c r="S33" s="77" t="n">
        <v>6.8</v>
      </c>
    </row>
    <row r="34" ht="16.5" customHeight="1" s="78">
      <c r="A34" s="77" t="inlineStr">
        <is>
          <t>CN 造纸和纸制品业 paper — NOT constructible (Q37)</t>
        </is>
      </c>
      <c r="B34" s="77" t="inlineStr">
        <is>
          <t>% real YoY</t>
        </is>
      </c>
      <c r="C34" s="77" t="inlineStr">
        <is>
          <t>paper: 2011-17 unpublished; 2018-20/2023-25 Tier-3 only, NOT entered (Q37); 2021-22 NDRC-official S70</t>
        </is>
      </c>
      <c r="D34" s="77" t="inlineStr">
        <is>
          <t>—</t>
        </is>
      </c>
      <c r="O34" s="77" t="n">
        <v>6.3</v>
      </c>
      <c r="P34" s="77" t="n">
        <v>-0.6</v>
      </c>
    </row>
    <row r="36" ht="15" customHeight="1" s="78">
      <c r="A36" s="109" t="inlineStr">
        <is>
          <t>D. REBASED OUTPUT INDICES, 2010=100 — computed; CN rows CHAINED (estimated=Y, D34); mark 2011 CN break on charts</t>
        </is>
      </c>
      <c r="B36" s="77" t="inlineStr">
        <is>
          <t>Unit</t>
        </is>
      </c>
      <c r="C36" s="77" t="inlineStr">
        <is>
          <t>Case/notes</t>
        </is>
      </c>
      <c r="D36" s="109" t="n">
        <v>2010</v>
      </c>
      <c r="E36" s="109" t="n">
        <v>2011</v>
      </c>
      <c r="F36" s="109" t="n">
        <v>2012</v>
      </c>
      <c r="G36" s="109" t="n">
        <v>2013</v>
      </c>
      <c r="H36" s="109" t="n">
        <v>2014</v>
      </c>
      <c r="I36" s="109" t="n">
        <v>2015</v>
      </c>
      <c r="J36" s="109" t="n">
        <v>2016</v>
      </c>
      <c r="K36" s="109" t="n">
        <v>2017</v>
      </c>
      <c r="L36" s="109" t="n">
        <v>2018</v>
      </c>
      <c r="M36" s="109" t="n">
        <v>2019</v>
      </c>
      <c r="N36" s="109" t="n">
        <v>2020</v>
      </c>
      <c r="O36" s="109" t="n">
        <v>2021</v>
      </c>
      <c r="P36" s="109" t="n">
        <v>2022</v>
      </c>
      <c r="Q36" s="109" t="n">
        <v>2023</v>
      </c>
      <c r="R36" s="109" t="n">
        <v>2024</v>
      </c>
      <c r="S36" s="109" t="n">
        <v>2025</v>
      </c>
    </row>
    <row r="37" ht="15" customHeight="1" s="78">
      <c r="A37" s="77" t="inlineStr">
        <is>
          <t>UK B-E production (context)</t>
        </is>
      </c>
      <c r="B37" s="77" t="inlineStr">
        <is>
          <t>index 2010=100</t>
        </is>
      </c>
      <c r="C37" s="77" t="inlineStr">
        <is>
          <t>native/native2010×100</t>
        </is>
      </c>
      <c r="D37" s="77">
        <f>D6/$D$6*100</f>
        <v/>
      </c>
      <c r="E37" s="77">
        <f>E6/$D$6*100</f>
        <v/>
      </c>
      <c r="F37" s="77">
        <f>F6/$D$6*100</f>
        <v/>
      </c>
      <c r="G37" s="77">
        <f>G6/$D$6*100</f>
        <v/>
      </c>
      <c r="H37" s="77">
        <f>H6/$D$6*100</f>
        <v/>
      </c>
      <c r="I37" s="77">
        <f>I6/$D$6*100</f>
        <v/>
      </c>
      <c r="J37" s="77">
        <f>J6/$D$6*100</f>
        <v/>
      </c>
      <c r="K37" s="77">
        <f>K6/$D$6*100</f>
        <v/>
      </c>
      <c r="L37" s="77">
        <f>L6/$D$6*100</f>
        <v/>
      </c>
      <c r="M37" s="77">
        <f>M6/$D$6*100</f>
        <v/>
      </c>
      <c r="N37" s="77">
        <f>N6/$D$6*100</f>
        <v/>
      </c>
      <c r="O37" s="77">
        <f>O6/$D$6*100</f>
        <v/>
      </c>
      <c r="P37" s="77">
        <f>P6/$D$6*100</f>
        <v/>
      </c>
      <c r="Q37" s="77">
        <f>Q6/$D$6*100</f>
        <v/>
      </c>
      <c r="R37" s="77">
        <f>R6/$D$6*100</f>
        <v/>
      </c>
      <c r="S37" s="77">
        <f>S6/$D$6*100</f>
        <v/>
      </c>
    </row>
    <row r="38" ht="15" customHeight="1" s="78">
      <c r="A38" s="77" t="inlineStr">
        <is>
          <t>UK C manufacturing (context)</t>
        </is>
      </c>
      <c r="B38" s="77" t="inlineStr">
        <is>
          <t>index 2010=100</t>
        </is>
      </c>
      <c r="C38" s="77" t="inlineStr">
        <is>
          <t>native/native2010×100</t>
        </is>
      </c>
      <c r="D38" s="77">
        <f>D7/$D$7*100</f>
        <v/>
      </c>
      <c r="E38" s="77">
        <f>E7/$D$7*100</f>
        <v/>
      </c>
      <c r="F38" s="77">
        <f>F7/$D$7*100</f>
        <v/>
      </c>
      <c r="G38" s="77">
        <f>G7/$D$7*100</f>
        <v/>
      </c>
      <c r="H38" s="77">
        <f>H7/$D$7*100</f>
        <v/>
      </c>
      <c r="I38" s="77">
        <f>I7/$D$7*100</f>
        <v/>
      </c>
      <c r="J38" s="77">
        <f>J7/$D$7*100</f>
        <v/>
      </c>
      <c r="K38" s="77">
        <f>K7/$D$7*100</f>
        <v/>
      </c>
      <c r="L38" s="77">
        <f>L7/$D$7*100</f>
        <v/>
      </c>
      <c r="M38" s="77">
        <f>M7/$D$7*100</f>
        <v/>
      </c>
      <c r="N38" s="77">
        <f>N7/$D$7*100</f>
        <v/>
      </c>
      <c r="O38" s="77">
        <f>O7/$D$7*100</f>
        <v/>
      </c>
      <c r="P38" s="77">
        <f>P7/$D$7*100</f>
        <v/>
      </c>
      <c r="Q38" s="77">
        <f>Q7/$D$7*100</f>
        <v/>
      </c>
      <c r="R38" s="77">
        <f>R7/$D$7*100</f>
        <v/>
      </c>
      <c r="S38" s="77">
        <f>S7/$D$7*100</f>
        <v/>
      </c>
    </row>
    <row r="39" ht="15" customHeight="1" s="78">
      <c r="A39" s="77" t="inlineStr">
        <is>
          <t>UK 17 paper &amp; paper products</t>
        </is>
      </c>
      <c r="B39" s="77" t="inlineStr">
        <is>
          <t>index 2010=100</t>
        </is>
      </c>
      <c r="C39" s="77" t="inlineStr">
        <is>
          <t>native/native2010×100</t>
        </is>
      </c>
      <c r="D39" s="77">
        <f>D8/$D$8*100</f>
        <v/>
      </c>
      <c r="E39" s="77">
        <f>E8/$D$8*100</f>
        <v/>
      </c>
      <c r="F39" s="77">
        <f>F8/$D$8*100</f>
        <v/>
      </c>
      <c r="G39" s="77">
        <f>G8/$D$8*100</f>
        <v/>
      </c>
      <c r="H39" s="77">
        <f>H8/$D$8*100</f>
        <v/>
      </c>
      <c r="I39" s="77">
        <f>I8/$D$8*100</f>
        <v/>
      </c>
      <c r="J39" s="77">
        <f>J8/$D$8*100</f>
        <v/>
      </c>
      <c r="K39" s="77">
        <f>K8/$D$8*100</f>
        <v/>
      </c>
      <c r="L39" s="77">
        <f>L8/$D$8*100</f>
        <v/>
      </c>
      <c r="M39" s="77">
        <f>M8/$D$8*100</f>
        <v/>
      </c>
      <c r="N39" s="77">
        <f>N8/$D$8*100</f>
        <v/>
      </c>
      <c r="O39" s="77">
        <f>O8/$D$8*100</f>
        <v/>
      </c>
      <c r="P39" s="77">
        <f>P8/$D$8*100</f>
        <v/>
      </c>
      <c r="Q39" s="77">
        <f>Q8/$D$8*100</f>
        <v/>
      </c>
      <c r="R39" s="77">
        <f>R8/$D$8*100</f>
        <v/>
      </c>
      <c r="S39" s="77">
        <f>S8/$D$8*100</f>
        <v/>
      </c>
    </row>
    <row r="40" ht="15" customHeight="1" s="78">
      <c r="A40" s="77" t="inlineStr">
        <is>
          <t>UK 20 chemicals</t>
        </is>
      </c>
      <c r="B40" s="77" t="inlineStr">
        <is>
          <t>index 2010=100</t>
        </is>
      </c>
      <c r="C40" s="77" t="inlineStr">
        <is>
          <t>native/native2010×100</t>
        </is>
      </c>
      <c r="D40" s="77">
        <f>D9/$D$9*100</f>
        <v/>
      </c>
      <c r="E40" s="77">
        <f>E9/$D$9*100</f>
        <v/>
      </c>
      <c r="F40" s="77">
        <f>F9/$D$9*100</f>
        <v/>
      </c>
      <c r="G40" s="77">
        <f>G9/$D$9*100</f>
        <v/>
      </c>
      <c r="H40" s="77">
        <f>H9/$D$9*100</f>
        <v/>
      </c>
      <c r="I40" s="77">
        <f>I9/$D$9*100</f>
        <v/>
      </c>
      <c r="J40" s="77">
        <f>J9/$D$9*100</f>
        <v/>
      </c>
      <c r="K40" s="77">
        <f>K9/$D$9*100</f>
        <v/>
      </c>
      <c r="L40" s="77">
        <f>L9/$D$9*100</f>
        <v/>
      </c>
      <c r="M40" s="77">
        <f>M9/$D$9*100</f>
        <v/>
      </c>
      <c r="N40" s="77">
        <f>N9/$D$9*100</f>
        <v/>
      </c>
      <c r="O40" s="77">
        <f>O9/$D$9*100</f>
        <v/>
      </c>
      <c r="P40" s="77">
        <f>P9/$D$9*100</f>
        <v/>
      </c>
      <c r="Q40" s="77">
        <f>Q9/$D$9*100</f>
        <v/>
      </c>
      <c r="R40" s="77">
        <f>R9/$D$9*100</f>
        <v/>
      </c>
      <c r="S40" s="77">
        <f>S9/$D$9*100</f>
        <v/>
      </c>
    </row>
    <row r="41" ht="15" customHeight="1" s="78">
      <c r="A41" s="77" t="inlineStr">
        <is>
          <t>UK 23 other non-metallic minerals</t>
        </is>
      </c>
      <c r="B41" s="77" t="inlineStr">
        <is>
          <t>index 2010=100</t>
        </is>
      </c>
      <c r="C41" s="77" t="inlineStr">
        <is>
          <t>native/native2010×100</t>
        </is>
      </c>
      <c r="D41" s="77">
        <f>D10/$D$10*100</f>
        <v/>
      </c>
      <c r="E41" s="77">
        <f>E10/$D$10*100</f>
        <v/>
      </c>
      <c r="F41" s="77">
        <f>F10/$D$10*100</f>
        <v/>
      </c>
      <c r="G41" s="77">
        <f>G10/$D$10*100</f>
        <v/>
      </c>
      <c r="H41" s="77">
        <f>H10/$D$10*100</f>
        <v/>
      </c>
      <c r="I41" s="77">
        <f>I10/$D$10*100</f>
        <v/>
      </c>
      <c r="J41" s="77">
        <f>J10/$D$10*100</f>
        <v/>
      </c>
      <c r="K41" s="77">
        <f>K10/$D$10*100</f>
        <v/>
      </c>
      <c r="L41" s="77">
        <f>L10/$D$10*100</f>
        <v/>
      </c>
      <c r="M41" s="77">
        <f>M10/$D$10*100</f>
        <v/>
      </c>
      <c r="N41" s="77">
        <f>N10/$D$10*100</f>
        <v/>
      </c>
      <c r="O41" s="77">
        <f>O10/$D$10*100</f>
        <v/>
      </c>
      <c r="P41" s="77">
        <f>P10/$D$10*100</f>
        <v/>
      </c>
      <c r="Q41" s="77">
        <f>Q10/$D$10*100</f>
        <v/>
      </c>
      <c r="R41" s="77">
        <f>R10/$D$10*100</f>
        <v/>
      </c>
      <c r="S41" s="77">
        <f>S10/$D$10*100</f>
        <v/>
      </c>
    </row>
    <row r="42" ht="15" customHeight="1" s="78">
      <c r="A42" s="77" t="inlineStr">
        <is>
          <t>UK 24 basic metals</t>
        </is>
      </c>
      <c r="B42" s="77" t="inlineStr">
        <is>
          <t>index 2010=100</t>
        </is>
      </c>
      <c r="C42" s="77" t="inlineStr">
        <is>
          <t>native/native2010×100</t>
        </is>
      </c>
      <c r="D42" s="77">
        <f>D11/$D$11*100</f>
        <v/>
      </c>
      <c r="E42" s="77">
        <f>E11/$D$11*100</f>
        <v/>
      </c>
      <c r="F42" s="77">
        <f>F11/$D$11*100</f>
        <v/>
      </c>
      <c r="G42" s="77">
        <f>G11/$D$11*100</f>
        <v/>
      </c>
      <c r="H42" s="77">
        <f>H11/$D$11*100</f>
        <v/>
      </c>
      <c r="I42" s="77">
        <f>I11/$D$11*100</f>
        <v/>
      </c>
      <c r="J42" s="77">
        <f>J11/$D$11*100</f>
        <v/>
      </c>
      <c r="K42" s="77">
        <f>K11/$D$11*100</f>
        <v/>
      </c>
      <c r="L42" s="77">
        <f>L11/$D$11*100</f>
        <v/>
      </c>
      <c r="M42" s="77">
        <f>M11/$D$11*100</f>
        <v/>
      </c>
      <c r="N42" s="77">
        <f>N11/$D$11*100</f>
        <v/>
      </c>
      <c r="O42" s="77">
        <f>O11/$D$11*100</f>
        <v/>
      </c>
      <c r="P42" s="77">
        <f>P11/$D$11*100</f>
        <v/>
      </c>
      <c r="Q42" s="77">
        <f>Q11/$D$11*100</f>
        <v/>
      </c>
      <c r="R42" s="77">
        <f>R11/$D$11*100</f>
        <v/>
      </c>
      <c r="S42" s="77">
        <f>S11/$D$11*100</f>
        <v/>
      </c>
    </row>
    <row r="43" ht="15" customHeight="1" s="78">
      <c r="A43" s="77" t="inlineStr">
        <is>
          <t>UK 24.1-3 basic iron &amp; steel</t>
        </is>
      </c>
      <c r="B43" s="77" t="inlineStr">
        <is>
          <t>index 2010=100</t>
        </is>
      </c>
      <c r="C43" s="77" t="inlineStr">
        <is>
          <t>native/native2010×100</t>
        </is>
      </c>
      <c r="D43" s="77">
        <f>D12/$D$12*100</f>
        <v/>
      </c>
      <c r="E43" s="77">
        <f>E12/$D$12*100</f>
        <v/>
      </c>
      <c r="F43" s="77">
        <f>F12/$D$12*100</f>
        <v/>
      </c>
      <c r="G43" s="77">
        <f>G12/$D$12*100</f>
        <v/>
      </c>
      <c r="H43" s="77">
        <f>H12/$D$12*100</f>
        <v/>
      </c>
      <c r="I43" s="77">
        <f>I12/$D$12*100</f>
        <v/>
      </c>
      <c r="J43" s="77">
        <f>J12/$D$12*100</f>
        <v/>
      </c>
      <c r="K43" s="77">
        <f>K12/$D$12*100</f>
        <v/>
      </c>
      <c r="L43" s="77">
        <f>L12/$D$12*100</f>
        <v/>
      </c>
      <c r="M43" s="77">
        <f>M12/$D$12*100</f>
        <v/>
      </c>
      <c r="N43" s="77">
        <f>N12/$D$12*100</f>
        <v/>
      </c>
      <c r="O43" s="77">
        <f>O12/$D$12*100</f>
        <v/>
      </c>
      <c r="P43" s="77">
        <f>P12/$D$12*100</f>
        <v/>
      </c>
      <c r="Q43" s="77">
        <f>Q12/$D$12*100</f>
        <v/>
      </c>
      <c r="R43" s="77">
        <f>R12/$D$12*100</f>
        <v/>
      </c>
      <c r="S43" s="77">
        <f>S12/$D$12*100</f>
        <v/>
      </c>
    </row>
    <row r="44" ht="15" customHeight="1" s="78">
      <c r="A44" s="77" t="inlineStr">
        <is>
          <t>UK 24.4-5 other basic metals &amp; casting</t>
        </is>
      </c>
      <c r="B44" s="77" t="inlineStr">
        <is>
          <t>index 2010=100</t>
        </is>
      </c>
      <c r="C44" s="77" t="inlineStr">
        <is>
          <t>native/native2010×100</t>
        </is>
      </c>
      <c r="D44" s="77">
        <f>D13/$D$13*100</f>
        <v/>
      </c>
      <c r="E44" s="77">
        <f>E13/$D$13*100</f>
        <v/>
      </c>
      <c r="F44" s="77">
        <f>F13/$D$13*100</f>
        <v/>
      </c>
      <c r="G44" s="77">
        <f>G13/$D$13*100</f>
        <v/>
      </c>
      <c r="H44" s="77">
        <f>H13/$D$13*100</f>
        <v/>
      </c>
      <c r="I44" s="77">
        <f>I13/$D$13*100</f>
        <v/>
      </c>
      <c r="J44" s="77">
        <f>J13/$D$13*100</f>
        <v/>
      </c>
      <c r="K44" s="77">
        <f>K13/$D$13*100</f>
        <v/>
      </c>
      <c r="L44" s="77">
        <f>L13/$D$13*100</f>
        <v/>
      </c>
      <c r="M44" s="77">
        <f>M13/$D$13*100</f>
        <v/>
      </c>
      <c r="N44" s="77">
        <f>N13/$D$13*100</f>
        <v/>
      </c>
      <c r="O44" s="77">
        <f>O13/$D$13*100</f>
        <v/>
      </c>
      <c r="P44" s="77">
        <f>P13/$D$13*100</f>
        <v/>
      </c>
      <c r="Q44" s="77">
        <f>Q13/$D$13*100</f>
        <v/>
      </c>
      <c r="R44" s="77">
        <f>R13/$D$13*100</f>
        <v/>
      </c>
      <c r="S44" s="77">
        <f>S13/$D$13*100</f>
        <v/>
      </c>
    </row>
    <row r="45" ht="15" customHeight="1" s="78">
      <c r="A45" s="77" t="inlineStr">
        <is>
          <t>DE C manufacturing (context)</t>
        </is>
      </c>
      <c r="B45" s="77" t="inlineStr">
        <is>
          <t>index 2010=100</t>
        </is>
      </c>
      <c r="C45" s="77" t="inlineStr">
        <is>
          <t>native/native2010×100</t>
        </is>
      </c>
      <c r="D45" s="77">
        <f>D16/$D$16*100</f>
        <v/>
      </c>
      <c r="E45" s="77">
        <f>E16/$D$16*100</f>
        <v/>
      </c>
      <c r="F45" s="77">
        <f>F16/$D$16*100</f>
        <v/>
      </c>
      <c r="G45" s="77">
        <f>G16/$D$16*100</f>
        <v/>
      </c>
      <c r="H45" s="77">
        <f>H16/$D$16*100</f>
        <v/>
      </c>
      <c r="I45" s="77">
        <f>I16/$D$16*100</f>
        <v/>
      </c>
      <c r="J45" s="77">
        <f>J16/$D$16*100</f>
        <v/>
      </c>
      <c r="K45" s="77">
        <f>K16/$D$16*100</f>
        <v/>
      </c>
      <c r="L45" s="77">
        <f>L16/$D$16*100</f>
        <v/>
      </c>
      <c r="M45" s="77">
        <f>M16/$D$16*100</f>
        <v/>
      </c>
      <c r="N45" s="77">
        <f>N16/$D$16*100</f>
        <v/>
      </c>
      <c r="O45" s="77">
        <f>O16/$D$16*100</f>
        <v/>
      </c>
      <c r="P45" s="77">
        <f>P16/$D$16*100</f>
        <v/>
      </c>
      <c r="Q45" s="77">
        <f>Q16/$D$16*100</f>
        <v/>
      </c>
      <c r="R45" s="77">
        <f>R16/$D$16*100</f>
        <v/>
      </c>
      <c r="S45" s="77">
        <f>S16/$D$16*100</f>
        <v/>
      </c>
    </row>
    <row r="46" ht="15" customHeight="1" s="78">
      <c r="A46" s="77" t="inlineStr">
        <is>
          <t>DE C17 paper &amp; paper products</t>
        </is>
      </c>
      <c r="B46" s="77" t="inlineStr">
        <is>
          <t>index 2010=100</t>
        </is>
      </c>
      <c r="C46" s="77" t="inlineStr">
        <is>
          <t>native/native2010×100</t>
        </is>
      </c>
      <c r="D46" s="77">
        <f>D17/$D$17*100</f>
        <v/>
      </c>
      <c r="E46" s="77">
        <f>E17/$D$17*100</f>
        <v/>
      </c>
      <c r="F46" s="77">
        <f>F17/$D$17*100</f>
        <v/>
      </c>
      <c r="G46" s="77">
        <f>G17/$D$17*100</f>
        <v/>
      </c>
      <c r="H46" s="77">
        <f>H17/$D$17*100</f>
        <v/>
      </c>
      <c r="I46" s="77">
        <f>I17/$D$17*100</f>
        <v/>
      </c>
      <c r="J46" s="77">
        <f>J17/$D$17*100</f>
        <v/>
      </c>
      <c r="K46" s="77">
        <f>K17/$D$17*100</f>
        <v/>
      </c>
      <c r="L46" s="77">
        <f>L17/$D$17*100</f>
        <v/>
      </c>
      <c r="M46" s="77">
        <f>M17/$D$17*100</f>
        <v/>
      </c>
      <c r="N46" s="77">
        <f>N17/$D$17*100</f>
        <v/>
      </c>
      <c r="O46" s="77">
        <f>O17/$D$17*100</f>
        <v/>
      </c>
      <c r="P46" s="77">
        <f>P17/$D$17*100</f>
        <v/>
      </c>
      <c r="Q46" s="77">
        <f>Q17/$D$17*100</f>
        <v/>
      </c>
      <c r="R46" s="77">
        <f>R17/$D$17*100</f>
        <v/>
      </c>
      <c r="S46" s="77">
        <f>S17/$D$17*100</f>
        <v/>
      </c>
    </row>
    <row r="47" ht="15" customHeight="1" s="78">
      <c r="A47" s="77" t="inlineStr">
        <is>
          <t>DE C20 chemicals</t>
        </is>
      </c>
      <c r="B47" s="77" t="inlineStr">
        <is>
          <t>index 2010=100</t>
        </is>
      </c>
      <c r="C47" s="77" t="inlineStr">
        <is>
          <t>native/native2010×100</t>
        </is>
      </c>
      <c r="D47" s="77">
        <f>D18/$D$18*100</f>
        <v/>
      </c>
      <c r="E47" s="77">
        <f>E18/$D$18*100</f>
        <v/>
      </c>
      <c r="F47" s="77">
        <f>F18/$D$18*100</f>
        <v/>
      </c>
      <c r="G47" s="77">
        <f>G18/$D$18*100</f>
        <v/>
      </c>
      <c r="H47" s="77">
        <f>H18/$D$18*100</f>
        <v/>
      </c>
      <c r="I47" s="77">
        <f>I18/$D$18*100</f>
        <v/>
      </c>
      <c r="J47" s="77">
        <f>J18/$D$18*100</f>
        <v/>
      </c>
      <c r="K47" s="77">
        <f>K18/$D$18*100</f>
        <v/>
      </c>
      <c r="L47" s="77">
        <f>L18/$D$18*100</f>
        <v/>
      </c>
      <c r="M47" s="77">
        <f>M18/$D$18*100</f>
        <v/>
      </c>
      <c r="N47" s="77">
        <f>N18/$D$18*100</f>
        <v/>
      </c>
      <c r="O47" s="77">
        <f>O18/$D$18*100</f>
        <v/>
      </c>
      <c r="P47" s="77">
        <f>P18/$D$18*100</f>
        <v/>
      </c>
      <c r="Q47" s="77">
        <f>Q18/$D$18*100</f>
        <v/>
      </c>
      <c r="R47" s="77">
        <f>R18/$D$18*100</f>
        <v/>
      </c>
      <c r="S47" s="77">
        <f>S18/$D$18*100</f>
        <v/>
      </c>
    </row>
    <row r="48" ht="15" customHeight="1" s="78">
      <c r="A48" s="77" t="inlineStr">
        <is>
          <t>DE C23 other non-metallic minerals</t>
        </is>
      </c>
      <c r="B48" s="77" t="inlineStr">
        <is>
          <t>index 2010=100</t>
        </is>
      </c>
      <c r="C48" s="77" t="inlineStr">
        <is>
          <t>native/native2010×100</t>
        </is>
      </c>
      <c r="D48" s="77">
        <f>D19/$D$19*100</f>
        <v/>
      </c>
      <c r="E48" s="77">
        <f>E19/$D$19*100</f>
        <v/>
      </c>
      <c r="F48" s="77">
        <f>F19/$D$19*100</f>
        <v/>
      </c>
      <c r="G48" s="77">
        <f>G19/$D$19*100</f>
        <v/>
      </c>
      <c r="H48" s="77">
        <f>H19/$D$19*100</f>
        <v/>
      </c>
      <c r="I48" s="77">
        <f>I19/$D$19*100</f>
        <v/>
      </c>
      <c r="J48" s="77">
        <f>J19/$D$19*100</f>
        <v/>
      </c>
      <c r="K48" s="77">
        <f>K19/$D$19*100</f>
        <v/>
      </c>
      <c r="L48" s="77">
        <f>L19/$D$19*100</f>
        <v/>
      </c>
      <c r="M48" s="77">
        <f>M19/$D$19*100</f>
        <v/>
      </c>
      <c r="N48" s="77">
        <f>N19/$D$19*100</f>
        <v/>
      </c>
      <c r="O48" s="77">
        <f>O19/$D$19*100</f>
        <v/>
      </c>
      <c r="P48" s="77">
        <f>P19/$D$19*100</f>
        <v/>
      </c>
      <c r="Q48" s="77">
        <f>Q19/$D$19*100</f>
        <v/>
      </c>
      <c r="R48" s="77">
        <f>R19/$D$19*100</f>
        <v/>
      </c>
      <c r="S48" s="77">
        <f>S19/$D$19*100</f>
        <v/>
      </c>
    </row>
    <row r="49" ht="15" customHeight="1" s="78">
      <c r="A49" s="77" t="inlineStr">
        <is>
          <t>DE C231 glass &amp; glass products</t>
        </is>
      </c>
      <c r="B49" s="77" t="inlineStr">
        <is>
          <t>index 2010=100</t>
        </is>
      </c>
      <c r="C49" s="77" t="inlineStr">
        <is>
          <t>native/native2010×100</t>
        </is>
      </c>
      <c r="D49" s="77">
        <f>D20/$D$20*100</f>
        <v/>
      </c>
      <c r="E49" s="77">
        <f>E20/$D$20*100</f>
        <v/>
      </c>
      <c r="F49" s="77">
        <f>F20/$D$20*100</f>
        <v/>
      </c>
      <c r="G49" s="77">
        <f>G20/$D$20*100</f>
        <v/>
      </c>
      <c r="H49" s="77">
        <f>H20/$D$20*100</f>
        <v/>
      </c>
      <c r="I49" s="77">
        <f>I20/$D$20*100</f>
        <v/>
      </c>
      <c r="J49" s="77">
        <f>J20/$D$20*100</f>
        <v/>
      </c>
      <c r="K49" s="77">
        <f>K20/$D$20*100</f>
        <v/>
      </c>
      <c r="L49" s="77">
        <f>L20/$D$20*100</f>
        <v/>
      </c>
      <c r="M49" s="77">
        <f>M20/$D$20*100</f>
        <v/>
      </c>
      <c r="N49" s="77">
        <f>N20/$D$20*100</f>
        <v/>
      </c>
      <c r="O49" s="77">
        <f>O20/$D$20*100</f>
        <v/>
      </c>
      <c r="P49" s="77">
        <f>P20/$D$20*100</f>
        <v/>
      </c>
      <c r="Q49" s="77">
        <f>Q20/$D$20*100</f>
        <v/>
      </c>
      <c r="R49" s="77">
        <f>R20/$D$20*100</f>
        <v/>
      </c>
      <c r="S49" s="77">
        <f>S20/$D$20*100</f>
        <v/>
      </c>
    </row>
    <row r="50" ht="15" customHeight="1" s="78">
      <c r="A50" s="77" t="inlineStr">
        <is>
          <t>DE C2351 cement</t>
        </is>
      </c>
      <c r="B50" s="77" t="inlineStr">
        <is>
          <t>index 2010=100</t>
        </is>
      </c>
      <c r="C50" s="77" t="inlineStr">
        <is>
          <t>native/native2010×100</t>
        </is>
      </c>
      <c r="D50" s="77">
        <f>D21/$D$21*100</f>
        <v/>
      </c>
      <c r="E50" s="77">
        <f>E21/$D$21*100</f>
        <v/>
      </c>
      <c r="F50" s="77">
        <f>F21/$D$21*100</f>
        <v/>
      </c>
      <c r="G50" s="77">
        <f>G21/$D$21*100</f>
        <v/>
      </c>
      <c r="H50" s="77">
        <f>H21/$D$21*100</f>
        <v/>
      </c>
      <c r="I50" s="77">
        <f>I21/$D$21*100</f>
        <v/>
      </c>
      <c r="J50" s="77">
        <f>J21/$D$21*100</f>
        <v/>
      </c>
      <c r="K50" s="77">
        <f>K21/$D$21*100</f>
        <v/>
      </c>
      <c r="L50" s="77">
        <f>L21/$D$21*100</f>
        <v/>
      </c>
      <c r="M50" s="77">
        <f>M21/$D$21*100</f>
        <v/>
      </c>
      <c r="N50" s="77">
        <f>N21/$D$21*100</f>
        <v/>
      </c>
      <c r="O50" s="77">
        <f>O21/$D$21*100</f>
        <v/>
      </c>
      <c r="P50" s="77">
        <f>P21/$D$21*100</f>
        <v/>
      </c>
      <c r="Q50" s="77">
        <f>Q21/$D$21*100</f>
        <v/>
      </c>
      <c r="R50" s="77">
        <f>R21/$D$21*100</f>
        <v/>
      </c>
      <c r="S50" s="77">
        <f>S21/$D$21*100</f>
        <v/>
      </c>
    </row>
    <row r="51" ht="15" customHeight="1" s="78">
      <c r="A51" s="77" t="inlineStr">
        <is>
          <t>DE C24 basic metals</t>
        </is>
      </c>
      <c r="B51" s="77" t="inlineStr">
        <is>
          <t>index 2010=100</t>
        </is>
      </c>
      <c r="C51" s="77" t="inlineStr">
        <is>
          <t>native/native2010×100</t>
        </is>
      </c>
      <c r="D51" s="77">
        <f>D22/$D$22*100</f>
        <v/>
      </c>
      <c r="E51" s="77">
        <f>E22/$D$22*100</f>
        <v/>
      </c>
      <c r="F51" s="77">
        <f>F22/$D$22*100</f>
        <v/>
      </c>
      <c r="G51" s="77">
        <f>G22/$D$22*100</f>
        <v/>
      </c>
      <c r="H51" s="77">
        <f>H22/$D$22*100</f>
        <v/>
      </c>
      <c r="I51" s="77">
        <f>I22/$D$22*100</f>
        <v/>
      </c>
      <c r="J51" s="77">
        <f>J22/$D$22*100</f>
        <v/>
      </c>
      <c r="K51" s="77">
        <f>K22/$D$22*100</f>
        <v/>
      </c>
      <c r="L51" s="77">
        <f>L22/$D$22*100</f>
        <v/>
      </c>
      <c r="M51" s="77">
        <f>M22/$D$22*100</f>
        <v/>
      </c>
      <c r="N51" s="77">
        <f>N22/$D$22*100</f>
        <v/>
      </c>
      <c r="O51" s="77">
        <f>O22/$D$22*100</f>
        <v/>
      </c>
      <c r="P51" s="77">
        <f>P22/$D$22*100</f>
        <v/>
      </c>
      <c r="Q51" s="77">
        <f>Q22/$D$22*100</f>
        <v/>
      </c>
      <c r="R51" s="77">
        <f>R22/$D$22*100</f>
        <v/>
      </c>
      <c r="S51" s="77">
        <f>S22/$D$22*100</f>
        <v/>
      </c>
    </row>
    <row r="52" ht="15" customHeight="1" s="78">
      <c r="A52" s="77" t="inlineStr">
        <is>
          <t>DE C241 basic iron &amp; steel</t>
        </is>
      </c>
      <c r="B52" s="77" t="inlineStr">
        <is>
          <t>index 2010=100</t>
        </is>
      </c>
      <c r="C52" s="77" t="inlineStr">
        <is>
          <t>native/native2010×100</t>
        </is>
      </c>
      <c r="D52" s="77">
        <f>D23/$D$23*100</f>
        <v/>
      </c>
      <c r="E52" s="77">
        <f>E23/$D$23*100</f>
        <v/>
      </c>
      <c r="F52" s="77">
        <f>F23/$D$23*100</f>
        <v/>
      </c>
      <c r="G52" s="77">
        <f>G23/$D$23*100</f>
        <v/>
      </c>
      <c r="H52" s="77">
        <f>H23/$D$23*100</f>
        <v/>
      </c>
      <c r="I52" s="77">
        <f>I23/$D$23*100</f>
        <v/>
      </c>
      <c r="J52" s="77">
        <f>J23/$D$23*100</f>
        <v/>
      </c>
      <c r="K52" s="77">
        <f>K23/$D$23*100</f>
        <v/>
      </c>
      <c r="L52" s="77">
        <f>L23/$D$23*100</f>
        <v/>
      </c>
      <c r="M52" s="77">
        <f>M23/$D$23*100</f>
        <v/>
      </c>
      <c r="N52" s="77">
        <f>N23/$D$23*100</f>
        <v/>
      </c>
      <c r="O52" s="77">
        <f>O23/$D$23*100</f>
        <v/>
      </c>
      <c r="P52" s="77">
        <f>P23/$D$23*100</f>
        <v/>
      </c>
      <c r="Q52" s="77">
        <f>Q23/$D$23*100</f>
        <v/>
      </c>
      <c r="R52" s="77">
        <f>R23/$D$23*100</f>
        <v/>
      </c>
      <c r="S52" s="77">
        <f>S23/$D$23*100</f>
        <v/>
      </c>
    </row>
    <row r="53" ht="15" customHeight="1" s="78">
      <c r="A53" s="77" t="inlineStr">
        <is>
          <t>DE C244 non-ferrous metals</t>
        </is>
      </c>
      <c r="B53" s="77" t="inlineStr">
        <is>
          <t>index 2010=100</t>
        </is>
      </c>
      <c r="C53" s="77" t="inlineStr">
        <is>
          <t>native/native2010×100</t>
        </is>
      </c>
      <c r="D53" s="77">
        <f>D24/$D$24*100</f>
        <v/>
      </c>
      <c r="E53" s="77">
        <f>E24/$D$24*100</f>
        <v/>
      </c>
      <c r="F53" s="77">
        <f>F24/$D$24*100</f>
        <v/>
      </c>
      <c r="G53" s="77">
        <f>G24/$D$24*100</f>
        <v/>
      </c>
      <c r="H53" s="77">
        <f>H24/$D$24*100</f>
        <v/>
      </c>
      <c r="I53" s="77">
        <f>I24/$D$24*100</f>
        <v/>
      </c>
      <c r="J53" s="77">
        <f>J24/$D$24*100</f>
        <v/>
      </c>
      <c r="K53" s="77">
        <f>K24/$D$24*100</f>
        <v/>
      </c>
      <c r="L53" s="77">
        <f>L24/$D$24*100</f>
        <v/>
      </c>
      <c r="M53" s="77">
        <f>M24/$D$24*100</f>
        <v/>
      </c>
      <c r="N53" s="77">
        <f>N24/$D$24*100</f>
        <v/>
      </c>
      <c r="O53" s="77">
        <f>O24/$D$24*100</f>
        <v/>
      </c>
      <c r="P53" s="77">
        <f>P24/$D$24*100</f>
        <v/>
      </c>
      <c r="Q53" s="77">
        <f>Q24/$D$24*100</f>
        <v/>
      </c>
      <c r="R53" s="77">
        <f>R24/$D$24*100</f>
        <v/>
      </c>
      <c r="S53" s="77">
        <f>S24/$D$24*100</f>
        <v/>
      </c>
    </row>
    <row r="54" ht="15" customHeight="1" s="78">
      <c r="A54" s="77" t="inlineStr">
        <is>
          <t>DE Energieintensive Industriezweige (WZ 17+19+20+23+24)</t>
        </is>
      </c>
      <c r="B54" s="77" t="inlineStr">
        <is>
          <t>index 2010=100</t>
        </is>
      </c>
      <c r="C54" s="77" t="inlineStr">
        <is>
          <t>native/native2010×100, estimated = Y</t>
        </is>
      </c>
      <c r="D54" s="77">
        <f>D25/$D$25*100</f>
        <v/>
      </c>
      <c r="E54" s="77">
        <f>E25/$D$25*100</f>
        <v/>
      </c>
      <c r="F54" s="77">
        <f>F25/$D$25*100</f>
        <v/>
      </c>
      <c r="G54" s="77">
        <f>G25/$D$25*100</f>
        <v/>
      </c>
      <c r="H54" s="77">
        <f>H25/$D$25*100</f>
        <v/>
      </c>
      <c r="I54" s="77">
        <f>I25/$D$25*100</f>
        <v/>
      </c>
      <c r="J54" s="77">
        <f>J25/$D$25*100</f>
        <v/>
      </c>
      <c r="K54" s="77">
        <f>K25/$D$25*100</f>
        <v/>
      </c>
      <c r="L54" s="77">
        <f>L25/$D$25*100</f>
        <v/>
      </c>
      <c r="M54" s="77">
        <f>M25/$D$25*100</f>
        <v/>
      </c>
      <c r="N54" s="77">
        <f>N25/$D$25*100</f>
        <v/>
      </c>
      <c r="O54" s="77">
        <f>O25/$D$25*100</f>
        <v/>
      </c>
      <c r="P54" s="77">
        <f>P25/$D$25*100</f>
        <v/>
      </c>
      <c r="Q54" s="77">
        <f>Q25/$D$25*100</f>
        <v/>
      </c>
      <c r="R54" s="77">
        <f>R25/$D$25*100</f>
        <v/>
      </c>
      <c r="S54" s="77">
        <f>S25/$D$25*100</f>
        <v/>
      </c>
    </row>
    <row r="55" ht="16.5" customHeight="1" s="78">
      <c r="A55" s="77" t="inlineStr">
        <is>
          <t>CN 规模以上工业 total (context)</t>
        </is>
      </c>
      <c r="B55" s="77" t="inlineStr">
        <is>
          <t>index 2010=100</t>
        </is>
      </c>
      <c r="C55" s="77" t="inlineStr">
        <is>
          <t>CHAINED from same-scope growth — estimated=Y; VA not output; overstatement direction per literature (interpretation)</t>
        </is>
      </c>
      <c r="D55" s="77" t="n">
        <v>100</v>
      </c>
      <c r="E55" s="77">
        <f>D55*(1+E28/100)</f>
        <v/>
      </c>
      <c r="F55" s="77">
        <f>E55*(1+F28/100)</f>
        <v/>
      </c>
      <c r="G55" s="77">
        <f>F55*(1+G28/100)</f>
        <v/>
      </c>
      <c r="H55" s="77">
        <f>G55*(1+H28/100)</f>
        <v/>
      </c>
      <c r="I55" s="77">
        <f>H55*(1+I28/100)</f>
        <v/>
      </c>
      <c r="J55" s="77">
        <f>I55*(1+J28/100)</f>
        <v/>
      </c>
      <c r="K55" s="77">
        <f>J55*(1+K28/100)</f>
        <v/>
      </c>
      <c r="L55" s="77">
        <f>K55*(1+L28/100)</f>
        <v/>
      </c>
      <c r="M55" s="77">
        <f>L55*(1+M28/100)</f>
        <v/>
      </c>
      <c r="N55" s="77">
        <f>M55*(1+N28/100)</f>
        <v/>
      </c>
      <c r="O55" s="77">
        <f>N55*(1+O28/100)</f>
        <v/>
      </c>
      <c r="P55" s="77">
        <f>O55*(1+P28/100)</f>
        <v/>
      </c>
      <c r="Q55" s="77">
        <f>P55*(1+Q28/100)</f>
        <v/>
      </c>
      <c r="R55" s="77">
        <f>Q55*(1+R28/100)</f>
        <v/>
      </c>
      <c r="S55" s="77">
        <f>R55*(1+S28/100)</f>
        <v/>
      </c>
    </row>
    <row r="56" ht="16.5" customHeight="1" s="78">
      <c r="A56" s="77" t="inlineStr">
        <is>
          <t>CN 化学原料和化学制品制造业 chemicals</t>
        </is>
      </c>
      <c r="B56" s="77" t="inlineStr">
        <is>
          <t>index 2010=100</t>
        </is>
      </c>
      <c r="C56" s="77" t="inlineStr">
        <is>
          <t>CHAINED from same-scope growth — estimated=Y; VA not output; overstatement direction per literature (interpretation)</t>
        </is>
      </c>
      <c r="D56" s="77" t="n">
        <v>100</v>
      </c>
      <c r="E56" s="77">
        <f>D56*(1+E30/100)</f>
        <v/>
      </c>
      <c r="F56" s="77">
        <f>E56*(1+F30/100)</f>
        <v/>
      </c>
      <c r="G56" s="77">
        <f>F56*(1+G30/100)</f>
        <v/>
      </c>
      <c r="H56" s="77">
        <f>G56*(1+H30/100)</f>
        <v/>
      </c>
      <c r="I56" s="77">
        <f>H56*(1+I30/100)</f>
        <v/>
      </c>
      <c r="J56" s="77">
        <f>I56*(1+J30/100)</f>
        <v/>
      </c>
      <c r="K56" s="77">
        <f>J56*(1+K30/100)</f>
        <v/>
      </c>
      <c r="L56" s="77">
        <f>K56*(1+L30/100)</f>
        <v/>
      </c>
      <c r="M56" s="77">
        <f>L56*(1+M30/100)</f>
        <v/>
      </c>
      <c r="N56" s="77">
        <f>M56*(1+N30/100)</f>
        <v/>
      </c>
      <c r="O56" s="77">
        <f>N56*(1+O30/100)</f>
        <v/>
      </c>
      <c r="P56" s="77">
        <f>O56*(1+P30/100)</f>
        <v/>
      </c>
      <c r="Q56" s="77">
        <f>P56*(1+Q30/100)</f>
        <v/>
      </c>
      <c r="R56" s="77">
        <f>Q56*(1+R30/100)</f>
        <v/>
      </c>
      <c r="S56" s="77">
        <f>R56*(1+S30/100)</f>
        <v/>
      </c>
    </row>
    <row r="57" ht="16.5" customHeight="1" s="78">
      <c r="A57" s="77" t="inlineStr">
        <is>
          <t>CN 非金属矿物制品业 non-metallic minerals</t>
        </is>
      </c>
      <c r="B57" s="77" t="inlineStr">
        <is>
          <t>index 2010=100</t>
        </is>
      </c>
      <c r="C57" s="77" t="inlineStr">
        <is>
          <t>CHAINED from same-scope growth — estimated=Y; VA not output; overstatement direction per literature (interpretation)</t>
        </is>
      </c>
      <c r="D57" s="77" t="n">
        <v>100</v>
      </c>
      <c r="E57" s="77">
        <f>D57*(1+E31/100)</f>
        <v/>
      </c>
      <c r="F57" s="77">
        <f>E57*(1+F31/100)</f>
        <v/>
      </c>
      <c r="G57" s="77">
        <f>F57*(1+G31/100)</f>
        <v/>
      </c>
      <c r="H57" s="77">
        <f>G57*(1+H31/100)</f>
        <v/>
      </c>
      <c r="I57" s="77">
        <f>H57*(1+I31/100)</f>
        <v/>
      </c>
      <c r="J57" s="77">
        <f>I57*(1+J31/100)</f>
        <v/>
      </c>
      <c r="K57" s="77">
        <f>J57*(1+K31/100)</f>
        <v/>
      </c>
      <c r="L57" s="77">
        <f>K57*(1+L31/100)</f>
        <v/>
      </c>
      <c r="M57" s="77">
        <f>L57*(1+M31/100)</f>
        <v/>
      </c>
      <c r="N57" s="77">
        <f>M57*(1+N31/100)</f>
        <v/>
      </c>
      <c r="O57" s="77">
        <f>N57*(1+O31/100)</f>
        <v/>
      </c>
      <c r="P57" s="77">
        <f>O57*(1+P31/100)</f>
        <v/>
      </c>
      <c r="Q57" s="77">
        <f>P57*(1+Q31/100)</f>
        <v/>
      </c>
      <c r="R57" s="77">
        <f>Q57*(1+R31/100)</f>
        <v/>
      </c>
      <c r="S57" s="77">
        <f>R57*(1+S31/100)</f>
        <v/>
      </c>
    </row>
    <row r="58" ht="16.5" customHeight="1" s="78">
      <c r="A58" s="77" t="inlineStr">
        <is>
          <t>CN 黑色金属冶炼和压延加工业 ferrous</t>
        </is>
      </c>
      <c r="B58" s="77" t="inlineStr">
        <is>
          <t>index 2010=100</t>
        </is>
      </c>
      <c r="C58" s="77" t="inlineStr">
        <is>
          <t>CHAINED from same-scope growth — estimated=Y; VA not output; overstatement direction per literature (interpretation)</t>
        </is>
      </c>
      <c r="D58" s="77" t="n">
        <v>100</v>
      </c>
      <c r="E58" s="77">
        <f>D58*(1+E32/100)</f>
        <v/>
      </c>
      <c r="F58" s="77">
        <f>E58*(1+F32/100)</f>
        <v/>
      </c>
      <c r="G58" s="77">
        <f>F58*(1+G32/100)</f>
        <v/>
      </c>
      <c r="H58" s="77">
        <f>G58*(1+H32/100)</f>
        <v/>
      </c>
      <c r="I58" s="77">
        <f>H58*(1+I32/100)</f>
        <v/>
      </c>
      <c r="J58" s="77">
        <f>I58*(1+J32/100)</f>
        <v/>
      </c>
      <c r="K58" s="77">
        <f>J58*(1+K32/100)</f>
        <v/>
      </c>
      <c r="L58" s="77">
        <f>K58*(1+L32/100)</f>
        <v/>
      </c>
      <c r="M58" s="77">
        <f>L58*(1+M32/100)</f>
        <v/>
      </c>
      <c r="N58" s="77">
        <f>M58*(1+N32/100)</f>
        <v/>
      </c>
      <c r="O58" s="77">
        <f>N58*(1+O32/100)</f>
        <v/>
      </c>
      <c r="P58" s="77">
        <f>O58*(1+P32/100)</f>
        <v/>
      </c>
      <c r="Q58" s="77">
        <f>P58*(1+Q32/100)</f>
        <v/>
      </c>
      <c r="R58" s="77">
        <f>Q58*(1+R32/100)</f>
        <v/>
      </c>
      <c r="S58" s="77">
        <f>R58*(1+S32/100)</f>
        <v/>
      </c>
    </row>
    <row r="59" ht="16.5" customHeight="1" s="78">
      <c r="A59" s="77" t="inlineStr">
        <is>
          <t>CN 有色金属冶炼和压延加工业 non-ferrous</t>
        </is>
      </c>
      <c r="B59" s="77" t="inlineStr">
        <is>
          <t>index 2010=100</t>
        </is>
      </c>
      <c r="C59" s="77" t="inlineStr">
        <is>
          <t>CHAINED from same-scope growth — estimated=Y; VA not output; overstatement direction per literature (interpretation)</t>
        </is>
      </c>
      <c r="D59" s="77" t="n">
        <v>100</v>
      </c>
      <c r="E59" s="77">
        <f>D59*(1+E33/100)</f>
        <v/>
      </c>
      <c r="F59" s="77">
        <f>E59*(1+F33/100)</f>
        <v/>
      </c>
      <c r="G59" s="77">
        <f>F59*(1+G33/100)</f>
        <v/>
      </c>
      <c r="H59" s="77">
        <f>G59*(1+H33/100)</f>
        <v/>
      </c>
      <c r="I59" s="77">
        <f>H59*(1+I33/100)</f>
        <v/>
      </c>
      <c r="J59" s="77">
        <f>I59*(1+J33/100)</f>
        <v/>
      </c>
      <c r="K59" s="77">
        <f>J59*(1+K33/100)</f>
        <v/>
      </c>
      <c r="L59" s="77">
        <f>K59*(1+L33/100)</f>
        <v/>
      </c>
      <c r="M59" s="77">
        <f>L59*(1+M33/100)</f>
        <v/>
      </c>
      <c r="N59" s="77">
        <f>M59*(1+N33/100)</f>
        <v/>
      </c>
      <c r="O59" s="77">
        <f>N59*(1+O33/100)</f>
        <v/>
      </c>
      <c r="P59" s="77">
        <f>O59*(1+P33/100)</f>
        <v/>
      </c>
      <c r="Q59" s="77">
        <f>P59*(1+Q33/100)</f>
        <v/>
      </c>
      <c r="R59" s="77">
        <f>Q59*(1+R33/100)</f>
        <v/>
      </c>
      <c r="S59" s="77">
        <f>R59*(1+S33/100)</f>
        <v/>
      </c>
    </row>
    <row r="60" ht="16.5" customHeight="1" s="78">
      <c r="A60" s="77" t="inlineStr">
        <is>
          <t>CN 造纸和纸制品业 paper</t>
        </is>
      </c>
      <c r="B60" s="77" t="inlineStr">
        <is>
          <t>index 2010=100</t>
        </is>
      </c>
      <c r="C60" s="77" t="inlineStr">
        <is>
          <t>NOT CONSTRUCTIBLE — see Q37; CN paper story carried by tonnage panel (section E)</t>
        </is>
      </c>
    </row>
    <row r="62" ht="15" customHeight="1" s="78">
      <c r="A62" s="109" t="inlineStr">
        <is>
          <t>E. PHYSICAL TONNAGE PANEL — production, kt (D35 source rules; per-cell lineage in stage5_output_staging.md)</t>
        </is>
      </c>
      <c r="B62" s="77" t="inlineStr">
        <is>
          <t>Unit</t>
        </is>
      </c>
      <c r="C62" s="77" t="inlineStr">
        <is>
          <t>Case/notes</t>
        </is>
      </c>
      <c r="D62" s="109" t="n">
        <v>2010</v>
      </c>
      <c r="E62" s="109" t="n">
        <v>2011</v>
      </c>
      <c r="F62" s="109" t="n">
        <v>2012</v>
      </c>
      <c r="G62" s="109" t="n">
        <v>2013</v>
      </c>
      <c r="H62" s="109" t="n">
        <v>2014</v>
      </c>
      <c r="I62" s="109" t="n">
        <v>2015</v>
      </c>
      <c r="J62" s="109" t="n">
        <v>2016</v>
      </c>
      <c r="K62" s="109" t="n">
        <v>2017</v>
      </c>
      <c r="L62" s="109" t="n">
        <v>2018</v>
      </c>
      <c r="M62" s="109" t="n">
        <v>2019</v>
      </c>
      <c r="N62" s="109" t="n">
        <v>2020</v>
      </c>
      <c r="O62" s="109" t="n">
        <v>2021</v>
      </c>
      <c r="P62" s="109" t="n">
        <v>2022</v>
      </c>
      <c r="Q62" s="109" t="n">
        <v>2023</v>
      </c>
      <c r="R62" s="109" t="n">
        <v>2024</v>
      </c>
      <c r="S62" s="109" t="n">
        <v>2025</v>
      </c>
    </row>
    <row r="63" ht="15" customHeight="1" s="78">
      <c r="A63" s="77" t="inlineStr">
        <is>
          <t>UK Crude steel</t>
        </is>
      </c>
      <c r="B63" s="77" t="inlineStr">
        <is>
          <t>kt</t>
        </is>
      </c>
      <c r="C63" s="77" t="inlineStr">
        <is>
          <t>worldsteel S72; 2020+ published Mt 1dp; 2025 not published (Q38)</t>
        </is>
      </c>
      <c r="D63" s="77" t="n">
        <v>9708</v>
      </c>
      <c r="E63" s="77" t="n">
        <v>9478</v>
      </c>
      <c r="F63" s="77" t="n">
        <v>9579</v>
      </c>
      <c r="G63" s="77" t="n">
        <v>11858</v>
      </c>
      <c r="H63" s="77" t="n">
        <v>12033</v>
      </c>
      <c r="I63" s="77" t="n">
        <v>10907</v>
      </c>
      <c r="J63" s="77" t="n">
        <v>7635</v>
      </c>
      <c r="K63" s="77" t="n">
        <v>7491</v>
      </c>
      <c r="L63" s="77" t="n">
        <v>7268</v>
      </c>
      <c r="M63" s="77" t="n">
        <v>7218</v>
      </c>
      <c r="N63" s="77" t="n">
        <v>7100</v>
      </c>
      <c r="O63" s="77" t="n">
        <v>7200</v>
      </c>
      <c r="P63" s="77" t="n">
        <v>6000</v>
      </c>
      <c r="Q63" s="77" t="n">
        <v>5600</v>
      </c>
      <c r="R63" s="77" t="n">
        <v>4000</v>
      </c>
    </row>
    <row r="64" ht="15" customHeight="1" s="78">
      <c r="A64" s="77" t="inlineStr">
        <is>
          <t>DE Crude steel</t>
        </is>
      </c>
      <c r="B64" s="77" t="inlineStr">
        <is>
          <t>kt</t>
        </is>
      </c>
      <c r="C64" s="77" t="inlineStr">
        <is>
          <t>worldsteel S72; 2024 WSIF25 37.2 Mt, Jan-26 PR restates 37.3; 2025 PR26</t>
        </is>
      </c>
      <c r="D64" s="77" t="n">
        <v>43830</v>
      </c>
      <c r="E64" s="77" t="n">
        <v>44284</v>
      </c>
      <c r="F64" s="77" t="n">
        <v>42661</v>
      </c>
      <c r="G64" s="77" t="n">
        <v>42645</v>
      </c>
      <c r="H64" s="77" t="n">
        <v>42943</v>
      </c>
      <c r="I64" s="77" t="n">
        <v>42676</v>
      </c>
      <c r="J64" s="77" t="n">
        <v>42080</v>
      </c>
      <c r="K64" s="77" t="n">
        <v>43297</v>
      </c>
      <c r="L64" s="77" t="n">
        <v>42435</v>
      </c>
      <c r="M64" s="77" t="n">
        <v>39627</v>
      </c>
      <c r="N64" s="77" t="n">
        <v>35700</v>
      </c>
      <c r="O64" s="77" t="n">
        <v>40100</v>
      </c>
      <c r="P64" s="77" t="n">
        <v>36900</v>
      </c>
      <c r="Q64" s="77" t="n">
        <v>35400</v>
      </c>
      <c r="R64" s="77" t="n">
        <v>37200</v>
      </c>
      <c r="S64" s="77" t="n">
        <v>34100</v>
      </c>
    </row>
    <row r="65" ht="15" customHeight="1" s="78">
      <c r="A65" s="77" t="inlineStr">
        <is>
          <t>CN Crude steel</t>
        </is>
      </c>
      <c r="B65" s="77" t="inlineStr">
        <is>
          <t>kt</t>
        </is>
      </c>
      <c r="C65" s="77" t="inlineStr">
        <is>
          <t>NBS yearbook revised series S69 (census revisions 2013, 2017-18); 2025 first-release S68</t>
        </is>
      </c>
      <c r="D65" s="77" t="n">
        <v>637230</v>
      </c>
      <c r="E65" s="77" t="n">
        <v>685283</v>
      </c>
      <c r="F65" s="77" t="n">
        <v>723882</v>
      </c>
      <c r="G65" s="77" t="n">
        <v>813139</v>
      </c>
      <c r="H65" s="77" t="n">
        <v>822306</v>
      </c>
      <c r="I65" s="77" t="n">
        <v>803825</v>
      </c>
      <c r="J65" s="77" t="n">
        <v>807609</v>
      </c>
      <c r="K65" s="77" t="n">
        <v>870741</v>
      </c>
      <c r="L65" s="77" t="n">
        <v>929038</v>
      </c>
      <c r="M65" s="77" t="n">
        <v>995419</v>
      </c>
      <c r="N65" s="77" t="n">
        <v>1064767</v>
      </c>
      <c r="O65" s="77" t="n">
        <v>1035243</v>
      </c>
      <c r="P65" s="77" t="n">
        <v>1017959</v>
      </c>
      <c r="Q65" s="77" t="n">
        <v>1028860</v>
      </c>
      <c r="R65" s="77" t="n">
        <v>1005091</v>
      </c>
      <c r="S65" s="77" t="n">
        <v>960812</v>
      </c>
    </row>
    <row r="66" ht="15" customHeight="1" s="78">
      <c r="A66" s="77" t="inlineStr">
        <is>
          <t>UK Cement</t>
        </is>
      </c>
      <c r="B66" s="77" t="inlineStr">
        <is>
          <t>kt</t>
        </is>
      </c>
      <c r="C66" s="77" t="inlineStr">
        <is>
          <t>USGS 2010-13, BGS 2014-24 (join seamless: 2014 identical) S73/S74; MPA x-check 2024; 2025 n/a (Q38)</t>
        </is>
      </c>
      <c r="D66" s="77" t="n">
        <v>7882</v>
      </c>
      <c r="E66" s="77" t="n">
        <v>8529</v>
      </c>
      <c r="F66" s="77" t="n">
        <v>7952</v>
      </c>
      <c r="G66" s="77" t="n">
        <v>8203</v>
      </c>
      <c r="H66" s="77" t="n">
        <v>8958</v>
      </c>
      <c r="I66" s="77" t="n">
        <v>9235</v>
      </c>
      <c r="J66" s="77" t="n">
        <v>9370</v>
      </c>
      <c r="K66" s="77" t="n">
        <v>9359</v>
      </c>
      <c r="L66" s="77" t="n">
        <v>9197</v>
      </c>
      <c r="M66" s="77" t="n">
        <v>9079</v>
      </c>
      <c r="N66" s="77" t="n">
        <v>8046</v>
      </c>
      <c r="O66" s="77" t="n">
        <v>9008</v>
      </c>
      <c r="P66" s="77" t="n">
        <v>8393</v>
      </c>
      <c r="Q66" s="77" t="n">
        <v>7689</v>
      </c>
      <c r="R66" s="77" t="n">
        <v>7283</v>
      </c>
    </row>
    <row r="67" ht="15" customHeight="1" s="78">
      <c r="A67" s="77" t="inlineStr">
        <is>
          <t>DE Cement</t>
        </is>
      </c>
      <c r="B67" s="77" t="inlineStr">
        <is>
          <t>kt</t>
        </is>
      </c>
      <c r="C67" s="77" t="inlineStr">
        <is>
          <t>USGS 2010-13, BGS 2014-24 (=VDZ 2018-22) S73/S74/S75; 2025 n/a (Q38)</t>
        </is>
      </c>
      <c r="D67" s="77" t="n">
        <v>29203</v>
      </c>
      <c r="E67" s="77" t="n">
        <v>33540</v>
      </c>
      <c r="F67" s="77" t="n">
        <v>32432</v>
      </c>
      <c r="G67" s="77" t="n">
        <v>31308</v>
      </c>
      <c r="H67" s="77" t="n">
        <v>32099</v>
      </c>
      <c r="I67" s="77" t="n">
        <v>31160</v>
      </c>
      <c r="J67" s="77" t="n">
        <v>32674</v>
      </c>
      <c r="K67" s="77" t="n">
        <v>33991</v>
      </c>
      <c r="L67" s="77" t="n">
        <v>33655</v>
      </c>
      <c r="M67" s="77" t="n">
        <v>34185</v>
      </c>
      <c r="N67" s="77" t="n">
        <v>35478</v>
      </c>
      <c r="O67" s="77" t="n">
        <v>34966</v>
      </c>
      <c r="P67" s="77" t="n">
        <v>32901</v>
      </c>
      <c r="Q67" s="77" t="n">
        <v>28185</v>
      </c>
      <c r="R67" s="77" t="n">
        <v>26809</v>
      </c>
    </row>
    <row r="68" ht="16.5" customHeight="1" s="78">
      <c r="A68" s="77" t="inlineStr">
        <is>
          <t>CN Cement</t>
        </is>
      </c>
      <c r="B68" s="77" t="inlineStr">
        <is>
          <t>kt</t>
        </is>
      </c>
      <c r="C68" s="77" t="inlineStr">
        <is>
          <t>NBS yearbook revised S69; 2025 first-release exact 169,314万吨 S67</t>
        </is>
      </c>
      <c r="D68" s="77" t="n">
        <v>1881912</v>
      </c>
      <c r="E68" s="77" t="n">
        <v>2099259</v>
      </c>
      <c r="F68" s="77" t="n">
        <v>2209841</v>
      </c>
      <c r="G68" s="77" t="n">
        <v>2419239</v>
      </c>
      <c r="H68" s="77" t="n">
        <v>2492071</v>
      </c>
      <c r="I68" s="77" t="n">
        <v>2359188</v>
      </c>
      <c r="J68" s="77" t="n">
        <v>2410310</v>
      </c>
      <c r="K68" s="77" t="n">
        <v>2330841</v>
      </c>
      <c r="L68" s="77" t="n">
        <v>2236096</v>
      </c>
      <c r="M68" s="77" t="n">
        <v>2344306</v>
      </c>
      <c r="N68" s="77" t="n">
        <v>2394708</v>
      </c>
      <c r="O68" s="77" t="n">
        <v>2377245</v>
      </c>
      <c r="P68" s="77" t="n">
        <v>2129272</v>
      </c>
      <c r="Q68" s="77" t="n">
        <v>2019402</v>
      </c>
      <c r="R68" s="77" t="n">
        <v>1825237</v>
      </c>
      <c r="S68" s="77" t="n">
        <v>1693140</v>
      </c>
    </row>
    <row r="69" ht="15" customHeight="1" s="78">
      <c r="A69" s="77" t="inlineStr">
        <is>
          <t>UK Primary aluminium</t>
        </is>
      </c>
      <c r="B69" s="77" t="inlineStr">
        <is>
          <t>kt</t>
        </is>
      </c>
      <c r="C69" s="77" t="inlineStr">
        <is>
          <t>BGS 2010-24 S74 (USGS x-check, divergences in staging); Lynemouth closed Mar 2012; 2025 n/a (Q38)</t>
        </is>
      </c>
      <c r="D69" s="77" t="n">
        <v>186</v>
      </c>
      <c r="E69" s="77" t="n">
        <v>213</v>
      </c>
      <c r="F69" s="77" t="n">
        <v>60</v>
      </c>
      <c r="G69" s="77" t="n">
        <v>45</v>
      </c>
      <c r="H69" s="77" t="n">
        <v>42</v>
      </c>
      <c r="I69" s="77" t="n">
        <v>47</v>
      </c>
      <c r="J69" s="77" t="n">
        <v>46</v>
      </c>
      <c r="K69" s="77" t="n">
        <v>48</v>
      </c>
      <c r="L69" s="77" t="n">
        <v>48</v>
      </c>
      <c r="M69" s="77" t="n">
        <v>39.4</v>
      </c>
      <c r="N69" s="77" t="n">
        <v>35.7</v>
      </c>
      <c r="O69" s="77" t="n">
        <v>37.6</v>
      </c>
      <c r="P69" s="77" t="n">
        <v>31.3</v>
      </c>
      <c r="Q69" s="77" t="n">
        <v>29.2</v>
      </c>
      <c r="R69" s="77" t="n">
        <v>29.1</v>
      </c>
    </row>
    <row r="70" ht="15" customHeight="1" s="78">
      <c r="A70" s="77" t="inlineStr">
        <is>
          <t>DE Primary aluminium</t>
        </is>
      </c>
      <c r="B70" s="77" t="inlineStr">
        <is>
          <t>kt</t>
        </is>
      </c>
      <c r="C70" s="77" t="inlineStr">
        <is>
          <t>BGS 2010-24 S74; 2024 rounded/provisional; 2025 n/a (Q38)</t>
        </is>
      </c>
      <c r="D70" s="77" t="n">
        <v>402.5</v>
      </c>
      <c r="E70" s="77" t="n">
        <v>432.5</v>
      </c>
      <c r="F70" s="77" t="n">
        <v>410.4</v>
      </c>
      <c r="G70" s="77" t="n">
        <v>492.4</v>
      </c>
      <c r="H70" s="77" t="n">
        <v>530.7</v>
      </c>
      <c r="I70" s="77" t="n">
        <v>541.4</v>
      </c>
      <c r="J70" s="77" t="n">
        <v>546.8</v>
      </c>
      <c r="K70" s="77" t="n">
        <v>550</v>
      </c>
      <c r="L70" s="77" t="n">
        <v>528.9</v>
      </c>
      <c r="M70" s="77" t="n">
        <v>507.9</v>
      </c>
      <c r="N70" s="77" t="n">
        <v>529.1</v>
      </c>
      <c r="O70" s="77" t="n">
        <v>509.2</v>
      </c>
      <c r="P70" s="77" t="n">
        <v>341.2</v>
      </c>
      <c r="Q70" s="77" t="n">
        <v>189.5</v>
      </c>
      <c r="R70" s="77" t="n">
        <v>220</v>
      </c>
    </row>
    <row r="71" ht="16.5" customHeight="1" s="78">
      <c r="A71" s="77" t="inlineStr">
        <is>
          <t>CN Primary aluminium</t>
        </is>
      </c>
      <c r="B71" s="77" t="inlineStr">
        <is>
          <t>kt</t>
        </is>
      </c>
      <c r="C71" s="77" t="inlineStr">
        <is>
          <t>NBS 原铝(电解铝) yearbook revised S69; 2025 first-release S68</t>
        </is>
      </c>
      <c r="D71" s="77" t="n">
        <v>15771</v>
      </c>
      <c r="E71" s="77" t="n">
        <v>17679</v>
      </c>
      <c r="F71" s="77" t="n">
        <v>20208</v>
      </c>
      <c r="G71" s="77" t="n">
        <v>25438</v>
      </c>
      <c r="H71" s="77" t="n">
        <v>28858</v>
      </c>
      <c r="I71" s="77" t="n">
        <v>31410</v>
      </c>
      <c r="J71" s="77" t="n">
        <v>32645</v>
      </c>
      <c r="K71" s="77" t="n">
        <v>33290</v>
      </c>
      <c r="L71" s="77" t="n">
        <v>36831</v>
      </c>
      <c r="M71" s="77" t="n">
        <v>35130</v>
      </c>
      <c r="N71" s="77" t="n">
        <v>37080</v>
      </c>
      <c r="O71" s="77" t="n">
        <v>38503</v>
      </c>
      <c r="P71" s="77" t="n">
        <v>40144</v>
      </c>
      <c r="Q71" s="77" t="n">
        <v>41980</v>
      </c>
      <c r="R71" s="77" t="n">
        <v>44005</v>
      </c>
      <c r="S71" s="77" t="n">
        <v>45016</v>
      </c>
    </row>
    <row r="72" ht="15" customHeight="1" s="78">
      <c r="A72" s="77" t="inlineStr">
        <is>
          <t>UK Paper &amp; paperboard</t>
        </is>
      </c>
      <c r="B72" s="77" t="inlineStr">
        <is>
          <t>kt</t>
        </is>
      </c>
      <c r="C72" s="77" t="inlineStr">
        <is>
          <t>FAOSTAT S76 — ALL cells FAO-estimate flag E; 2025 n/a (Q38)</t>
        </is>
      </c>
      <c r="D72" s="77" t="n">
        <v>4300</v>
      </c>
      <c r="E72" s="77" t="n">
        <v>4342</v>
      </c>
      <c r="F72" s="77" t="n">
        <v>4292</v>
      </c>
      <c r="G72" s="77" t="n">
        <v>4561</v>
      </c>
      <c r="H72" s="77" t="n">
        <v>4397</v>
      </c>
      <c r="I72" s="77" t="n">
        <v>3970</v>
      </c>
      <c r="J72" s="77" t="n">
        <v>3677</v>
      </c>
      <c r="K72" s="77" t="n">
        <v>3857</v>
      </c>
      <c r="L72" s="77" t="n">
        <v>3894.7</v>
      </c>
      <c r="M72" s="77" t="n">
        <v>3851</v>
      </c>
      <c r="N72" s="77" t="n">
        <v>3633.8</v>
      </c>
      <c r="O72" s="77" t="n">
        <v>3642</v>
      </c>
      <c r="P72" s="77" t="n">
        <v>3456</v>
      </c>
      <c r="Q72" s="77" t="n">
        <v>3223</v>
      </c>
      <c r="R72" s="77" t="n">
        <v>3287</v>
      </c>
    </row>
    <row r="73" ht="15" customHeight="1" s="78">
      <c r="A73" s="77" t="inlineStr">
        <is>
          <t>DE Paper &amp; paperboard</t>
        </is>
      </c>
      <c r="B73" s="77" t="inlineStr">
        <is>
          <t>kt</t>
        </is>
      </c>
      <c r="C73" s="77" t="inlineStr">
        <is>
          <t>FAOSTAT S76 (2016-22 flag E; VDP x-check matches S77); 2025 provisional 18.7 Mt VDP PR (Tier 2), estimated=Y</t>
        </is>
      </c>
      <c r="D73" s="77" t="n">
        <v>23072</v>
      </c>
      <c r="E73" s="77" t="n">
        <v>22706</v>
      </c>
      <c r="F73" s="77" t="n">
        <v>22603</v>
      </c>
      <c r="G73" s="77" t="n">
        <v>22401</v>
      </c>
      <c r="H73" s="77" t="n">
        <v>22540</v>
      </c>
      <c r="I73" s="77" t="n">
        <v>22601</v>
      </c>
      <c r="J73" s="77" t="n">
        <v>22629</v>
      </c>
      <c r="K73" s="77" t="n">
        <v>22925</v>
      </c>
      <c r="L73" s="77" t="n">
        <v>22681.5</v>
      </c>
      <c r="M73" s="77" t="n">
        <v>22080</v>
      </c>
      <c r="N73" s="77" t="n">
        <v>21348.5</v>
      </c>
      <c r="O73" s="77" t="n">
        <v>23127.1</v>
      </c>
      <c r="P73" s="77" t="n">
        <v>21611.5</v>
      </c>
      <c r="Q73" s="77" t="n">
        <v>18636.4</v>
      </c>
      <c r="R73" s="77" t="n">
        <v>19191.2</v>
      </c>
      <c r="S73" s="77" t="n">
        <v>18700</v>
      </c>
    </row>
    <row r="74" ht="16.5" customHeight="1" s="78">
      <c r="A74" s="77" t="inlineStr">
        <is>
          <t>CN Paper &amp; paperboard</t>
        </is>
      </c>
      <c r="B74" s="77" t="inlineStr">
        <is>
          <t>kt</t>
        </is>
      </c>
      <c r="C74" s="77" t="inlineStr">
        <is>
          <t>NBS 机制纸及纸板 yearbook revised S69; 2023 SCOPE BREAK (规上 only — mark); 2025 Tier-2 carriers S71n, estimated=Y</t>
        </is>
      </c>
      <c r="D74" s="77" t="n">
        <v>98326</v>
      </c>
      <c r="E74" s="77" t="n">
        <v>110109</v>
      </c>
      <c r="F74" s="77" t="n">
        <v>109565</v>
      </c>
      <c r="G74" s="77" t="n">
        <v>113231</v>
      </c>
      <c r="H74" s="77" t="n">
        <v>117858</v>
      </c>
      <c r="I74" s="77" t="n">
        <v>117428</v>
      </c>
      <c r="J74" s="77" t="n">
        <v>123192</v>
      </c>
      <c r="K74" s="77" t="n">
        <v>125420</v>
      </c>
      <c r="L74" s="77" t="n">
        <v>120460</v>
      </c>
      <c r="M74" s="77" t="n">
        <v>125153</v>
      </c>
      <c r="N74" s="77" t="n">
        <v>127006</v>
      </c>
      <c r="O74" s="77" t="n">
        <v>135839</v>
      </c>
      <c r="P74" s="77" t="n">
        <v>136914</v>
      </c>
      <c r="Q74" s="77" t="n">
        <v>151294</v>
      </c>
      <c r="R74" s="77" t="n">
        <v>158469</v>
      </c>
      <c r="S74" s="77" t="n">
        <v>164054</v>
      </c>
    </row>
    <row r="75" ht="15" customHeight="1" s="78">
      <c r="A75" s="77" t="inlineStr">
        <is>
          <t>UK Flat glass</t>
        </is>
      </c>
      <c r="B75" s="77" t="inlineStr">
        <is>
          <t>kt</t>
        </is>
      </c>
      <c r="C75" s="77" t="inlineStr">
        <is>
          <t>NOT PUBLISHABLE — single-producer confidentiality, PRODCOM/ProdCom suppressed (Q36) — documented gap, a finding</t>
        </is>
      </c>
    </row>
    <row r="76" ht="15" customHeight="1" s="78">
      <c r="A76" s="77" t="inlineStr">
        <is>
          <t>DE Flat glass</t>
        </is>
      </c>
      <c r="B76" s="77" t="inlineStr">
        <is>
          <t>kt</t>
        </is>
      </c>
      <c r="C76" s="77" t="inlineStr">
        <is>
          <t>BV Glas (Tier 2, cites Destatis) 2022-25 only; 2010-21 gap (Q35); 2023/2025 provisional</t>
        </is>
      </c>
      <c r="P76" s="77" t="n">
        <v>2255.7</v>
      </c>
      <c r="Q76" s="77" t="n">
        <v>1937.6</v>
      </c>
      <c r="R76" s="77" t="n">
        <v>1771.7</v>
      </c>
      <c r="S76" s="77" t="n">
        <v>1733.7</v>
      </c>
    </row>
    <row r="77" ht="16.5" customHeight="1" s="78">
      <c r="A77" s="77" t="inlineStr">
        <is>
          <t>CN Flat glass</t>
        </is>
      </c>
      <c r="B77" s="77" t="inlineStr">
        <is>
          <t>kt</t>
        </is>
      </c>
      <c r="C77" s="77" t="inlineStr">
        <is>
          <t>NBS 平板玻璃 yearbook revised S69, published 万重量箱, ×0.5 = kt (1箱=50kg), estimated=Y (unit conv.); 2025 first-release</t>
        </is>
      </c>
      <c r="D77" s="77" t="n">
        <v>33165</v>
      </c>
      <c r="E77" s="77" t="n">
        <v>39554</v>
      </c>
      <c r="F77" s="77" t="n">
        <v>37525</v>
      </c>
      <c r="G77" s="77" t="n">
        <v>39643</v>
      </c>
      <c r="H77" s="77" t="n">
        <v>41564</v>
      </c>
      <c r="I77" s="77" t="n">
        <v>39326</v>
      </c>
      <c r="J77" s="77" t="n">
        <v>40204</v>
      </c>
      <c r="K77" s="77" t="n">
        <v>41883</v>
      </c>
      <c r="L77" s="77" t="n">
        <v>46982</v>
      </c>
      <c r="M77" s="77" t="n">
        <v>47231</v>
      </c>
      <c r="N77" s="77" t="n">
        <v>47614</v>
      </c>
      <c r="O77" s="77" t="n">
        <v>50864</v>
      </c>
      <c r="P77" s="77" t="n">
        <v>50834</v>
      </c>
      <c r="Q77" s="77" t="n">
        <v>49376</v>
      </c>
      <c r="R77" s="77" t="n">
        <v>50021</v>
      </c>
      <c r="S77" s="77" t="n">
        <v>48796</v>
      </c>
    </row>
    <row r="79" ht="15" customHeight="1" s="78">
      <c r="A79" s="109" t="inlineStr">
        <is>
          <t>F. REBASED TONNAGE, 2010=100 — computed (rows without a 2010 value omitted)</t>
        </is>
      </c>
      <c r="B79" s="77" t="inlineStr">
        <is>
          <t>Unit</t>
        </is>
      </c>
      <c r="C79" s="77" t="inlineStr">
        <is>
          <t>Case/notes</t>
        </is>
      </c>
      <c r="D79" s="109" t="n">
        <v>2010</v>
      </c>
      <c r="E79" s="109" t="n">
        <v>2011</v>
      </c>
      <c r="F79" s="109" t="n">
        <v>2012</v>
      </c>
      <c r="G79" s="109" t="n">
        <v>2013</v>
      </c>
      <c r="H79" s="109" t="n">
        <v>2014</v>
      </c>
      <c r="I79" s="109" t="n">
        <v>2015</v>
      </c>
      <c r="J79" s="109" t="n">
        <v>2016</v>
      </c>
      <c r="K79" s="109" t="n">
        <v>2017</v>
      </c>
      <c r="L79" s="109" t="n">
        <v>2018</v>
      </c>
      <c r="M79" s="109" t="n">
        <v>2019</v>
      </c>
      <c r="N79" s="109" t="n">
        <v>2020</v>
      </c>
      <c r="O79" s="109" t="n">
        <v>2021</v>
      </c>
      <c r="P79" s="109" t="n">
        <v>2022</v>
      </c>
      <c r="Q79" s="109" t="n">
        <v>2023</v>
      </c>
      <c r="R79" s="109" t="n">
        <v>2024</v>
      </c>
      <c r="S79" s="109" t="n">
        <v>2025</v>
      </c>
    </row>
    <row r="80" ht="15" customHeight="1" s="78">
      <c r="A80" s="77" t="inlineStr">
        <is>
          <t>UK Crude steel</t>
        </is>
      </c>
      <c r="B80" s="77" t="inlineStr">
        <is>
          <t>index 2010=100</t>
        </is>
      </c>
      <c r="C80" s="77" t="inlineStr">
        <is>
          <t>kt/kt2010×100</t>
        </is>
      </c>
      <c r="D80" s="77">
        <f>D63/$D$63*100</f>
        <v/>
      </c>
      <c r="E80" s="77">
        <f>E63/$D$63*100</f>
        <v/>
      </c>
      <c r="F80" s="77">
        <f>F63/$D$63*100</f>
        <v/>
      </c>
      <c r="G80" s="77">
        <f>G63/$D$63*100</f>
        <v/>
      </c>
      <c r="H80" s="77">
        <f>H63/$D$63*100</f>
        <v/>
      </c>
      <c r="I80" s="77">
        <f>I63/$D$63*100</f>
        <v/>
      </c>
      <c r="J80" s="77">
        <f>J63/$D$63*100</f>
        <v/>
      </c>
      <c r="K80" s="77">
        <f>K63/$D$63*100</f>
        <v/>
      </c>
      <c r="L80" s="77">
        <f>L63/$D$63*100</f>
        <v/>
      </c>
      <c r="M80" s="77">
        <f>M63/$D$63*100</f>
        <v/>
      </c>
      <c r="N80" s="77">
        <f>N63/$D$63*100</f>
        <v/>
      </c>
      <c r="O80" s="77">
        <f>O63/$D$63*100</f>
        <v/>
      </c>
      <c r="P80" s="77">
        <f>P63/$D$63*100</f>
        <v/>
      </c>
      <c r="Q80" s="77">
        <f>Q63/$D$63*100</f>
        <v/>
      </c>
      <c r="R80" s="77">
        <f>R63/$D$63*100</f>
        <v/>
      </c>
    </row>
    <row r="81" ht="15" customHeight="1" s="78">
      <c r="A81" s="77" t="inlineStr">
        <is>
          <t>DE Crude steel</t>
        </is>
      </c>
      <c r="B81" s="77" t="inlineStr">
        <is>
          <t>index 2010=100</t>
        </is>
      </c>
      <c r="C81" s="77" t="inlineStr">
        <is>
          <t>kt/kt2010×100</t>
        </is>
      </c>
      <c r="D81" s="77">
        <f>D64/$D$64*100</f>
        <v/>
      </c>
      <c r="E81" s="77">
        <f>E64/$D$64*100</f>
        <v/>
      </c>
      <c r="F81" s="77">
        <f>F64/$D$64*100</f>
        <v/>
      </c>
      <c r="G81" s="77">
        <f>G64/$D$64*100</f>
        <v/>
      </c>
      <c r="H81" s="77">
        <f>H64/$D$64*100</f>
        <v/>
      </c>
      <c r="I81" s="77">
        <f>I64/$D$64*100</f>
        <v/>
      </c>
      <c r="J81" s="77">
        <f>J64/$D$64*100</f>
        <v/>
      </c>
      <c r="K81" s="77">
        <f>K64/$D$64*100</f>
        <v/>
      </c>
      <c r="L81" s="77">
        <f>L64/$D$64*100</f>
        <v/>
      </c>
      <c r="M81" s="77">
        <f>M64/$D$64*100</f>
        <v/>
      </c>
      <c r="N81" s="77">
        <f>N64/$D$64*100</f>
        <v/>
      </c>
      <c r="O81" s="77">
        <f>O64/$D$64*100</f>
        <v/>
      </c>
      <c r="P81" s="77">
        <f>P64/$D$64*100</f>
        <v/>
      </c>
      <c r="Q81" s="77">
        <f>Q64/$D$64*100</f>
        <v/>
      </c>
      <c r="R81" s="77">
        <f>R64/$D$64*100</f>
        <v/>
      </c>
      <c r="S81" s="77">
        <f>S64/$D$64*100</f>
        <v/>
      </c>
    </row>
    <row r="82" ht="15" customHeight="1" s="78">
      <c r="A82" s="77" t="inlineStr">
        <is>
          <t>CN Crude steel</t>
        </is>
      </c>
      <c r="B82" s="77" t="inlineStr">
        <is>
          <t>index 2010=100</t>
        </is>
      </c>
      <c r="C82" s="77" t="inlineStr">
        <is>
          <t>kt/kt2010×100</t>
        </is>
      </c>
      <c r="D82" s="77">
        <f>D65/$D$65*100</f>
        <v/>
      </c>
      <c r="E82" s="77">
        <f>E65/$D$65*100</f>
        <v/>
      </c>
      <c r="F82" s="77">
        <f>F65/$D$65*100</f>
        <v/>
      </c>
      <c r="G82" s="77">
        <f>G65/$D$65*100</f>
        <v/>
      </c>
      <c r="H82" s="77">
        <f>H65/$D$65*100</f>
        <v/>
      </c>
      <c r="I82" s="77">
        <f>I65/$D$65*100</f>
        <v/>
      </c>
      <c r="J82" s="77">
        <f>J65/$D$65*100</f>
        <v/>
      </c>
      <c r="K82" s="77">
        <f>K65/$D$65*100</f>
        <v/>
      </c>
      <c r="L82" s="77">
        <f>L65/$D$65*100</f>
        <v/>
      </c>
      <c r="M82" s="77">
        <f>M65/$D$65*100</f>
        <v/>
      </c>
      <c r="N82" s="77">
        <f>N65/$D$65*100</f>
        <v/>
      </c>
      <c r="O82" s="77">
        <f>O65/$D$65*100</f>
        <v/>
      </c>
      <c r="P82" s="77">
        <f>P65/$D$65*100</f>
        <v/>
      </c>
      <c r="Q82" s="77">
        <f>Q65/$D$65*100</f>
        <v/>
      </c>
      <c r="R82" s="77">
        <f>R65/$D$65*100</f>
        <v/>
      </c>
      <c r="S82" s="77">
        <f>S65/$D$65*100</f>
        <v/>
      </c>
    </row>
    <row r="83" ht="15" customHeight="1" s="78">
      <c r="A83" s="77" t="inlineStr">
        <is>
          <t>UK Cement</t>
        </is>
      </c>
      <c r="B83" s="77" t="inlineStr">
        <is>
          <t>index 2010=100</t>
        </is>
      </c>
      <c r="C83" s="77" t="inlineStr">
        <is>
          <t>kt/kt2010×100</t>
        </is>
      </c>
      <c r="D83" s="77">
        <f>D66/$D$66*100</f>
        <v/>
      </c>
      <c r="E83" s="77">
        <f>E66/$D$66*100</f>
        <v/>
      </c>
      <c r="F83" s="77">
        <f>F66/$D$66*100</f>
        <v/>
      </c>
      <c r="G83" s="77">
        <f>G66/$D$66*100</f>
        <v/>
      </c>
      <c r="H83" s="77">
        <f>H66/$D$66*100</f>
        <v/>
      </c>
      <c r="I83" s="77">
        <f>I66/$D$66*100</f>
        <v/>
      </c>
      <c r="J83" s="77">
        <f>J66/$D$66*100</f>
        <v/>
      </c>
      <c r="K83" s="77">
        <f>K66/$D$66*100</f>
        <v/>
      </c>
      <c r="L83" s="77">
        <f>L66/$D$66*100</f>
        <v/>
      </c>
      <c r="M83" s="77">
        <f>M66/$D$66*100</f>
        <v/>
      </c>
      <c r="N83" s="77">
        <f>N66/$D$66*100</f>
        <v/>
      </c>
      <c r="O83" s="77">
        <f>O66/$D$66*100</f>
        <v/>
      </c>
      <c r="P83" s="77">
        <f>P66/$D$66*100</f>
        <v/>
      </c>
      <c r="Q83" s="77">
        <f>Q66/$D$66*100</f>
        <v/>
      </c>
      <c r="R83" s="77">
        <f>R66/$D$66*100</f>
        <v/>
      </c>
    </row>
    <row r="84" ht="15" customHeight="1" s="78">
      <c r="A84" s="77" t="inlineStr">
        <is>
          <t>DE Cement</t>
        </is>
      </c>
      <c r="B84" s="77" t="inlineStr">
        <is>
          <t>index 2010=100</t>
        </is>
      </c>
      <c r="C84" s="77" t="inlineStr">
        <is>
          <t>kt/kt2010×100</t>
        </is>
      </c>
      <c r="D84" s="77">
        <f>D67/$D$67*100</f>
        <v/>
      </c>
      <c r="E84" s="77">
        <f>E67/$D$67*100</f>
        <v/>
      </c>
      <c r="F84" s="77">
        <f>F67/$D$67*100</f>
        <v/>
      </c>
      <c r="G84" s="77">
        <f>G67/$D$67*100</f>
        <v/>
      </c>
      <c r="H84" s="77">
        <f>H67/$D$67*100</f>
        <v/>
      </c>
      <c r="I84" s="77">
        <f>I67/$D$67*100</f>
        <v/>
      </c>
      <c r="J84" s="77">
        <f>J67/$D$67*100</f>
        <v/>
      </c>
      <c r="K84" s="77">
        <f>K67/$D$67*100</f>
        <v/>
      </c>
      <c r="L84" s="77">
        <f>L67/$D$67*100</f>
        <v/>
      </c>
      <c r="M84" s="77">
        <f>M67/$D$67*100</f>
        <v/>
      </c>
      <c r="N84" s="77">
        <f>N67/$D$67*100</f>
        <v/>
      </c>
      <c r="O84" s="77">
        <f>O67/$D$67*100</f>
        <v/>
      </c>
      <c r="P84" s="77">
        <f>P67/$D$67*100</f>
        <v/>
      </c>
      <c r="Q84" s="77">
        <f>Q67/$D$67*100</f>
        <v/>
      </c>
      <c r="R84" s="77">
        <f>R67/$D$67*100</f>
        <v/>
      </c>
    </row>
    <row r="85" ht="15" customHeight="1" s="78">
      <c r="A85" s="77" t="inlineStr">
        <is>
          <t>CN Cement</t>
        </is>
      </c>
      <c r="B85" s="77" t="inlineStr">
        <is>
          <t>index 2010=100</t>
        </is>
      </c>
      <c r="C85" s="77" t="inlineStr">
        <is>
          <t>kt/kt2010×100</t>
        </is>
      </c>
      <c r="D85" s="77">
        <f>D68/$D$68*100</f>
        <v/>
      </c>
      <c r="E85" s="77">
        <f>E68/$D$68*100</f>
        <v/>
      </c>
      <c r="F85" s="77">
        <f>F68/$D$68*100</f>
        <v/>
      </c>
      <c r="G85" s="77">
        <f>G68/$D$68*100</f>
        <v/>
      </c>
      <c r="H85" s="77">
        <f>H68/$D$68*100</f>
        <v/>
      </c>
      <c r="I85" s="77">
        <f>I68/$D$68*100</f>
        <v/>
      </c>
      <c r="J85" s="77">
        <f>J68/$D$68*100</f>
        <v/>
      </c>
      <c r="K85" s="77">
        <f>K68/$D$68*100</f>
        <v/>
      </c>
      <c r="L85" s="77">
        <f>L68/$D$68*100</f>
        <v/>
      </c>
      <c r="M85" s="77">
        <f>M68/$D$68*100</f>
        <v/>
      </c>
      <c r="N85" s="77">
        <f>N68/$D$68*100</f>
        <v/>
      </c>
      <c r="O85" s="77">
        <f>O68/$D$68*100</f>
        <v/>
      </c>
      <c r="P85" s="77">
        <f>P68/$D$68*100</f>
        <v/>
      </c>
      <c r="Q85" s="77">
        <f>Q68/$D$68*100</f>
        <v/>
      </c>
      <c r="R85" s="77">
        <f>R68/$D$68*100</f>
        <v/>
      </c>
      <c r="S85" s="77">
        <f>S68/$D$68*100</f>
        <v/>
      </c>
    </row>
    <row r="86" ht="15" customHeight="1" s="78">
      <c r="A86" s="77" t="inlineStr">
        <is>
          <t>UK Primary aluminium</t>
        </is>
      </c>
      <c r="B86" s="77" t="inlineStr">
        <is>
          <t>index 2010=100</t>
        </is>
      </c>
      <c r="C86" s="77" t="inlineStr">
        <is>
          <t>kt/kt2010×100</t>
        </is>
      </c>
      <c r="D86" s="77">
        <f>D69/$D$69*100</f>
        <v/>
      </c>
      <c r="E86" s="77">
        <f>E69/$D$69*100</f>
        <v/>
      </c>
      <c r="F86" s="77">
        <f>F69/$D$69*100</f>
        <v/>
      </c>
      <c r="G86" s="77">
        <f>G69/$D$69*100</f>
        <v/>
      </c>
      <c r="H86" s="77">
        <f>H69/$D$69*100</f>
        <v/>
      </c>
      <c r="I86" s="77">
        <f>I69/$D$69*100</f>
        <v/>
      </c>
      <c r="J86" s="77">
        <f>J69/$D$69*100</f>
        <v/>
      </c>
      <c r="K86" s="77">
        <f>K69/$D$69*100</f>
        <v/>
      </c>
      <c r="L86" s="77">
        <f>L69/$D$69*100</f>
        <v/>
      </c>
      <c r="M86" s="77">
        <f>M69/$D$69*100</f>
        <v/>
      </c>
      <c r="N86" s="77">
        <f>N69/$D$69*100</f>
        <v/>
      </c>
      <c r="O86" s="77">
        <f>O69/$D$69*100</f>
        <v/>
      </c>
      <c r="P86" s="77">
        <f>P69/$D$69*100</f>
        <v/>
      </c>
      <c r="Q86" s="77">
        <f>Q69/$D$69*100</f>
        <v/>
      </c>
      <c r="R86" s="77">
        <f>R69/$D$69*100</f>
        <v/>
      </c>
    </row>
    <row r="87" ht="15" customHeight="1" s="78">
      <c r="A87" s="77" t="inlineStr">
        <is>
          <t>DE Primary aluminium</t>
        </is>
      </c>
      <c r="B87" s="77" t="inlineStr">
        <is>
          <t>index 2010=100</t>
        </is>
      </c>
      <c r="C87" s="77" t="inlineStr">
        <is>
          <t>kt/kt2010×100</t>
        </is>
      </c>
      <c r="D87" s="77">
        <f>D70/$D$70*100</f>
        <v/>
      </c>
      <c r="E87" s="77">
        <f>E70/$D$70*100</f>
        <v/>
      </c>
      <c r="F87" s="77">
        <f>F70/$D$70*100</f>
        <v/>
      </c>
      <c r="G87" s="77">
        <f>G70/$D$70*100</f>
        <v/>
      </c>
      <c r="H87" s="77">
        <f>H70/$D$70*100</f>
        <v/>
      </c>
      <c r="I87" s="77">
        <f>I70/$D$70*100</f>
        <v/>
      </c>
      <c r="J87" s="77">
        <f>J70/$D$70*100</f>
        <v/>
      </c>
      <c r="K87" s="77">
        <f>K70/$D$70*100</f>
        <v/>
      </c>
      <c r="L87" s="77">
        <f>L70/$D$70*100</f>
        <v/>
      </c>
      <c r="M87" s="77">
        <f>M70/$D$70*100</f>
        <v/>
      </c>
      <c r="N87" s="77">
        <f>N70/$D$70*100</f>
        <v/>
      </c>
      <c r="O87" s="77">
        <f>O70/$D$70*100</f>
        <v/>
      </c>
      <c r="P87" s="77">
        <f>P70/$D$70*100</f>
        <v/>
      </c>
      <c r="Q87" s="77">
        <f>Q70/$D$70*100</f>
        <v/>
      </c>
      <c r="R87" s="77">
        <f>R70/$D$70*100</f>
        <v/>
      </c>
    </row>
    <row r="88" ht="15" customHeight="1" s="78">
      <c r="A88" s="77" t="inlineStr">
        <is>
          <t>CN Primary aluminium</t>
        </is>
      </c>
      <c r="B88" s="77" t="inlineStr">
        <is>
          <t>index 2010=100</t>
        </is>
      </c>
      <c r="C88" s="77" t="inlineStr">
        <is>
          <t>kt/kt2010×100</t>
        </is>
      </c>
      <c r="D88" s="77">
        <f>D71/$D$71*100</f>
        <v/>
      </c>
      <c r="E88" s="77">
        <f>E71/$D$71*100</f>
        <v/>
      </c>
      <c r="F88" s="77">
        <f>F71/$D$71*100</f>
        <v/>
      </c>
      <c r="G88" s="77">
        <f>G71/$D$71*100</f>
        <v/>
      </c>
      <c r="H88" s="77">
        <f>H71/$D$71*100</f>
        <v/>
      </c>
      <c r="I88" s="77">
        <f>I71/$D$71*100</f>
        <v/>
      </c>
      <c r="J88" s="77">
        <f>J71/$D$71*100</f>
        <v/>
      </c>
      <c r="K88" s="77">
        <f>K71/$D$71*100</f>
        <v/>
      </c>
      <c r="L88" s="77">
        <f>L71/$D$71*100</f>
        <v/>
      </c>
      <c r="M88" s="77">
        <f>M71/$D$71*100</f>
        <v/>
      </c>
      <c r="N88" s="77">
        <f>N71/$D$71*100</f>
        <v/>
      </c>
      <c r="O88" s="77">
        <f>O71/$D$71*100</f>
        <v/>
      </c>
      <c r="P88" s="77">
        <f>P71/$D$71*100</f>
        <v/>
      </c>
      <c r="Q88" s="77">
        <f>Q71/$D$71*100</f>
        <v/>
      </c>
      <c r="R88" s="77">
        <f>R71/$D$71*100</f>
        <v/>
      </c>
      <c r="S88" s="77">
        <f>S71/$D$71*100</f>
        <v/>
      </c>
    </row>
    <row r="89" ht="15" customHeight="1" s="78">
      <c r="A89" s="77" t="inlineStr">
        <is>
          <t>UK Paper &amp; paperboard</t>
        </is>
      </c>
      <c r="B89" s="77" t="inlineStr">
        <is>
          <t>index 2010=100</t>
        </is>
      </c>
      <c r="C89" s="77" t="inlineStr">
        <is>
          <t>kt/kt2010×100</t>
        </is>
      </c>
      <c r="D89" s="77">
        <f>D72/$D$72*100</f>
        <v/>
      </c>
      <c r="E89" s="77">
        <f>E72/$D$72*100</f>
        <v/>
      </c>
      <c r="F89" s="77">
        <f>F72/$D$72*100</f>
        <v/>
      </c>
      <c r="G89" s="77">
        <f>G72/$D$72*100</f>
        <v/>
      </c>
      <c r="H89" s="77">
        <f>H72/$D$72*100</f>
        <v/>
      </c>
      <c r="I89" s="77">
        <f>I72/$D$72*100</f>
        <v/>
      </c>
      <c r="J89" s="77">
        <f>J72/$D$72*100</f>
        <v/>
      </c>
      <c r="K89" s="77">
        <f>K72/$D$72*100</f>
        <v/>
      </c>
      <c r="L89" s="77">
        <f>L72/$D$72*100</f>
        <v/>
      </c>
      <c r="M89" s="77">
        <f>M72/$D$72*100</f>
        <v/>
      </c>
      <c r="N89" s="77">
        <f>N72/$D$72*100</f>
        <v/>
      </c>
      <c r="O89" s="77">
        <f>O72/$D$72*100</f>
        <v/>
      </c>
      <c r="P89" s="77">
        <f>P72/$D$72*100</f>
        <v/>
      </c>
      <c r="Q89" s="77">
        <f>Q72/$D$72*100</f>
        <v/>
      </c>
      <c r="R89" s="77">
        <f>R72/$D$72*100</f>
        <v/>
      </c>
    </row>
    <row r="90" ht="15" customHeight="1" s="78">
      <c r="A90" s="77" t="inlineStr">
        <is>
          <t>DE Paper &amp; paperboard</t>
        </is>
      </c>
      <c r="B90" s="77" t="inlineStr">
        <is>
          <t>index 2010=100</t>
        </is>
      </c>
      <c r="C90" s="77" t="inlineStr">
        <is>
          <t>kt/kt2010×100</t>
        </is>
      </c>
      <c r="D90" s="77">
        <f>D73/$D$73*100</f>
        <v/>
      </c>
      <c r="E90" s="77">
        <f>E73/$D$73*100</f>
        <v/>
      </c>
      <c r="F90" s="77">
        <f>F73/$D$73*100</f>
        <v/>
      </c>
      <c r="G90" s="77">
        <f>G73/$D$73*100</f>
        <v/>
      </c>
      <c r="H90" s="77">
        <f>H73/$D$73*100</f>
        <v/>
      </c>
      <c r="I90" s="77">
        <f>I73/$D$73*100</f>
        <v/>
      </c>
      <c r="J90" s="77">
        <f>J73/$D$73*100</f>
        <v/>
      </c>
      <c r="K90" s="77">
        <f>K73/$D$73*100</f>
        <v/>
      </c>
      <c r="L90" s="77">
        <f>L73/$D$73*100</f>
        <v/>
      </c>
      <c r="M90" s="77">
        <f>M73/$D$73*100</f>
        <v/>
      </c>
      <c r="N90" s="77">
        <f>N73/$D$73*100</f>
        <v/>
      </c>
      <c r="O90" s="77">
        <f>O73/$D$73*100</f>
        <v/>
      </c>
      <c r="P90" s="77">
        <f>P73/$D$73*100</f>
        <v/>
      </c>
      <c r="Q90" s="77">
        <f>Q73/$D$73*100</f>
        <v/>
      </c>
      <c r="R90" s="77">
        <f>R73/$D$73*100</f>
        <v/>
      </c>
      <c r="S90" s="77">
        <f>S73/$D$73*100</f>
        <v/>
      </c>
    </row>
    <row r="91" ht="15" customHeight="1" s="78">
      <c r="A91" s="77" t="inlineStr">
        <is>
          <t>CN Paper &amp; paperboard</t>
        </is>
      </c>
      <c r="B91" s="77" t="inlineStr">
        <is>
          <t>index 2010=100</t>
        </is>
      </c>
      <c r="C91" s="77" t="inlineStr">
        <is>
          <t>kt/kt2010×100</t>
        </is>
      </c>
      <c r="D91" s="77">
        <f>D74/$D$74*100</f>
        <v/>
      </c>
      <c r="E91" s="77">
        <f>E74/$D$74*100</f>
        <v/>
      </c>
      <c r="F91" s="77">
        <f>F74/$D$74*100</f>
        <v/>
      </c>
      <c r="G91" s="77">
        <f>G74/$D$74*100</f>
        <v/>
      </c>
      <c r="H91" s="77">
        <f>H74/$D$74*100</f>
        <v/>
      </c>
      <c r="I91" s="77">
        <f>I74/$D$74*100</f>
        <v/>
      </c>
      <c r="J91" s="77">
        <f>J74/$D$74*100</f>
        <v/>
      </c>
      <c r="K91" s="77">
        <f>K74/$D$74*100</f>
        <v/>
      </c>
      <c r="L91" s="77">
        <f>L74/$D$74*100</f>
        <v/>
      </c>
      <c r="M91" s="77">
        <f>M74/$D$74*100</f>
        <v/>
      </c>
      <c r="N91" s="77">
        <f>N74/$D$74*100</f>
        <v/>
      </c>
      <c r="O91" s="77">
        <f>O74/$D$74*100</f>
        <v/>
      </c>
      <c r="P91" s="77">
        <f>P74/$D$74*100</f>
        <v/>
      </c>
      <c r="Q91" s="77">
        <f>Q74/$D$74*100</f>
        <v/>
      </c>
      <c r="R91" s="77">
        <f>R74/$D$74*100</f>
        <v/>
      </c>
      <c r="S91" s="77">
        <f>S74/$D$74*100</f>
        <v/>
      </c>
    </row>
    <row r="92" ht="15" customHeight="1" s="78">
      <c r="A92" s="77" t="inlineStr">
        <is>
          <t>CN Flat glass</t>
        </is>
      </c>
      <c r="B92" s="77" t="inlineStr">
        <is>
          <t>index 2010=100</t>
        </is>
      </c>
      <c r="C92" s="77" t="inlineStr">
        <is>
          <t>kt/kt2010×100</t>
        </is>
      </c>
      <c r="D92" s="77">
        <f>D77/$D$77*100</f>
        <v/>
      </c>
      <c r="E92" s="77">
        <f>E77/$D$77*100</f>
        <v/>
      </c>
      <c r="F92" s="77">
        <f>F77/$D$77*100</f>
        <v/>
      </c>
      <c r="G92" s="77">
        <f>G77/$D$77*100</f>
        <v/>
      </c>
      <c r="H92" s="77">
        <f>H77/$D$77*100</f>
        <v/>
      </c>
      <c r="I92" s="77">
        <f>I77/$D$77*100</f>
        <v/>
      </c>
      <c r="J92" s="77">
        <f>J77/$D$77*100</f>
        <v/>
      </c>
      <c r="K92" s="77">
        <f>K77/$D$77*100</f>
        <v/>
      </c>
      <c r="L92" s="77">
        <f>L77/$D$77*100</f>
        <v/>
      </c>
      <c r="M92" s="77">
        <f>M77/$D$77*100</f>
        <v/>
      </c>
      <c r="N92" s="77">
        <f>N77/$D$77*100</f>
        <v/>
      </c>
      <c r="O92" s="77">
        <f>O77/$D$77*100</f>
        <v/>
      </c>
      <c r="P92" s="77">
        <f>P77/$D$77*100</f>
        <v/>
      </c>
      <c r="Q92" s="77">
        <f>Q77/$D$77*100</f>
        <v/>
      </c>
      <c r="R92" s="77">
        <f>R77/$D$77*100</f>
        <v/>
      </c>
      <c r="S92" s="77">
        <f>S77/$D$77*100</f>
        <v/>
      </c>
    </row>
    <row r="94" ht="15" customHeight="1" s="78">
      <c r="A94" s="109" t="inlineStr">
        <is>
          <t>G. NOTES &amp; CAVEATS</t>
        </is>
      </c>
    </row>
    <row r="95" ht="16.5" customHeight="1" s="78">
      <c r="A95" s="77" t="inlineStr">
        <is>
          <t>N1  CN 工业增加值 is VALUE-ADDED (not gross output), real (price-deflated at 3-digit level), same-scope 同口径 panel method. Chained index (rows in D) embeds roster churn; literature (Holz et al.) holds chaining overstates cumulative growth — interpretation, not an NBS statement. estimated=Y.</t>
        </is>
      </c>
    </row>
    <row r="96" ht="16.5" customHeight="1" s="78">
      <c r="A96" s="77" t="inlineStr">
        <is>
          <t>N2  Structural breaks: CN 规模以上 threshold 2011 (≥20m yuan revenue) — mark at 2011 on every CN index chart; CN product-output scope break 2023 (规上 only; the 2022→2023 paper tonnage jump is partly scope). Census revisions to CN tonnages (2013; 2017-18) — revised series used, first-release values in staging.</t>
        </is>
      </c>
    </row>
    <row r="97" ht="15" customHeight="1" s="78">
      <c r="A97" s="77" t="inlineStr">
        <is>
          <t>N3  CAUSAL CAUTION: two diverging lines are not causation. Plant events dominate several series: UK Lynemouth aluminium closure Mar 2012; SSI Redcar steel closure Oct 2015; Port Talbot BF closure Sep 2024; DE aluminium curtailments 2022-23 (energy crisis). Chapter 5 must argue mechanism, not overlay.</t>
        </is>
      </c>
    </row>
    <row r="98" ht="15" customHeight="1" s="78">
      <c r="A98" s="77" t="inlineStr">
        <is>
          <t>N4  UK ONS group-level CVM indices are volatile and diverge from tonnage (24.1-3 index 2015 = 187 native while crude-steel tonnage +12% vs 2010; index collapse 2021 = 69.9). Known low-level IoP issue. Steel/metals prose must present tonnage alongside index (Q39).</t>
        </is>
      </c>
    </row>
    <row r="99" ht="15" customHeight="1" s="78">
      <c r="A99" s="77" t="inlineStr">
        <is>
          <t>N5  DE Energieintensive Industriezweige aggregate = WZ 17+19+20+23+24 (includes 19 coke/refining; Destatis definition, S66). Annual = own mean of 12 monthly original values, estimated=Y. 2021 mean = 99.99 (sanity vs base year).</t>
        </is>
      </c>
    </row>
    <row r="100" ht="15" customHeight="1" s="78">
      <c r="A100" s="77" t="inlineStr">
        <is>
          <t>N6  DE sector rows = Eurostat sts_inpr_a NSA annual; CA variant checked, differs ≤0.6 pt in every year — immaterial.</t>
        </is>
      </c>
    </row>
    <row r="101" ht="15" customHeight="1" s="78">
      <c r="A101" s="77" t="inlineStr">
        <is>
          <t>N7  Native bases: UK 2023=100 (Blue Book rebasing shifts vintages), DE 2021=100. Rebase to 2010=100 is pure arithmetic (section D formulas).</t>
        </is>
      </c>
    </row>
    <row r="102" ht="16.5" customHeight="1" s="78">
      <c r="A102" s="77" t="inlineStr">
        <is>
          <t>N8  CN sector renamed 2012 (化学原料及… → 化学原料和…, GB/T 4754-2002→2011) — same sector; 2011 rates as published under old names.</t>
        </is>
      </c>
    </row>
    <row r="103" ht="16.5" customHeight="1" s="78">
      <c r="A103" s="77" t="inlineStr">
        <is>
          <t>N9  CN 制造业 growth unpublished 2011-12 → CN context line = 规模以上工业 total (labelled); 制造业 rates stored 2013+ unchained.</t>
        </is>
      </c>
    </row>
    <row r="104" ht="16.5" customHeight="1" s="78">
      <c r="A104" s="77" t="inlineStr">
        <is>
          <t>N10 Flat glass: CN published in 万重量箱 (1 重量箱 = 50 kg) → kt ×0.5, estimated=Y unit conversion; UK tonnage not publishable (single-producer confidentiality — a finding, Q36); DE only 2022-25 via BV Glas (Q35: GENESIS 42131 registration or BV Glas archive could close 2010-21).</t>
        </is>
      </c>
    </row>
    <row r="105" ht="15" customHeight="1" s="78">
      <c r="A105" s="77" t="inlineStr">
        <is>
          <t>N11 Tonnage source rules (D35): steel = worldsteel (kt 2010-19 SSY2020; Mt 1dp 2020+ WSIF; DE 2025 Jan-26 PR); cement = USGS 2010-13 + BGS 2014-24 (2014 join identical both countries; BGS=VDZ 2018-22); primary aluminium = BGS 2010-24 (USGS x-check, divergences in staging); paper = FAOSTAT (UK cells all FAO-flag E; VDP x-check DE); CN = NBS yearbook revised series, 2025 first-release.</t>
        </is>
      </c>
    </row>
    <row r="106" ht="15" customHeight="1" s="78">
      <c r="A106" s="77" t="inlineStr">
        <is>
          <t>N12 2025 gaps (Q38, diarise ~mid-2027): UK steel, UK+DE cement, UK+DE aluminium, UK paper. Provisional 2025: DE paper 18.7 Mt (VDP PR); CN paper (Tier-2 carriers); DE flat glass; DE aluminium 2024 rounded.</t>
        </is>
      </c>
    </row>
    <row r="107" ht="15" customHeight="1" s="78">
      <c r="A107" s="77" t="inlineStr">
        <is>
          <t>N13 Eurostat IG/IF-style validation overlay does not exist for output; validation here = tonnage-vs-index cross-check (N4) and DE EI-aggregate-vs-own-5-sector comparison.</t>
        </is>
      </c>
    </row>
    <row r="109" ht="15" customHeight="1" s="78">
      <c r="A109" s="109" t="inlineStr">
        <is>
          <t>H. UK ENERGY-INTENSIVE AGGREGATE — constructed to the Destatis definition (divisions 17+19+20+23+24), D36; estimated=Y throughout</t>
        </is>
      </c>
    </row>
    <row r="110" ht="15" customHeight="1" s="78">
      <c r="A110" s="77" t="inlineStr">
        <is>
          <t>No official UK aggregate exists. Headline = chained Laspeyres with ONS prior-year IoP weights; band = span of three weighting variants. HARD CAVEAT: ~40% of weight is division 20 (chemicals), a known deflator-volatile CVM series (Q39/N4); div 19 similarly volatile. Read against the tonnage panel. CN equivalent NOT constructible (no VA weights published since 2007).</t>
        </is>
      </c>
    </row>
    <row r="111" ht="15" customHeight="1" s="78">
      <c r="A111" s="109" t="inlineStr">
        <is>
          <t>Series</t>
        </is>
      </c>
      <c r="B111" s="77" t="inlineStr">
        <is>
          <t>Unit</t>
        </is>
      </c>
      <c r="C111" s="77" t="inlineStr">
        <is>
          <t>Case/notes</t>
        </is>
      </c>
      <c r="D111" s="109" t="n">
        <v>2010</v>
      </c>
      <c r="E111" s="109" t="n">
        <v>2011</v>
      </c>
      <c r="F111" s="109" t="n">
        <v>2012</v>
      </c>
      <c r="G111" s="109" t="n">
        <v>2013</v>
      </c>
      <c r="H111" s="109" t="n">
        <v>2014</v>
      </c>
      <c r="I111" s="109" t="n">
        <v>2015</v>
      </c>
      <c r="J111" s="109" t="n">
        <v>2016</v>
      </c>
      <c r="K111" s="109" t="n">
        <v>2017</v>
      </c>
      <c r="L111" s="109" t="n">
        <v>2018</v>
      </c>
      <c r="M111" s="109" t="n">
        <v>2019</v>
      </c>
      <c r="N111" s="109" t="n">
        <v>2020</v>
      </c>
      <c r="O111" s="109" t="n">
        <v>2021</v>
      </c>
      <c r="P111" s="109" t="n">
        <v>2022</v>
      </c>
      <c r="Q111" s="109" t="n">
        <v>2023</v>
      </c>
      <c r="R111" s="109" t="n">
        <v>2024</v>
      </c>
      <c r="S111" s="109" t="n">
        <v>2025</v>
      </c>
    </row>
    <row r="112" ht="15" customHeight="1" s="78">
      <c r="A112" s="77" t="inlineStr">
        <is>
          <t>UK 19 coke &amp; refined petroleum (input)</t>
        </is>
      </c>
      <c r="B112" s="77" t="inlineStr">
        <is>
          <t>index 2023=100</t>
        </is>
      </c>
      <c r="C112" s="77" t="inlineStr">
        <is>
          <t>ONS DIOP K22Y, retrieved 2026-07-16; known-volatile CVM</t>
        </is>
      </c>
      <c r="D112" s="77" t="n">
        <v>84.5</v>
      </c>
      <c r="E112" s="77" t="n">
        <v>35</v>
      </c>
      <c r="F112" s="77" t="n">
        <v>28.8</v>
      </c>
      <c r="G112" s="77" t="n">
        <v>49.7</v>
      </c>
      <c r="H112" s="77" t="n">
        <v>66.90000000000001</v>
      </c>
      <c r="I112" s="77" t="n">
        <v>127.6</v>
      </c>
      <c r="J112" s="77" t="n">
        <v>161.3</v>
      </c>
      <c r="K112" s="77" t="n">
        <v>148.1</v>
      </c>
      <c r="L112" s="77" t="n">
        <v>131.3</v>
      </c>
      <c r="M112" s="77" t="n">
        <v>93.40000000000001</v>
      </c>
      <c r="N112" s="77" t="n">
        <v>75.8</v>
      </c>
      <c r="O112" s="77" t="n">
        <v>100.7</v>
      </c>
      <c r="P112" s="77" t="n">
        <v>101.1</v>
      </c>
      <c r="Q112" s="77" t="n">
        <v>100</v>
      </c>
      <c r="R112" s="77" t="n">
        <v>104.1</v>
      </c>
      <c r="S112" s="77" t="n">
        <v>99.59999999999999</v>
      </c>
    </row>
    <row r="113" ht="15" customHeight="1" s="78">
      <c r="A113" s="77" t="inlineStr">
        <is>
          <t>UK weight div 17 (input)</t>
        </is>
      </c>
      <c r="B113" s="77" t="inlineStr">
        <is>
          <t>‰ of B–E IoP</t>
        </is>
      </c>
      <c r="C113" s="77" t="inlineStr">
        <is>
          <t>ONS DIOP KM2P, annual weights, retrieved 2026-07-16</t>
        </is>
      </c>
      <c r="D113" s="77" t="n">
        <v>16.5</v>
      </c>
      <c r="E113" s="77" t="n">
        <v>16.6</v>
      </c>
      <c r="F113" s="77" t="n">
        <v>16.6</v>
      </c>
      <c r="G113" s="77" t="n">
        <v>14.5</v>
      </c>
      <c r="H113" s="77" t="n">
        <v>16.3</v>
      </c>
      <c r="I113" s="77" t="n">
        <v>14.8</v>
      </c>
      <c r="J113" s="77" t="n">
        <v>17.5</v>
      </c>
      <c r="K113" s="77" t="n">
        <v>16.7</v>
      </c>
      <c r="L113" s="77" t="n">
        <v>15.1</v>
      </c>
      <c r="M113" s="77" t="n">
        <v>16</v>
      </c>
      <c r="N113" s="77" t="n">
        <v>15.3</v>
      </c>
      <c r="O113" s="77" t="n">
        <v>13.8</v>
      </c>
      <c r="P113" s="77" t="n">
        <v>11.6</v>
      </c>
      <c r="Q113" s="77" t="n">
        <v>12.6</v>
      </c>
      <c r="R113" s="77" t="n">
        <v>12.6</v>
      </c>
      <c r="S113" s="77" t="n">
        <v>12.6</v>
      </c>
    </row>
    <row r="114" ht="15" customHeight="1" s="78">
      <c r="A114" s="77" t="inlineStr">
        <is>
          <t>UK weight div 19 (input)</t>
        </is>
      </c>
      <c r="B114" s="77" t="inlineStr">
        <is>
          <t>‰ of B–E IoP</t>
        </is>
      </c>
      <c r="C114" s="77" t="inlineStr">
        <is>
          <t>ONS DIOP KM2R, annual weights, retrieved 2026-07-16</t>
        </is>
      </c>
      <c r="D114" s="77" t="n">
        <v>9.9</v>
      </c>
      <c r="E114" s="77" t="n">
        <v>4</v>
      </c>
      <c r="F114" s="77" t="n">
        <v>4</v>
      </c>
      <c r="G114" s="77" t="n">
        <v>6.6</v>
      </c>
      <c r="H114" s="77" t="n">
        <v>6.1</v>
      </c>
      <c r="I114" s="77" t="n">
        <v>13.4</v>
      </c>
      <c r="J114" s="77" t="n">
        <v>13.1</v>
      </c>
      <c r="K114" s="77" t="n">
        <v>13.8</v>
      </c>
      <c r="L114" s="77" t="n">
        <v>8.6</v>
      </c>
      <c r="M114" s="77" t="n">
        <v>12.4</v>
      </c>
      <c r="N114" s="77" t="n">
        <v>10.9</v>
      </c>
      <c r="O114" s="77" t="n">
        <v>10.7</v>
      </c>
      <c r="P114" s="77" t="n">
        <v>7.8</v>
      </c>
      <c r="Q114" s="77" t="n">
        <v>8.9</v>
      </c>
      <c r="R114" s="77" t="n">
        <v>8.9</v>
      </c>
      <c r="S114" s="77" t="n">
        <v>8.9</v>
      </c>
    </row>
    <row r="115" ht="15" customHeight="1" s="78">
      <c r="A115" s="77" t="inlineStr">
        <is>
          <t>UK weight div 20 (input)</t>
        </is>
      </c>
      <c r="B115" s="77" t="inlineStr">
        <is>
          <t>‰ of B–E IoP</t>
        </is>
      </c>
      <c r="C115" s="77" t="inlineStr">
        <is>
          <t>ONS DIOP KM2S, annual weights, retrieved 2026-07-16</t>
        </is>
      </c>
      <c r="D115" s="77" t="n">
        <v>33.6</v>
      </c>
      <c r="E115" s="77" t="n">
        <v>38.6</v>
      </c>
      <c r="F115" s="77" t="n">
        <v>37.9</v>
      </c>
      <c r="G115" s="77" t="n">
        <v>40.9</v>
      </c>
      <c r="H115" s="77" t="n">
        <v>42.7</v>
      </c>
      <c r="I115" s="77" t="n">
        <v>47.8</v>
      </c>
      <c r="J115" s="77" t="n">
        <v>43</v>
      </c>
      <c r="K115" s="77" t="n">
        <v>40.8</v>
      </c>
      <c r="L115" s="77" t="n">
        <v>41.8</v>
      </c>
      <c r="M115" s="77" t="n">
        <v>42.9</v>
      </c>
      <c r="N115" s="77" t="n">
        <v>47.3</v>
      </c>
      <c r="O115" s="77" t="n">
        <v>47.5</v>
      </c>
      <c r="P115" s="77" t="n">
        <v>37.2</v>
      </c>
      <c r="Q115" s="77" t="n">
        <v>34</v>
      </c>
      <c r="R115" s="77" t="n">
        <v>34</v>
      </c>
      <c r="S115" s="77" t="n">
        <v>34</v>
      </c>
    </row>
    <row r="116" ht="15" customHeight="1" s="78">
      <c r="A116" s="77" t="inlineStr">
        <is>
          <t>UK weight div 23 (input)</t>
        </is>
      </c>
      <c r="B116" s="77" t="inlineStr">
        <is>
          <t>‰ of B–E IoP</t>
        </is>
      </c>
      <c r="C116" s="77" t="inlineStr">
        <is>
          <t>ONS DIOP KM33, annual weights, retrieved 2026-07-16</t>
        </is>
      </c>
      <c r="D116" s="77" t="n">
        <v>20.4</v>
      </c>
      <c r="E116" s="77" t="n">
        <v>19.3</v>
      </c>
      <c r="F116" s="77" t="n">
        <v>19.3</v>
      </c>
      <c r="G116" s="77" t="n">
        <v>19.1</v>
      </c>
      <c r="H116" s="77" t="n">
        <v>21</v>
      </c>
      <c r="I116" s="77" t="n">
        <v>23.9</v>
      </c>
      <c r="J116" s="77" t="n">
        <v>24.8</v>
      </c>
      <c r="K116" s="77" t="n">
        <v>23.3</v>
      </c>
      <c r="L116" s="77" t="n">
        <v>23.8</v>
      </c>
      <c r="M116" s="77" t="n">
        <v>23.3</v>
      </c>
      <c r="N116" s="77" t="n">
        <v>21.8</v>
      </c>
      <c r="O116" s="77" t="n">
        <v>23.7</v>
      </c>
      <c r="P116" s="77" t="n">
        <v>21.7</v>
      </c>
      <c r="Q116" s="77" t="n">
        <v>21.4</v>
      </c>
      <c r="R116" s="77" t="n">
        <v>21.4</v>
      </c>
      <c r="S116" s="77" t="n">
        <v>21.4</v>
      </c>
    </row>
    <row r="117" ht="15" customHeight="1" s="78">
      <c r="A117" s="77" t="inlineStr">
        <is>
          <t>UK weight div 24 (input)</t>
        </is>
      </c>
      <c r="B117" s="77" t="inlineStr">
        <is>
          <t>‰ of B–E IoP</t>
        </is>
      </c>
      <c r="C117" s="77" t="inlineStr">
        <is>
          <t>ONS DIOP KM36, annual weights, retrieved 2026-07-16</t>
        </is>
      </c>
      <c r="D117" s="77" t="n">
        <v>17.8</v>
      </c>
      <c r="E117" s="77" t="n">
        <v>17.3</v>
      </c>
      <c r="F117" s="77" t="n">
        <v>18.6</v>
      </c>
      <c r="G117" s="77" t="n">
        <v>17.1</v>
      </c>
      <c r="H117" s="77" t="n">
        <v>19</v>
      </c>
      <c r="I117" s="77" t="n">
        <v>19</v>
      </c>
      <c r="J117" s="77" t="n">
        <v>19</v>
      </c>
      <c r="K117" s="77" t="n">
        <v>17.5</v>
      </c>
      <c r="L117" s="77" t="n">
        <v>16.6</v>
      </c>
      <c r="M117" s="77" t="n">
        <v>17.5</v>
      </c>
      <c r="N117" s="77" t="n">
        <v>16</v>
      </c>
      <c r="O117" s="77" t="n">
        <v>17.6</v>
      </c>
      <c r="P117" s="77" t="n">
        <v>19.4</v>
      </c>
      <c r="Q117" s="77" t="n">
        <v>17.7</v>
      </c>
      <c r="R117" s="77" t="n">
        <v>17.7</v>
      </c>
      <c r="S117" s="77" t="n">
        <v>17.7</v>
      </c>
    </row>
    <row r="118" ht="15" customHeight="1" s="78">
      <c r="A118" s="77" t="inlineStr">
        <is>
          <t>UK EI aggregate — CHAINED LASPEYRES (headline)</t>
        </is>
      </c>
      <c r="B118" s="77" t="inlineStr">
        <is>
          <t>index 2010=100</t>
        </is>
      </c>
      <c r="C118" s="77" t="inlineStr">
        <is>
          <t>estimated=Y; agg_t = agg_(t-1) × Σ w_(t-1)·(i_t/i_(t-1)) / Σ w_(t-1)</t>
        </is>
      </c>
      <c r="D118" s="77" t="n">
        <v>100</v>
      </c>
      <c r="E118" s="77">
        <f>D118*(D113*E8/D8+D114*E112/D112+D115*E9/D9+D116*E10/D10+D117*E11/D11)/(D113+D114+D115+D116+D117)</f>
        <v/>
      </c>
      <c r="F118" s="77">
        <f>E118*(E113*F8/E8+E114*F112/E112+E115*F9/E9+E116*F10/E10+E117*F11/E11)/(E113+E114+E115+E116+E117)</f>
        <v/>
      </c>
      <c r="G118" s="77">
        <f>F118*(F113*G8/F8+F114*G112/F112+F115*G9/F9+F116*G10/F10+F117*G11/F11)/(F113+F114+F115+F116+F117)</f>
        <v/>
      </c>
      <c r="H118" s="77">
        <f>G118*(G113*H8/G8+G114*H112/G112+G115*H9/G9+G116*H10/G10+G117*H11/G11)/(G113+G114+G115+G116+G117)</f>
        <v/>
      </c>
      <c r="I118" s="77">
        <f>H118*(H113*I8/H8+H114*I112/H112+H115*I9/H9+H116*I10/H10+H117*I11/H11)/(H113+H114+H115+H116+H117)</f>
        <v/>
      </c>
      <c r="J118" s="77">
        <f>I118*(I113*J8/I8+I114*J112/I112+I115*J9/I9+I116*J10/I10+I117*J11/I11)/(I113+I114+I115+I116+I117)</f>
        <v/>
      </c>
      <c r="K118" s="77">
        <f>J118*(J113*K8/J8+J114*K112/J112+J115*K9/J9+J116*K10/J10+J117*K11/J11)/(J113+J114+J115+J116+J117)</f>
        <v/>
      </c>
      <c r="L118" s="77">
        <f>K118*(K113*L8/K8+K114*L112/K112+K115*L9/K9+K116*L10/K10+K117*L11/K11)/(K113+K114+K115+K116+K117)</f>
        <v/>
      </c>
      <c r="M118" s="77">
        <f>L118*(L113*M8/L8+L114*M112/L112+L115*M9/L9+L116*M10/L10+L117*M11/L11)/(L113+L114+L115+L116+L117)</f>
        <v/>
      </c>
      <c r="N118" s="77">
        <f>M118*(M113*N8/M8+M114*N112/M112+M115*N9/M9+M116*N10/M10+M117*N11/M11)/(M113+M114+M115+M116+M117)</f>
        <v/>
      </c>
      <c r="O118" s="77">
        <f>N118*(N113*O8/N8+N114*O112/N112+N115*O9/N9+N116*O10/N10+N117*O11/N11)/(N113+N114+N115+N116+N117)</f>
        <v/>
      </c>
      <c r="P118" s="77">
        <f>O118*(O113*P8/O8+O114*P112/O112+O115*P9/O9+O116*P10/O10+O117*P11/O11)/(O113+O114+O115+O116+O117)</f>
        <v/>
      </c>
      <c r="Q118" s="77">
        <f>P118*(P113*Q8/P8+P114*Q112/P112+P115*Q9/P9+P116*Q10/P10+P117*Q11/P11)/(P113+P114+P115+P116+P117)</f>
        <v/>
      </c>
      <c r="R118" s="77">
        <f>Q118*(Q113*R8/Q8+Q114*R112/Q112+Q115*R9/Q9+Q116*R10/Q10+Q117*R11/Q11)/(Q113+Q114+Q115+Q116+Q117)</f>
        <v/>
      </c>
      <c r="S118" s="77">
        <f>R118*(R113*S8/R8+R114*S112/R112+R115*S9/R9+R116*S10/R10+R117*S11/R11)/(R113+R114+R115+R116+R117)</f>
        <v/>
      </c>
    </row>
    <row r="119" ht="15" customHeight="1" s="78">
      <c r="A119" s="77" t="inlineStr">
        <is>
          <t>UK EI aggregate — variant: same-year-weight mean</t>
        </is>
      </c>
      <c r="B119" s="77" t="inlineStr">
        <is>
          <t>index 2010=100</t>
        </is>
      </c>
      <c r="C119" s="77" t="inlineStr">
        <is>
          <t>estimated=Y; Σ w_t·i_t / Σ w_t, rebased 2010=100</t>
        </is>
      </c>
      <c r="D119" s="77">
        <f>((D113*D8+D114*D112+D115*D9+D116*D10+D117*D11)/(D113+D114+D115+D116+D117))/((D113*D8+D114*D112+D115*D9+D116*D10+D117*D11)/(D113+D114+D115+D116+D117))*100</f>
        <v/>
      </c>
      <c r="E119" s="77">
        <f>((E113*E8+E114*E112+E115*E9+E116*E10+E117*E11)/(E113+E114+E115+E116+E117))/((D113*D8+D114*D112+D115*D9+D116*D10+D117*D11)/(D113+D114+D115+D116+D117))*100</f>
        <v/>
      </c>
      <c r="F119" s="77">
        <f>((F113*F8+F114*F112+F115*F9+F116*F10+F117*F11)/(F113+F114+F115+F116+F117))/((D113*D8+D114*D112+D115*D9+D116*D10+D117*D11)/(D113+D114+D115+D116+D117))*100</f>
        <v/>
      </c>
      <c r="G119" s="77">
        <f>((G113*G8+G114*G112+G115*G9+G116*G10+G117*G11)/(G113+G114+G115+G116+G117))/((D113*D8+D114*D112+D115*D9+D116*D10+D117*D11)/(D113+D114+D115+D116+D117))*100</f>
        <v/>
      </c>
      <c r="H119" s="77">
        <f>((H113*H8+H114*H112+H115*H9+H116*H10+H117*H11)/(H113+H114+H115+H116+H117))/((D113*D8+D114*D112+D115*D9+D116*D10+D117*D11)/(D113+D114+D115+D116+D117))*100</f>
        <v/>
      </c>
      <c r="I119" s="77">
        <f>((I113*I8+I114*I112+I115*I9+I116*I10+I117*I11)/(I113+I114+I115+I116+I117))/((D113*D8+D114*D112+D115*D9+D116*D10+D117*D11)/(D113+D114+D115+D116+D117))*100</f>
        <v/>
      </c>
      <c r="J119" s="77">
        <f>((J113*J8+J114*J112+J115*J9+J116*J10+J117*J11)/(J113+J114+J115+J116+J117))/((D113*D8+D114*D112+D115*D9+D116*D10+D117*D11)/(D113+D114+D115+D116+D117))*100</f>
        <v/>
      </c>
      <c r="K119" s="77">
        <f>((K113*K8+K114*K112+K115*K9+K116*K10+K117*K11)/(K113+K114+K115+K116+K117))/((D113*D8+D114*D112+D115*D9+D116*D10+D117*D11)/(D113+D114+D115+D116+D117))*100</f>
        <v/>
      </c>
      <c r="L119" s="77">
        <f>((L113*L8+L114*L112+L115*L9+L116*L10+L117*L11)/(L113+L114+L115+L116+L117))/((D113*D8+D114*D112+D115*D9+D116*D10+D117*D11)/(D113+D114+D115+D116+D117))*100</f>
        <v/>
      </c>
      <c r="M119" s="77">
        <f>((M113*M8+M114*M112+M115*M9+M116*M10+M117*M11)/(M113+M114+M115+M116+M117))/((D113*D8+D114*D112+D115*D9+D116*D10+D117*D11)/(D113+D114+D115+D116+D117))*100</f>
        <v/>
      </c>
      <c r="N119" s="77">
        <f>((N113*N8+N114*N112+N115*N9+N116*N10+N117*N11)/(N113+N114+N115+N116+N117))/((D113*D8+D114*D112+D115*D9+D116*D10+D117*D11)/(D113+D114+D115+D116+D117))*100</f>
        <v/>
      </c>
      <c r="O119" s="77">
        <f>((O113*O8+O114*O112+O115*O9+O116*O10+O117*O11)/(O113+O114+O115+O116+O117))/((D113*D8+D114*D112+D115*D9+D116*D10+D117*D11)/(D113+D114+D115+D116+D117))*100</f>
        <v/>
      </c>
      <c r="P119" s="77">
        <f>((P113*P8+P114*P112+P115*P9+P116*P10+P117*P11)/(P113+P114+P115+P116+P117))/((D113*D8+D114*D112+D115*D9+D116*D10+D117*D11)/(D113+D114+D115+D116+D117))*100</f>
        <v/>
      </c>
      <c r="Q119" s="77">
        <f>((Q113*Q8+Q114*Q112+Q115*Q9+Q116*Q10+Q117*Q11)/(Q113+Q114+Q115+Q116+Q117))/((D113*D8+D114*D112+D115*D9+D116*D10+D117*D11)/(D113+D114+D115+D116+D117))*100</f>
        <v/>
      </c>
      <c r="R119" s="77">
        <f>((R113*R8+R114*R112+R115*R9+R116*R10+R117*R11)/(R113+R114+R115+R116+R117))/((D113*D8+D114*D112+D115*D9+D116*D10+D117*D11)/(D113+D114+D115+D116+D117))*100</f>
        <v/>
      </c>
      <c r="S119" s="77">
        <f>((S113*S8+S114*S112+S115*S9+S116*S10+S117*S11)/(S113+S114+S115+S116+S117))/((D113*D8+D114*D112+D115*D9+D116*D10+D117*D11)/(D113+D114+D115+D116+D117))*100</f>
        <v/>
      </c>
    </row>
    <row r="120" ht="15" customHeight="1" s="78">
      <c r="A120" s="77" t="inlineStr">
        <is>
          <t>UK EI aggregate — variant: fixed 2023 weights</t>
        </is>
      </c>
      <c r="B120" s="77" t="inlineStr">
        <is>
          <t>index 2010=100</t>
        </is>
      </c>
      <c r="C120" s="77" t="inlineStr">
        <is>
          <t>estimated=Y; Destatis-style fixed base-year weights, rebased 2010=100</t>
        </is>
      </c>
      <c r="D120" s="77">
        <f>($Q113*D8+$Q114*D112+$Q115*D9+$Q116*D10+$Q117*D11)/($Q113*D8+$Q114*D112+$Q115*D9+$Q116*D10+$Q117*D11)*100</f>
        <v/>
      </c>
      <c r="E120" s="77">
        <f>($Q113*E8+$Q114*E112+$Q115*E9+$Q116*E10+$Q117*E11)/($Q113*D8+$Q114*D112+$Q115*D9+$Q116*D10+$Q117*D11)*100</f>
        <v/>
      </c>
      <c r="F120" s="77">
        <f>($Q113*F8+$Q114*F112+$Q115*F9+$Q116*F10+$Q117*F11)/($Q113*D8+$Q114*D112+$Q115*D9+$Q116*D10+$Q117*D11)*100</f>
        <v/>
      </c>
      <c r="G120" s="77">
        <f>($Q113*G8+$Q114*G112+$Q115*G9+$Q116*G10+$Q117*G11)/($Q113*D8+$Q114*D112+$Q115*D9+$Q116*D10+$Q117*D11)*100</f>
        <v/>
      </c>
      <c r="H120" s="77">
        <f>($Q113*H8+$Q114*H112+$Q115*H9+$Q116*H10+$Q117*H11)/($Q113*D8+$Q114*D112+$Q115*D9+$Q116*D10+$Q117*D11)*100</f>
        <v/>
      </c>
      <c r="I120" s="77">
        <f>($Q113*I8+$Q114*I112+$Q115*I9+$Q116*I10+$Q117*I11)/($Q113*D8+$Q114*D112+$Q115*D9+$Q116*D10+$Q117*D11)*100</f>
        <v/>
      </c>
      <c r="J120" s="77">
        <f>($Q113*J8+$Q114*J112+$Q115*J9+$Q116*J10+$Q117*J11)/($Q113*D8+$Q114*D112+$Q115*D9+$Q116*D10+$Q117*D11)*100</f>
        <v/>
      </c>
      <c r="K120" s="77">
        <f>($Q113*K8+$Q114*K112+$Q115*K9+$Q116*K10+$Q117*K11)/($Q113*D8+$Q114*D112+$Q115*D9+$Q116*D10+$Q117*D11)*100</f>
        <v/>
      </c>
      <c r="L120" s="77">
        <f>($Q113*L8+$Q114*L112+$Q115*L9+$Q116*L10+$Q117*L11)/($Q113*D8+$Q114*D112+$Q115*D9+$Q116*D10+$Q117*D11)*100</f>
        <v/>
      </c>
      <c r="M120" s="77">
        <f>($Q113*M8+$Q114*M112+$Q115*M9+$Q116*M10+$Q117*M11)/($Q113*D8+$Q114*D112+$Q115*D9+$Q116*D10+$Q117*D11)*100</f>
        <v/>
      </c>
      <c r="N120" s="77">
        <f>($Q113*N8+$Q114*N112+$Q115*N9+$Q116*N10+$Q117*N11)/($Q113*D8+$Q114*D112+$Q115*D9+$Q116*D10+$Q117*D11)*100</f>
        <v/>
      </c>
      <c r="O120" s="77">
        <f>($Q113*O8+$Q114*O112+$Q115*O9+$Q116*O10+$Q117*O11)/($Q113*D8+$Q114*D112+$Q115*D9+$Q116*D10+$Q117*D11)*100</f>
        <v/>
      </c>
      <c r="P120" s="77">
        <f>($Q113*P8+$Q114*P112+$Q115*P9+$Q116*P10+$Q117*P11)/($Q113*D8+$Q114*D112+$Q115*D9+$Q116*D10+$Q117*D11)*100</f>
        <v/>
      </c>
      <c r="Q120" s="77">
        <f>($Q113*Q8+$Q114*Q112+$Q115*Q9+$Q116*Q10+$Q117*Q11)/($Q113*D8+$Q114*D112+$Q115*D9+$Q116*D10+$Q117*D11)*100</f>
        <v/>
      </c>
      <c r="R120" s="77">
        <f>($Q113*R8+$Q114*R112+$Q115*R9+$Q116*R10+$Q117*R11)/($Q113*D8+$Q114*D112+$Q115*D9+$Q116*D10+$Q117*D11)*100</f>
        <v/>
      </c>
      <c r="S120" s="77">
        <f>($Q113*S8+$Q114*S112+$Q115*S9+$Q116*S10+$Q117*S11)/($Q113*D8+$Q114*D112+$Q115*D9+$Q116*D10+$Q117*D11)*100</f>
        <v/>
      </c>
    </row>
    <row r="121" ht="15" customHeight="1" s="78">
      <c r="A121" s="77" t="inlineStr">
        <is>
          <t>UK EI aggregate — band LOWER</t>
        </is>
      </c>
      <c r="B121" s="77" t="inlineStr">
        <is>
          <t>index 2010=100</t>
        </is>
      </c>
      <c r="C121" s="77" t="inlineStr">
        <is>
          <t>MIN of three variants (D36 band — never delete)</t>
        </is>
      </c>
      <c r="D121" s="77">
        <f>MIN(D118,D119,D120)</f>
        <v/>
      </c>
      <c r="E121" s="77">
        <f>MIN(E118,E119,E120)</f>
        <v/>
      </c>
      <c r="F121" s="77">
        <f>MIN(F118,F119,F120)</f>
        <v/>
      </c>
      <c r="G121" s="77">
        <f>MIN(G118,G119,G120)</f>
        <v/>
      </c>
      <c r="H121" s="77">
        <f>MIN(H118,H119,H120)</f>
        <v/>
      </c>
      <c r="I121" s="77">
        <f>MIN(I118,I119,I120)</f>
        <v/>
      </c>
      <c r="J121" s="77">
        <f>MIN(J118,J119,J120)</f>
        <v/>
      </c>
      <c r="K121" s="77">
        <f>MIN(K118,K119,K120)</f>
        <v/>
      </c>
      <c r="L121" s="77">
        <f>MIN(L118,L119,L120)</f>
        <v/>
      </c>
      <c r="M121" s="77">
        <f>MIN(M118,M119,M120)</f>
        <v/>
      </c>
      <c r="N121" s="77">
        <f>MIN(N118,N119,N120)</f>
        <v/>
      </c>
      <c r="O121" s="77">
        <f>MIN(O118,O119,O120)</f>
        <v/>
      </c>
      <c r="P121" s="77">
        <f>MIN(P118,P119,P120)</f>
        <v/>
      </c>
      <c r="Q121" s="77">
        <f>MIN(Q118,Q119,Q120)</f>
        <v/>
      </c>
      <c r="R121" s="77">
        <f>MIN(R118,R119,R120)</f>
        <v/>
      </c>
      <c r="S121" s="77">
        <f>MIN(S118,S119,S120)</f>
        <v/>
      </c>
    </row>
    <row r="122" ht="15" customHeight="1" s="78">
      <c r="A122" s="77" t="inlineStr">
        <is>
          <t>UK EI aggregate — band UPPER</t>
        </is>
      </c>
      <c r="B122" s="77" t="inlineStr">
        <is>
          <t>index 2010=100</t>
        </is>
      </c>
      <c r="C122" s="77" t="inlineStr">
        <is>
          <t>MAX of three variants (D36 band — never delete)</t>
        </is>
      </c>
      <c r="D122" s="77">
        <f>MAX(D118,D119,D120)</f>
        <v/>
      </c>
      <c r="E122" s="77">
        <f>MAX(E118,E119,E120)</f>
        <v/>
      </c>
      <c r="F122" s="77">
        <f>MAX(F118,F119,F120)</f>
        <v/>
      </c>
      <c r="G122" s="77">
        <f>MAX(G118,G119,G120)</f>
        <v/>
      </c>
      <c r="H122" s="77">
        <f>MAX(H118,H119,H120)</f>
        <v/>
      </c>
      <c r="I122" s="77">
        <f>MAX(I118,I119,I120)</f>
        <v/>
      </c>
      <c r="J122" s="77">
        <f>MAX(J118,J119,J120)</f>
        <v/>
      </c>
      <c r="K122" s="77">
        <f>MAX(K118,K119,K120)</f>
        <v/>
      </c>
      <c r="L122" s="77">
        <f>MAX(L118,L119,L120)</f>
        <v/>
      </c>
      <c r="M122" s="77">
        <f>MAX(M118,M119,M120)</f>
        <v/>
      </c>
      <c r="N122" s="77">
        <f>MAX(N118,N119,N120)</f>
        <v/>
      </c>
      <c r="O122" s="77">
        <f>MAX(O118,O119,O120)</f>
        <v/>
      </c>
      <c r="P122" s="77">
        <f>MAX(P118,P119,P120)</f>
        <v/>
      </c>
      <c r="Q122" s="77">
        <f>MAX(Q118,Q119,Q120)</f>
        <v/>
      </c>
      <c r="R122" s="77">
        <f>MAX(R118,R119,R120)</f>
        <v/>
      </c>
      <c r="S122" s="77">
        <f>MAX(S118,S119,S120)</f>
        <v/>
      </c>
    </row>
    <row r="124" ht="15" customHeight="1" s="78">
      <c r="A124" s="77" t="inlineStr">
        <is>
          <t>N14 UK EI aggregate (D36): constructed, no official equivalent; weighted CVM aggregation is approximate (components non-additive); result driven ~40% by chemicals div 20 — present ONLY with the band and the Q39 caveat, and always beside the tonnage panel. CN equivalent not constructible.</t>
        </is>
      </c>
    </row>
    <row r="126" ht="15" customHeight="1" s="78">
      <c r="A126" s="109" t="inlineStr">
        <is>
          <t>I. ELECTRICITY-WEIGHTED FOUR-COMMODITY COMPOSITE — steel+cement+primary aluminium+paper&amp;board, identical basket UK/DE/CN (D37); estimated=Y throughout [D65 2026-07-24: this section is now a VARIANT/SENSITIVITY — the composite HEADLINE moved to section K (product-weighted). Retained in full, never deleted.]</t>
        </is>
      </c>
    </row>
    <row r="127" ht="15" customHeight="1" s="78">
      <c r="A127" s="77" t="inlineStr">
        <is>
          <t>Composite = Σ (kWh/t coefficient × tonnage) = implied electricity-relevant output (TWh), indexed 2010=100. Fixed global coefficients (editable inputs below). Band = steel-route sensitivity (BF-BOF@10% share 672 / scrap-EAF@70% 1,991 kWh/t; D62) — steel is the weak coefficient (derived, not published; Q40). NOT the same basket as the divisions-based EI aggregates (no chemicals/refining — no tonnage exists). Glass excluded (no UK series, Q36).</t>
        </is>
      </c>
    </row>
    <row r="128" ht="15" customHeight="1" s="78">
      <c r="A128" s="77" t="inlineStr">
        <is>
          <t>Coefficient: primary aluminium</t>
        </is>
      </c>
      <c r="B128" s="77" t="inlineStr">
        <is>
          <t>kWh/t</t>
        </is>
      </c>
      <c r="C128" s="77" t="inlineStr">
        <is>
          <t>IAI Primary Aluminium Smelting Energy Intensity, 2024, World, Total Energy (AC); DC=13,208 noted. Tier 2. retrieved 2026-07-16 (S80)</t>
        </is>
      </c>
      <c r="D128" s="77" t="n">
        <v>13990</v>
      </c>
    </row>
    <row r="129" ht="15" customHeight="1" s="78">
      <c r="A129" s="77" t="inlineStr">
        <is>
          <t>Coefficient: crude steel CENTRAL</t>
        </is>
      </c>
      <c r="B129" s="77" t="inlineStr">
        <is>
          <t>kWh/t</t>
        </is>
      </c>
      <c r="C129" s="77" t="inlineStr">
        <is>
          <t>DERIVED estimated=Y: worldsteel Sustainability Indicators 2024 route GJ/t (2023) × worldsteel Energy-use page electricity-share ranges, page updated May 2026 (BF-BOF 10–15% → mid 12.5%; scrap-EAF 50–70% → mid 60%) × WSIF2025 route mix (70.4/29.1). Re-derived 2026-07-19 (D62, S176); supersedes 2018 fact-sheet 7%/50% points. Q40 (S80)</t>
        </is>
      </c>
      <c r="D129" s="77" t="n">
        <v>1088</v>
      </c>
    </row>
    <row r="130" ht="15" customHeight="1" s="78">
      <c r="A130" s="77" t="inlineStr">
        <is>
          <t>Coefficient: crude steel LOW (BOF route)</t>
        </is>
      </c>
      <c r="B130" s="77" t="inlineStr">
        <is>
          <t>kWh/t</t>
        </is>
      </c>
      <c r="C130" s="77" t="inlineStr">
        <is>
          <t>24.20 GJ/t × 10% (worldsteel range low, May-2026 page) ÷ 0.0036 — band input (S80/S176, D62)</t>
        </is>
      </c>
      <c r="D130" s="77" t="n">
        <v>672</v>
      </c>
    </row>
    <row r="131" ht="15" customHeight="1" s="78">
      <c r="A131" s="77" t="inlineStr">
        <is>
          <t>Coefficient: crude steel HIGH (scrap-EAF route)</t>
        </is>
      </c>
      <c r="B131" s="77" t="inlineStr">
        <is>
          <t>kWh/t</t>
        </is>
      </c>
      <c r="C131" s="77" t="inlineStr">
        <is>
          <t>10.24 GJ/t × 70% (worldsteel range high, May-2026 page) ÷ 0.0036 — band input (S80/S176, D62)</t>
        </is>
      </c>
      <c r="D131" s="77" t="n">
        <v>1991</v>
      </c>
    </row>
    <row r="132" ht="15" customHeight="1" s="78">
      <c r="A132" s="77" t="inlineStr">
        <is>
          <t>Coefficient: cement</t>
        </is>
      </c>
      <c r="B132" s="77" t="inlineStr">
        <is>
          <t>kWh/t</t>
        </is>
      </c>
      <c r="C132" s="77" t="inlineStr">
        <is>
          <t>IEA cement tracking page, 2022 edition: ~100 kWh/t (2022, world). PINNED VINTAGE (D62): figure absent from current IEA cement page (checked 2026-07-19, S177) — Tier 1 by pinned edition, pending archived locator. GNR world value gated — Q40 (S80)</t>
        </is>
      </c>
      <c r="D132" s="77" t="n">
        <v>100</v>
      </c>
    </row>
    <row r="133" ht="15" customHeight="1" s="78">
      <c r="A133" s="77" t="inlineStr">
        <is>
          <t>Coefficient: paper &amp; board</t>
        </is>
      </c>
      <c r="B133" s="77" t="inlineStr">
        <is>
          <t>kWh/t</t>
        </is>
      </c>
      <c r="C133" s="77" t="inlineStr">
        <is>
          <t>CEPI Key Statistics 2024 p.30: 0.88 GWh/kt (2023, CEPI/EU scope — NOT global, stated). Tier 2 (S80)</t>
        </is>
      </c>
      <c r="D133" s="77" t="n">
        <v>880</v>
      </c>
    </row>
    <row r="135" ht="15" customHeight="1" s="78">
      <c r="A135" s="109" t="inlineStr">
        <is>
          <t>Series</t>
        </is>
      </c>
      <c r="B135" s="77" t="inlineStr">
        <is>
          <t>Unit</t>
        </is>
      </c>
      <c r="C135" s="77" t="inlineStr">
        <is>
          <t>Case/notes</t>
        </is>
      </c>
      <c r="D135" s="109" t="n">
        <v>2010</v>
      </c>
      <c r="E135" s="109" t="n">
        <v>2011</v>
      </c>
      <c r="F135" s="109" t="n">
        <v>2012</v>
      </c>
      <c r="G135" s="109" t="n">
        <v>2013</v>
      </c>
      <c r="H135" s="109" t="n">
        <v>2014</v>
      </c>
      <c r="I135" s="109" t="n">
        <v>2015</v>
      </c>
      <c r="J135" s="109" t="n">
        <v>2016</v>
      </c>
      <c r="K135" s="109" t="n">
        <v>2017</v>
      </c>
      <c r="L135" s="109" t="n">
        <v>2018</v>
      </c>
      <c r="M135" s="109" t="n">
        <v>2019</v>
      </c>
      <c r="N135" s="109" t="n">
        <v>2020</v>
      </c>
      <c r="O135" s="109" t="n">
        <v>2021</v>
      </c>
      <c r="P135" s="109" t="n">
        <v>2022</v>
      </c>
      <c r="Q135" s="109" t="n">
        <v>2023</v>
      </c>
      <c r="R135" s="109" t="n">
        <v>2024</v>
      </c>
      <c r="S135" s="109" t="n">
        <v>2025</v>
      </c>
    </row>
    <row r="136" ht="15" customHeight="1" s="78">
      <c r="A136" s="77" t="inlineStr">
        <is>
          <t>UK implied electricity of 4 commodities (TWh)</t>
        </is>
      </c>
      <c r="B136" s="77" t="inlineStr">
        <is>
          <t>TWh</t>
        </is>
      </c>
      <c r="C136" s="77" t="inlineStr">
        <is>
          <t>estimated=Y; Σ coef×kt ÷ 1e6 (central coef set)</t>
        </is>
      </c>
      <c r="D136" s="77">
        <f>($D$128*D69+$D$129*D63+$D$132*D66+$D$133*D72)/1000000</f>
        <v/>
      </c>
      <c r="E136" s="77">
        <f>($D$128*E69+$D$129*E63+$D$132*E66+$D$133*E72)/1000000</f>
        <v/>
      </c>
      <c r="F136" s="77">
        <f>($D$128*F69+$D$129*F63+$D$132*F66+$D$133*F72)/1000000</f>
        <v/>
      </c>
      <c r="G136" s="77">
        <f>($D$128*G69+$D$129*G63+$D$132*G66+$D$133*G72)/1000000</f>
        <v/>
      </c>
      <c r="H136" s="77">
        <f>($D$128*H69+$D$129*H63+$D$132*H66+$D$133*H72)/1000000</f>
        <v/>
      </c>
      <c r="I136" s="77">
        <f>($D$128*I69+$D$129*I63+$D$132*I66+$D$133*I72)/1000000</f>
        <v/>
      </c>
      <c r="J136" s="77">
        <f>($D$128*J69+$D$129*J63+$D$132*J66+$D$133*J72)/1000000</f>
        <v/>
      </c>
      <c r="K136" s="77">
        <f>($D$128*K69+$D$129*K63+$D$132*K66+$D$133*K72)/1000000</f>
        <v/>
      </c>
      <c r="L136" s="77">
        <f>($D$128*L69+$D$129*L63+$D$132*L66+$D$133*L72)/1000000</f>
        <v/>
      </c>
      <c r="M136" s="77">
        <f>($D$128*M69+$D$129*M63+$D$132*M66+$D$133*M72)/1000000</f>
        <v/>
      </c>
      <c r="N136" s="77">
        <f>($D$128*N69+$D$129*N63+$D$132*N66+$D$133*N72)/1000000</f>
        <v/>
      </c>
      <c r="O136" s="77">
        <f>($D$128*O69+$D$129*O63+$D$132*O66+$D$133*O72)/1000000</f>
        <v/>
      </c>
      <c r="P136" s="77">
        <f>($D$128*P69+$D$129*P63+$D$132*P66+$D$133*P72)/1000000</f>
        <v/>
      </c>
      <c r="Q136" s="77">
        <f>($D$128*Q69+$D$129*Q63+$D$132*Q66+$D$133*Q72)/1000000</f>
        <v/>
      </c>
      <c r="R136" s="77">
        <f>($D$128*R69+$D$129*R63+$D$132*R66+$D$133*R72)/1000000</f>
        <v/>
      </c>
    </row>
    <row r="137" ht="15" customHeight="1" s="78">
      <c r="A137" s="77" t="inlineStr">
        <is>
          <t>UK — TWh variant, steel LOW</t>
        </is>
      </c>
      <c r="B137" s="77" t="inlineStr">
        <is>
          <t>TWh</t>
        </is>
      </c>
      <c r="C137" s="77" t="inlineStr">
        <is>
          <t>estimated=Y; Σ coef×kt ÷ 1e6 (band input)</t>
        </is>
      </c>
      <c r="D137" s="77">
        <f>($D$128*D69+$D$130*D63+$D$132*D66+$D$133*D72)/1000000</f>
        <v/>
      </c>
      <c r="E137" s="77">
        <f>($D$128*E69+$D$130*E63+$D$132*E66+$D$133*E72)/1000000</f>
        <v/>
      </c>
      <c r="F137" s="77">
        <f>($D$128*F69+$D$130*F63+$D$132*F66+$D$133*F72)/1000000</f>
        <v/>
      </c>
      <c r="G137" s="77">
        <f>($D$128*G69+$D$130*G63+$D$132*G66+$D$133*G72)/1000000</f>
        <v/>
      </c>
      <c r="H137" s="77">
        <f>($D$128*H69+$D$130*H63+$D$132*H66+$D$133*H72)/1000000</f>
        <v/>
      </c>
      <c r="I137" s="77">
        <f>($D$128*I69+$D$130*I63+$D$132*I66+$D$133*I72)/1000000</f>
        <v/>
      </c>
      <c r="J137" s="77">
        <f>($D$128*J69+$D$130*J63+$D$132*J66+$D$133*J72)/1000000</f>
        <v/>
      </c>
      <c r="K137" s="77">
        <f>($D$128*K69+$D$130*K63+$D$132*K66+$D$133*K72)/1000000</f>
        <v/>
      </c>
      <c r="L137" s="77">
        <f>($D$128*L69+$D$130*L63+$D$132*L66+$D$133*L72)/1000000</f>
        <v/>
      </c>
      <c r="M137" s="77">
        <f>($D$128*M69+$D$130*M63+$D$132*M66+$D$133*M72)/1000000</f>
        <v/>
      </c>
      <c r="N137" s="77">
        <f>($D$128*N69+$D$130*N63+$D$132*N66+$D$133*N72)/1000000</f>
        <v/>
      </c>
      <c r="O137" s="77">
        <f>($D$128*O69+$D$130*O63+$D$132*O66+$D$133*O72)/1000000</f>
        <v/>
      </c>
      <c r="P137" s="77">
        <f>($D$128*P69+$D$130*P63+$D$132*P66+$D$133*P72)/1000000</f>
        <v/>
      </c>
      <c r="Q137" s="77">
        <f>($D$128*Q69+$D$130*Q63+$D$132*Q66+$D$133*Q72)/1000000</f>
        <v/>
      </c>
      <c r="R137" s="77">
        <f>($D$128*R69+$D$130*R63+$D$132*R66+$D$133*R72)/1000000</f>
        <v/>
      </c>
    </row>
    <row r="138" ht="15" customHeight="1" s="78">
      <c r="A138" s="77" t="inlineStr">
        <is>
          <t>UK — TWh variant, steel HIGH</t>
        </is>
      </c>
      <c r="B138" s="77" t="inlineStr">
        <is>
          <t>TWh</t>
        </is>
      </c>
      <c r="C138" s="77" t="inlineStr">
        <is>
          <t>estimated=Y; Σ coef×kt ÷ 1e6 (band input)</t>
        </is>
      </c>
      <c r="D138" s="77">
        <f>($D$128*D69+$D$131*D63+$D$132*D66+$D$133*D72)/1000000</f>
        <v/>
      </c>
      <c r="E138" s="77">
        <f>($D$128*E69+$D$131*E63+$D$132*E66+$D$133*E72)/1000000</f>
        <v/>
      </c>
      <c r="F138" s="77">
        <f>($D$128*F69+$D$131*F63+$D$132*F66+$D$133*F72)/1000000</f>
        <v/>
      </c>
      <c r="G138" s="77">
        <f>($D$128*G69+$D$131*G63+$D$132*G66+$D$133*G72)/1000000</f>
        <v/>
      </c>
      <c r="H138" s="77">
        <f>($D$128*H69+$D$131*H63+$D$132*H66+$D$133*H72)/1000000</f>
        <v/>
      </c>
      <c r="I138" s="77">
        <f>($D$128*I69+$D$131*I63+$D$132*I66+$D$133*I72)/1000000</f>
        <v/>
      </c>
      <c r="J138" s="77">
        <f>($D$128*J69+$D$131*J63+$D$132*J66+$D$133*J72)/1000000</f>
        <v/>
      </c>
      <c r="K138" s="77">
        <f>($D$128*K69+$D$131*K63+$D$132*K66+$D$133*K72)/1000000</f>
        <v/>
      </c>
      <c r="L138" s="77">
        <f>($D$128*L69+$D$131*L63+$D$132*L66+$D$133*L72)/1000000</f>
        <v/>
      </c>
      <c r="M138" s="77">
        <f>($D$128*M69+$D$131*M63+$D$132*M66+$D$133*M72)/1000000</f>
        <v/>
      </c>
      <c r="N138" s="77">
        <f>($D$128*N69+$D$131*N63+$D$132*N66+$D$133*N72)/1000000</f>
        <v/>
      </c>
      <c r="O138" s="77">
        <f>($D$128*O69+$D$131*O63+$D$132*O66+$D$133*O72)/1000000</f>
        <v/>
      </c>
      <c r="P138" s="77">
        <f>($D$128*P69+$D$131*P63+$D$132*P66+$D$133*P72)/1000000</f>
        <v/>
      </c>
      <c r="Q138" s="77">
        <f>($D$128*Q69+$D$131*Q63+$D$132*Q66+$D$133*Q72)/1000000</f>
        <v/>
      </c>
      <c r="R138" s="77">
        <f>($D$128*R69+$D$131*R63+$D$132*R66+$D$133*R72)/1000000</f>
        <v/>
      </c>
    </row>
    <row r="139" ht="15" customHeight="1" s="78">
      <c r="A139" s="77" t="inlineStr">
        <is>
          <t>UK electricity-weighted composite index (VARIANT per D65 — was CENTRAL under D37/D62)</t>
        </is>
      </c>
      <c r="B139" s="77" t="inlineStr">
        <is>
          <t>index 2010=100</t>
        </is>
      </c>
      <c r="C139" s="77" t="inlineStr">
        <is>
          <t>estimated=Y (D37)</t>
        </is>
      </c>
      <c r="D139" s="77">
        <f>D136/$D$136*100</f>
        <v/>
      </c>
      <c r="E139" s="77">
        <f>E136/$D$136*100</f>
        <v/>
      </c>
      <c r="F139" s="77">
        <f>F136/$D$136*100</f>
        <v/>
      </c>
      <c r="G139" s="77">
        <f>G136/$D$136*100</f>
        <v/>
      </c>
      <c r="H139" s="77">
        <f>H136/$D$136*100</f>
        <v/>
      </c>
      <c r="I139" s="77">
        <f>I136/$D$136*100</f>
        <v/>
      </c>
      <c r="J139" s="77">
        <f>J136/$D$136*100</f>
        <v/>
      </c>
      <c r="K139" s="77">
        <f>K136/$D$136*100</f>
        <v/>
      </c>
      <c r="L139" s="77">
        <f>L136/$D$136*100</f>
        <v/>
      </c>
      <c r="M139" s="77">
        <f>M136/$D$136*100</f>
        <v/>
      </c>
      <c r="N139" s="77">
        <f>N136/$D$136*100</f>
        <v/>
      </c>
      <c r="O139" s="77">
        <f>O136/$D$136*100</f>
        <v/>
      </c>
      <c r="P139" s="77">
        <f>P136/$D$136*100</f>
        <v/>
      </c>
      <c r="Q139" s="77">
        <f>Q136/$D$136*100</f>
        <v/>
      </c>
      <c r="R139" s="77">
        <f>R136/$D$136*100</f>
        <v/>
      </c>
    </row>
    <row r="140" ht="15" customHeight="1" s="78">
      <c r="A140" s="77" t="inlineStr">
        <is>
          <t>UK — index variant, steel LOW</t>
        </is>
      </c>
      <c r="B140" s="77" t="inlineStr">
        <is>
          <t>index 2010=100</t>
        </is>
      </c>
      <c r="C140" s="77" t="inlineStr">
        <is>
          <t>estimated=Y (D37)</t>
        </is>
      </c>
      <c r="D140" s="77">
        <f>D137/$D$137*100</f>
        <v/>
      </c>
      <c r="E140" s="77">
        <f>E137/$D$137*100</f>
        <v/>
      </c>
      <c r="F140" s="77">
        <f>F137/$D$137*100</f>
        <v/>
      </c>
      <c r="G140" s="77">
        <f>G137/$D$137*100</f>
        <v/>
      </c>
      <c r="H140" s="77">
        <f>H137/$D$137*100</f>
        <v/>
      </c>
      <c r="I140" s="77">
        <f>I137/$D$137*100</f>
        <v/>
      </c>
      <c r="J140" s="77">
        <f>J137/$D$137*100</f>
        <v/>
      </c>
      <c r="K140" s="77">
        <f>K137/$D$137*100</f>
        <v/>
      </c>
      <c r="L140" s="77">
        <f>L137/$D$137*100</f>
        <v/>
      </c>
      <c r="M140" s="77">
        <f>M137/$D$137*100</f>
        <v/>
      </c>
      <c r="N140" s="77">
        <f>N137/$D$137*100</f>
        <v/>
      </c>
      <c r="O140" s="77">
        <f>O137/$D$137*100</f>
        <v/>
      </c>
      <c r="P140" s="77">
        <f>P137/$D$137*100</f>
        <v/>
      </c>
      <c r="Q140" s="77">
        <f>Q137/$D$137*100</f>
        <v/>
      </c>
      <c r="R140" s="77">
        <f>R137/$D$137*100</f>
        <v/>
      </c>
    </row>
    <row r="141" ht="15" customHeight="1" s="78">
      <c r="A141" s="77" t="inlineStr">
        <is>
          <t>UK — index variant, steel HIGH</t>
        </is>
      </c>
      <c r="B141" s="77" t="inlineStr">
        <is>
          <t>index 2010=100</t>
        </is>
      </c>
      <c r="C141" s="77" t="inlineStr">
        <is>
          <t>estimated=Y (D37)</t>
        </is>
      </c>
      <c r="D141" s="77">
        <f>D138/$D$138*100</f>
        <v/>
      </c>
      <c r="E141" s="77">
        <f>E138/$D$138*100</f>
        <v/>
      </c>
      <c r="F141" s="77">
        <f>F138/$D$138*100</f>
        <v/>
      </c>
      <c r="G141" s="77">
        <f>G138/$D$138*100</f>
        <v/>
      </c>
      <c r="H141" s="77">
        <f>H138/$D$138*100</f>
        <v/>
      </c>
      <c r="I141" s="77">
        <f>I138/$D$138*100</f>
        <v/>
      </c>
      <c r="J141" s="77">
        <f>J138/$D$138*100</f>
        <v/>
      </c>
      <c r="K141" s="77">
        <f>K138/$D$138*100</f>
        <v/>
      </c>
      <c r="L141" s="77">
        <f>L138/$D$138*100</f>
        <v/>
      </c>
      <c r="M141" s="77">
        <f>M138/$D$138*100</f>
        <v/>
      </c>
      <c r="N141" s="77">
        <f>N138/$D$138*100</f>
        <v/>
      </c>
      <c r="O141" s="77">
        <f>O138/$D$138*100</f>
        <v/>
      </c>
      <c r="P141" s="77">
        <f>P138/$D$138*100</f>
        <v/>
      </c>
      <c r="Q141" s="77">
        <f>Q138/$D$138*100</f>
        <v/>
      </c>
      <c r="R141" s="77">
        <f>R138/$D$138*100</f>
        <v/>
      </c>
    </row>
    <row r="142" ht="15" customHeight="1" s="78">
      <c r="A142" s="77" t="inlineStr">
        <is>
          <t>UK composite — band LOWER</t>
        </is>
      </c>
      <c r="B142" s="77" t="inlineStr">
        <is>
          <t>index 2010=100</t>
        </is>
      </c>
      <c r="C142" s="77" t="inlineStr">
        <is>
          <t>steel-route sensitivity span (D37 band — never delete)</t>
        </is>
      </c>
      <c r="D142" s="77">
        <f>MIN(D139,D140,D141)</f>
        <v/>
      </c>
      <c r="E142" s="77">
        <f>MIN(E139,E140,E141)</f>
        <v/>
      </c>
      <c r="F142" s="77">
        <f>MIN(F139,F140,F141)</f>
        <v/>
      </c>
      <c r="G142" s="77">
        <f>MIN(G139,G140,G141)</f>
        <v/>
      </c>
      <c r="H142" s="77">
        <f>MIN(H139,H140,H141)</f>
        <v/>
      </c>
      <c r="I142" s="77">
        <f>MIN(I139,I140,I141)</f>
        <v/>
      </c>
      <c r="J142" s="77">
        <f>MIN(J139,J140,J141)</f>
        <v/>
      </c>
      <c r="K142" s="77">
        <f>MIN(K139,K140,K141)</f>
        <v/>
      </c>
      <c r="L142" s="77">
        <f>MIN(L139,L140,L141)</f>
        <v/>
      </c>
      <c r="M142" s="77">
        <f>MIN(M139,M140,M141)</f>
        <v/>
      </c>
      <c r="N142" s="77">
        <f>MIN(N139,N140,N141)</f>
        <v/>
      </c>
      <c r="O142" s="77">
        <f>MIN(O139,O140,O141)</f>
        <v/>
      </c>
      <c r="P142" s="77">
        <f>MIN(P139,P140,P141)</f>
        <v/>
      </c>
      <c r="Q142" s="77">
        <f>MIN(Q139,Q140,Q141)</f>
        <v/>
      </c>
      <c r="R142" s="77">
        <f>MIN(R139,R140,R141)</f>
        <v/>
      </c>
    </row>
    <row r="143" ht="15" customHeight="1" s="78">
      <c r="A143" s="77" t="inlineStr">
        <is>
          <t>UK composite — band UPPER</t>
        </is>
      </c>
      <c r="B143" s="77" t="inlineStr">
        <is>
          <t>index 2010=100</t>
        </is>
      </c>
      <c r="C143" s="77" t="inlineStr">
        <is>
          <t>steel-route sensitivity span (D37 band — never delete)</t>
        </is>
      </c>
      <c r="D143" s="77">
        <f>MAX(D139,D140,D141)</f>
        <v/>
      </c>
      <c r="E143" s="77">
        <f>MAX(E139,E140,E141)</f>
        <v/>
      </c>
      <c r="F143" s="77">
        <f>MAX(F139,F140,F141)</f>
        <v/>
      </c>
      <c r="G143" s="77">
        <f>MAX(G139,G140,G141)</f>
        <v/>
      </c>
      <c r="H143" s="77">
        <f>MAX(H139,H140,H141)</f>
        <v/>
      </c>
      <c r="I143" s="77">
        <f>MAX(I139,I140,I141)</f>
        <v/>
      </c>
      <c r="J143" s="77">
        <f>MAX(J139,J140,J141)</f>
        <v/>
      </c>
      <c r="K143" s="77">
        <f>MAX(K139,K140,K141)</f>
        <v/>
      </c>
      <c r="L143" s="77">
        <f>MAX(L139,L140,L141)</f>
        <v/>
      </c>
      <c r="M143" s="77">
        <f>MAX(M139,M140,M141)</f>
        <v/>
      </c>
      <c r="N143" s="77">
        <f>MAX(N139,N140,N141)</f>
        <v/>
      </c>
      <c r="O143" s="77">
        <f>MAX(O139,O140,O141)</f>
        <v/>
      </c>
      <c r="P143" s="77">
        <f>MAX(P139,P140,P141)</f>
        <v/>
      </c>
      <c r="Q143" s="77">
        <f>MAX(Q139,Q140,Q141)</f>
        <v/>
      </c>
      <c r="R143" s="77">
        <f>MAX(R139,R140,R141)</f>
        <v/>
      </c>
    </row>
    <row r="144" ht="15" customHeight="1" s="78">
      <c r="A144" s="77" t="inlineStr">
        <is>
          <t>DE implied electricity of 4 commodities (TWh)</t>
        </is>
      </c>
      <c r="B144" s="77" t="inlineStr">
        <is>
          <t>TWh</t>
        </is>
      </c>
      <c r="C144" s="77" t="inlineStr">
        <is>
          <t>estimated=Y; Σ coef×kt ÷ 1e6 (central coef set)</t>
        </is>
      </c>
      <c r="D144" s="77">
        <f>($D$128*D70+$D$129*D64+$D$132*D67+$D$133*D73)/1000000</f>
        <v/>
      </c>
      <c r="E144" s="77">
        <f>($D$128*E70+$D$129*E64+$D$132*E67+$D$133*E73)/1000000</f>
        <v/>
      </c>
      <c r="F144" s="77">
        <f>($D$128*F70+$D$129*F64+$D$132*F67+$D$133*F73)/1000000</f>
        <v/>
      </c>
      <c r="G144" s="77">
        <f>($D$128*G70+$D$129*G64+$D$132*G67+$D$133*G73)/1000000</f>
        <v/>
      </c>
      <c r="H144" s="77">
        <f>($D$128*H70+$D$129*H64+$D$132*H67+$D$133*H73)/1000000</f>
        <v/>
      </c>
      <c r="I144" s="77">
        <f>($D$128*I70+$D$129*I64+$D$132*I67+$D$133*I73)/1000000</f>
        <v/>
      </c>
      <c r="J144" s="77">
        <f>($D$128*J70+$D$129*J64+$D$132*J67+$D$133*J73)/1000000</f>
        <v/>
      </c>
      <c r="K144" s="77">
        <f>($D$128*K70+$D$129*K64+$D$132*K67+$D$133*K73)/1000000</f>
        <v/>
      </c>
      <c r="L144" s="77">
        <f>($D$128*L70+$D$129*L64+$D$132*L67+$D$133*L73)/1000000</f>
        <v/>
      </c>
      <c r="M144" s="77">
        <f>($D$128*M70+$D$129*M64+$D$132*M67+$D$133*M73)/1000000</f>
        <v/>
      </c>
      <c r="N144" s="77">
        <f>($D$128*N70+$D$129*N64+$D$132*N67+$D$133*N73)/1000000</f>
        <v/>
      </c>
      <c r="O144" s="77">
        <f>($D$128*O70+$D$129*O64+$D$132*O67+$D$133*O73)/1000000</f>
        <v/>
      </c>
      <c r="P144" s="77">
        <f>($D$128*P70+$D$129*P64+$D$132*P67+$D$133*P73)/1000000</f>
        <v/>
      </c>
      <c r="Q144" s="77">
        <f>($D$128*Q70+$D$129*Q64+$D$132*Q67+$D$133*Q73)/1000000</f>
        <v/>
      </c>
      <c r="R144" s="77">
        <f>($D$128*R70+$D$129*R64+$D$132*R67+$D$133*R73)/1000000</f>
        <v/>
      </c>
    </row>
    <row r="145" ht="15" customHeight="1" s="78">
      <c r="A145" s="77" t="inlineStr">
        <is>
          <t>DE — TWh variant, steel LOW</t>
        </is>
      </c>
      <c r="B145" s="77" t="inlineStr">
        <is>
          <t>TWh</t>
        </is>
      </c>
      <c r="C145" s="77" t="inlineStr">
        <is>
          <t>estimated=Y; Σ coef×kt ÷ 1e6 (band input)</t>
        </is>
      </c>
      <c r="D145" s="77">
        <f>($D$128*D70+$D$130*D64+$D$132*D67+$D$133*D73)/1000000</f>
        <v/>
      </c>
      <c r="E145" s="77">
        <f>($D$128*E70+$D$130*E64+$D$132*E67+$D$133*E73)/1000000</f>
        <v/>
      </c>
      <c r="F145" s="77">
        <f>($D$128*F70+$D$130*F64+$D$132*F67+$D$133*F73)/1000000</f>
        <v/>
      </c>
      <c r="G145" s="77">
        <f>($D$128*G70+$D$130*G64+$D$132*G67+$D$133*G73)/1000000</f>
        <v/>
      </c>
      <c r="H145" s="77">
        <f>($D$128*H70+$D$130*H64+$D$132*H67+$D$133*H73)/1000000</f>
        <v/>
      </c>
      <c r="I145" s="77">
        <f>($D$128*I70+$D$130*I64+$D$132*I67+$D$133*I73)/1000000</f>
        <v/>
      </c>
      <c r="J145" s="77">
        <f>($D$128*J70+$D$130*J64+$D$132*J67+$D$133*J73)/1000000</f>
        <v/>
      </c>
      <c r="K145" s="77">
        <f>($D$128*K70+$D$130*K64+$D$132*K67+$D$133*K73)/1000000</f>
        <v/>
      </c>
      <c r="L145" s="77">
        <f>($D$128*L70+$D$130*L64+$D$132*L67+$D$133*L73)/1000000</f>
        <v/>
      </c>
      <c r="M145" s="77">
        <f>($D$128*M70+$D$130*M64+$D$132*M67+$D$133*M73)/1000000</f>
        <v/>
      </c>
      <c r="N145" s="77">
        <f>($D$128*N70+$D$130*N64+$D$132*N67+$D$133*N73)/1000000</f>
        <v/>
      </c>
      <c r="O145" s="77">
        <f>($D$128*O70+$D$130*O64+$D$132*O67+$D$133*O73)/1000000</f>
        <v/>
      </c>
      <c r="P145" s="77">
        <f>($D$128*P70+$D$130*P64+$D$132*P67+$D$133*P73)/1000000</f>
        <v/>
      </c>
      <c r="Q145" s="77">
        <f>($D$128*Q70+$D$130*Q64+$D$132*Q67+$D$133*Q73)/1000000</f>
        <v/>
      </c>
      <c r="R145" s="77">
        <f>($D$128*R70+$D$130*R64+$D$132*R67+$D$133*R73)/1000000</f>
        <v/>
      </c>
    </row>
    <row r="146" ht="15" customHeight="1" s="78">
      <c r="A146" s="77" t="inlineStr">
        <is>
          <t>DE — TWh variant, steel HIGH</t>
        </is>
      </c>
      <c r="B146" s="77" t="inlineStr">
        <is>
          <t>TWh</t>
        </is>
      </c>
      <c r="C146" s="77" t="inlineStr">
        <is>
          <t>estimated=Y; Σ coef×kt ÷ 1e6 (band input)</t>
        </is>
      </c>
      <c r="D146" s="77">
        <f>($D$128*D70+$D$131*D64+$D$132*D67+$D$133*D73)/1000000</f>
        <v/>
      </c>
      <c r="E146" s="77">
        <f>($D$128*E70+$D$131*E64+$D$132*E67+$D$133*E73)/1000000</f>
        <v/>
      </c>
      <c r="F146" s="77">
        <f>($D$128*F70+$D$131*F64+$D$132*F67+$D$133*F73)/1000000</f>
        <v/>
      </c>
      <c r="G146" s="77">
        <f>($D$128*G70+$D$131*G64+$D$132*G67+$D$133*G73)/1000000</f>
        <v/>
      </c>
      <c r="H146" s="77">
        <f>($D$128*H70+$D$131*H64+$D$132*H67+$D$133*H73)/1000000</f>
        <v/>
      </c>
      <c r="I146" s="77">
        <f>($D$128*I70+$D$131*I64+$D$132*I67+$D$133*I73)/1000000</f>
        <v/>
      </c>
      <c r="J146" s="77">
        <f>($D$128*J70+$D$131*J64+$D$132*J67+$D$133*J73)/1000000</f>
        <v/>
      </c>
      <c r="K146" s="77">
        <f>($D$128*K70+$D$131*K64+$D$132*K67+$D$133*K73)/1000000</f>
        <v/>
      </c>
      <c r="L146" s="77">
        <f>($D$128*L70+$D$131*L64+$D$132*L67+$D$133*L73)/1000000</f>
        <v/>
      </c>
      <c r="M146" s="77">
        <f>($D$128*M70+$D$131*M64+$D$132*M67+$D$133*M73)/1000000</f>
        <v/>
      </c>
      <c r="N146" s="77">
        <f>($D$128*N70+$D$131*N64+$D$132*N67+$D$133*N73)/1000000</f>
        <v/>
      </c>
      <c r="O146" s="77">
        <f>($D$128*O70+$D$131*O64+$D$132*O67+$D$133*O73)/1000000</f>
        <v/>
      </c>
      <c r="P146" s="77">
        <f>($D$128*P70+$D$131*P64+$D$132*P67+$D$133*P73)/1000000</f>
        <v/>
      </c>
      <c r="Q146" s="77">
        <f>($D$128*Q70+$D$131*Q64+$D$132*Q67+$D$133*Q73)/1000000</f>
        <v/>
      </c>
      <c r="R146" s="77">
        <f>($D$128*R70+$D$131*R64+$D$132*R67+$D$133*R73)/1000000</f>
        <v/>
      </c>
    </row>
    <row r="147" ht="15" customHeight="1" s="78">
      <c r="A147" s="77" t="inlineStr">
        <is>
          <t>DE electricity-weighted composite index (VARIANT per D65 — was CENTRAL under D37/D62)</t>
        </is>
      </c>
      <c r="B147" s="77" t="inlineStr">
        <is>
          <t>index 2010=100</t>
        </is>
      </c>
      <c r="C147" s="77" t="inlineStr">
        <is>
          <t>estimated=Y (D37)</t>
        </is>
      </c>
      <c r="D147" s="77">
        <f>D144/$D$144*100</f>
        <v/>
      </c>
      <c r="E147" s="77">
        <f>E144/$D$144*100</f>
        <v/>
      </c>
      <c r="F147" s="77">
        <f>F144/$D$144*100</f>
        <v/>
      </c>
      <c r="G147" s="77">
        <f>G144/$D$144*100</f>
        <v/>
      </c>
      <c r="H147" s="77">
        <f>H144/$D$144*100</f>
        <v/>
      </c>
      <c r="I147" s="77">
        <f>I144/$D$144*100</f>
        <v/>
      </c>
      <c r="J147" s="77">
        <f>J144/$D$144*100</f>
        <v/>
      </c>
      <c r="K147" s="77">
        <f>K144/$D$144*100</f>
        <v/>
      </c>
      <c r="L147" s="77">
        <f>L144/$D$144*100</f>
        <v/>
      </c>
      <c r="M147" s="77">
        <f>M144/$D$144*100</f>
        <v/>
      </c>
      <c r="N147" s="77">
        <f>N144/$D$144*100</f>
        <v/>
      </c>
      <c r="O147" s="77">
        <f>O144/$D$144*100</f>
        <v/>
      </c>
      <c r="P147" s="77">
        <f>P144/$D$144*100</f>
        <v/>
      </c>
      <c r="Q147" s="77">
        <f>Q144/$D$144*100</f>
        <v/>
      </c>
      <c r="R147" s="77">
        <f>R144/$D$144*100</f>
        <v/>
      </c>
    </row>
    <row r="148" ht="15" customHeight="1" s="78">
      <c r="A148" s="77" t="inlineStr">
        <is>
          <t>DE — index variant, steel LOW</t>
        </is>
      </c>
      <c r="B148" s="77" t="inlineStr">
        <is>
          <t>index 2010=100</t>
        </is>
      </c>
      <c r="C148" s="77" t="inlineStr">
        <is>
          <t>estimated=Y (D37)</t>
        </is>
      </c>
      <c r="D148" s="77">
        <f>D145/$D$145*100</f>
        <v/>
      </c>
      <c r="E148" s="77">
        <f>E145/$D$145*100</f>
        <v/>
      </c>
      <c r="F148" s="77">
        <f>F145/$D$145*100</f>
        <v/>
      </c>
      <c r="G148" s="77">
        <f>G145/$D$145*100</f>
        <v/>
      </c>
      <c r="H148" s="77">
        <f>H145/$D$145*100</f>
        <v/>
      </c>
      <c r="I148" s="77">
        <f>I145/$D$145*100</f>
        <v/>
      </c>
      <c r="J148" s="77">
        <f>J145/$D$145*100</f>
        <v/>
      </c>
      <c r="K148" s="77">
        <f>K145/$D$145*100</f>
        <v/>
      </c>
      <c r="L148" s="77">
        <f>L145/$D$145*100</f>
        <v/>
      </c>
      <c r="M148" s="77">
        <f>M145/$D$145*100</f>
        <v/>
      </c>
      <c r="N148" s="77">
        <f>N145/$D$145*100</f>
        <v/>
      </c>
      <c r="O148" s="77">
        <f>O145/$D$145*100</f>
        <v/>
      </c>
      <c r="P148" s="77">
        <f>P145/$D$145*100</f>
        <v/>
      </c>
      <c r="Q148" s="77">
        <f>Q145/$D$145*100</f>
        <v/>
      </c>
      <c r="R148" s="77">
        <f>R145/$D$145*100</f>
        <v/>
      </c>
    </row>
    <row r="149" ht="15" customHeight="1" s="78">
      <c r="A149" s="77" t="inlineStr">
        <is>
          <t>DE — index variant, steel HIGH</t>
        </is>
      </c>
      <c r="B149" s="77" t="inlineStr">
        <is>
          <t>index 2010=100</t>
        </is>
      </c>
      <c r="C149" s="77" t="inlineStr">
        <is>
          <t>estimated=Y (D37)</t>
        </is>
      </c>
      <c r="D149" s="77">
        <f>D146/$D$146*100</f>
        <v/>
      </c>
      <c r="E149" s="77">
        <f>E146/$D$146*100</f>
        <v/>
      </c>
      <c r="F149" s="77">
        <f>F146/$D$146*100</f>
        <v/>
      </c>
      <c r="G149" s="77">
        <f>G146/$D$146*100</f>
        <v/>
      </c>
      <c r="H149" s="77">
        <f>H146/$D$146*100</f>
        <v/>
      </c>
      <c r="I149" s="77">
        <f>I146/$D$146*100</f>
        <v/>
      </c>
      <c r="J149" s="77">
        <f>J146/$D$146*100</f>
        <v/>
      </c>
      <c r="K149" s="77">
        <f>K146/$D$146*100</f>
        <v/>
      </c>
      <c r="L149" s="77">
        <f>L146/$D$146*100</f>
        <v/>
      </c>
      <c r="M149" s="77">
        <f>M146/$D$146*100</f>
        <v/>
      </c>
      <c r="N149" s="77">
        <f>N146/$D$146*100</f>
        <v/>
      </c>
      <c r="O149" s="77">
        <f>O146/$D$146*100</f>
        <v/>
      </c>
      <c r="P149" s="77">
        <f>P146/$D$146*100</f>
        <v/>
      </c>
      <c r="Q149" s="77">
        <f>Q146/$D$146*100</f>
        <v/>
      </c>
      <c r="R149" s="77">
        <f>R146/$D$146*100</f>
        <v/>
      </c>
    </row>
    <row r="150" ht="15" customHeight="1" s="78">
      <c r="A150" s="77" t="inlineStr">
        <is>
          <t>DE composite — band LOWER</t>
        </is>
      </c>
      <c r="B150" s="77" t="inlineStr">
        <is>
          <t>index 2010=100</t>
        </is>
      </c>
      <c r="C150" s="77" t="inlineStr">
        <is>
          <t>steel-route sensitivity span (D37 band — never delete)</t>
        </is>
      </c>
      <c r="D150" s="77">
        <f>MIN(D147,D148,D149)</f>
        <v/>
      </c>
      <c r="E150" s="77">
        <f>MIN(E147,E148,E149)</f>
        <v/>
      </c>
      <c r="F150" s="77">
        <f>MIN(F147,F148,F149)</f>
        <v/>
      </c>
      <c r="G150" s="77">
        <f>MIN(G147,G148,G149)</f>
        <v/>
      </c>
      <c r="H150" s="77">
        <f>MIN(H147,H148,H149)</f>
        <v/>
      </c>
      <c r="I150" s="77">
        <f>MIN(I147,I148,I149)</f>
        <v/>
      </c>
      <c r="J150" s="77">
        <f>MIN(J147,J148,J149)</f>
        <v/>
      </c>
      <c r="K150" s="77">
        <f>MIN(K147,K148,K149)</f>
        <v/>
      </c>
      <c r="L150" s="77">
        <f>MIN(L147,L148,L149)</f>
        <v/>
      </c>
      <c r="M150" s="77">
        <f>MIN(M147,M148,M149)</f>
        <v/>
      </c>
      <c r="N150" s="77">
        <f>MIN(N147,N148,N149)</f>
        <v/>
      </c>
      <c r="O150" s="77">
        <f>MIN(O147,O148,O149)</f>
        <v/>
      </c>
      <c r="P150" s="77">
        <f>MIN(P147,P148,P149)</f>
        <v/>
      </c>
      <c r="Q150" s="77">
        <f>MIN(Q147,Q148,Q149)</f>
        <v/>
      </c>
      <c r="R150" s="77">
        <f>MIN(R147,R148,R149)</f>
        <v/>
      </c>
    </row>
    <row r="151" ht="15" customHeight="1" s="78">
      <c r="A151" s="77" t="inlineStr">
        <is>
          <t>DE composite — band UPPER</t>
        </is>
      </c>
      <c r="B151" s="77" t="inlineStr">
        <is>
          <t>index 2010=100</t>
        </is>
      </c>
      <c r="C151" s="77" t="inlineStr">
        <is>
          <t>steel-route sensitivity span (D37 band — never delete)</t>
        </is>
      </c>
      <c r="D151" s="77">
        <f>MAX(D147,D148,D149)</f>
        <v/>
      </c>
      <c r="E151" s="77">
        <f>MAX(E147,E148,E149)</f>
        <v/>
      </c>
      <c r="F151" s="77">
        <f>MAX(F147,F148,F149)</f>
        <v/>
      </c>
      <c r="G151" s="77">
        <f>MAX(G147,G148,G149)</f>
        <v/>
      </c>
      <c r="H151" s="77">
        <f>MAX(H147,H148,H149)</f>
        <v/>
      </c>
      <c r="I151" s="77">
        <f>MAX(I147,I148,I149)</f>
        <v/>
      </c>
      <c r="J151" s="77">
        <f>MAX(J147,J148,J149)</f>
        <v/>
      </c>
      <c r="K151" s="77">
        <f>MAX(K147,K148,K149)</f>
        <v/>
      </c>
      <c r="L151" s="77">
        <f>MAX(L147,L148,L149)</f>
        <v/>
      </c>
      <c r="M151" s="77">
        <f>MAX(M147,M148,M149)</f>
        <v/>
      </c>
      <c r="N151" s="77">
        <f>MAX(N147,N148,N149)</f>
        <v/>
      </c>
      <c r="O151" s="77">
        <f>MAX(O147,O148,O149)</f>
        <v/>
      </c>
      <c r="P151" s="77">
        <f>MAX(P147,P148,P149)</f>
        <v/>
      </c>
      <c r="Q151" s="77">
        <f>MAX(Q147,Q148,Q149)</f>
        <v/>
      </c>
      <c r="R151" s="77">
        <f>MAX(R147,R148,R149)</f>
        <v/>
      </c>
    </row>
    <row r="152" ht="15" customHeight="1" s="78">
      <c r="A152" s="77" t="inlineStr">
        <is>
          <t>CN implied electricity of 4 commodities (TWh)</t>
        </is>
      </c>
      <c r="B152" s="77" t="inlineStr">
        <is>
          <t>TWh</t>
        </is>
      </c>
      <c r="C152" s="77" t="inlineStr">
        <is>
          <t>estimated=Y; Σ coef×kt ÷ 1e6 (central coef set)</t>
        </is>
      </c>
      <c r="D152" s="77">
        <f>($D$128*D71+$D$129*D65+$D$132*D68+$D$133*D74)/1000000</f>
        <v/>
      </c>
      <c r="E152" s="77">
        <f>($D$128*E71+$D$129*E65+$D$132*E68+$D$133*E74)/1000000</f>
        <v/>
      </c>
      <c r="F152" s="77">
        <f>($D$128*F71+$D$129*F65+$D$132*F68+$D$133*F74)/1000000</f>
        <v/>
      </c>
      <c r="G152" s="77">
        <f>($D$128*G71+$D$129*G65+$D$132*G68+$D$133*G74)/1000000</f>
        <v/>
      </c>
      <c r="H152" s="77">
        <f>($D$128*H71+$D$129*H65+$D$132*H68+$D$133*H74)/1000000</f>
        <v/>
      </c>
      <c r="I152" s="77">
        <f>($D$128*I71+$D$129*I65+$D$132*I68+$D$133*I74)/1000000</f>
        <v/>
      </c>
      <c r="J152" s="77">
        <f>($D$128*J71+$D$129*J65+$D$132*J68+$D$133*J74)/1000000</f>
        <v/>
      </c>
      <c r="K152" s="77">
        <f>($D$128*K71+$D$129*K65+$D$132*K68+$D$133*K74)/1000000</f>
        <v/>
      </c>
      <c r="L152" s="77">
        <f>($D$128*L71+$D$129*L65+$D$132*L68+$D$133*L74)/1000000</f>
        <v/>
      </c>
      <c r="M152" s="77">
        <f>($D$128*M71+$D$129*M65+$D$132*M68+$D$133*M74)/1000000</f>
        <v/>
      </c>
      <c r="N152" s="77">
        <f>($D$128*N71+$D$129*N65+$D$132*N68+$D$133*N74)/1000000</f>
        <v/>
      </c>
      <c r="O152" s="77">
        <f>($D$128*O71+$D$129*O65+$D$132*O68+$D$133*O74)/1000000</f>
        <v/>
      </c>
      <c r="P152" s="77">
        <f>($D$128*P71+$D$129*P65+$D$132*P68+$D$133*P74)/1000000</f>
        <v/>
      </c>
      <c r="Q152" s="77">
        <f>($D$128*Q71+$D$129*Q65+$D$132*Q68+$D$133*Q74)/1000000</f>
        <v/>
      </c>
      <c r="R152" s="77">
        <f>($D$128*R71+$D$129*R65+$D$132*R68+$D$133*R74)/1000000</f>
        <v/>
      </c>
      <c r="S152" s="77">
        <f>($D$128*S71+$D$129*S65+$D$132*S68+$D$133*S74)/1000000</f>
        <v/>
      </c>
    </row>
    <row r="153" ht="15" customHeight="1" s="78">
      <c r="A153" s="77" t="inlineStr">
        <is>
          <t>CN — TWh variant, steel LOW</t>
        </is>
      </c>
      <c r="B153" s="77" t="inlineStr">
        <is>
          <t>TWh</t>
        </is>
      </c>
      <c r="C153" s="77" t="inlineStr">
        <is>
          <t>estimated=Y; Σ coef×kt ÷ 1e6 (band input)</t>
        </is>
      </c>
      <c r="D153" s="77">
        <f>($D$128*D71+$D$130*D65+$D$132*D68+$D$133*D74)/1000000</f>
        <v/>
      </c>
      <c r="E153" s="77">
        <f>($D$128*E71+$D$130*E65+$D$132*E68+$D$133*E74)/1000000</f>
        <v/>
      </c>
      <c r="F153" s="77">
        <f>($D$128*F71+$D$130*F65+$D$132*F68+$D$133*F74)/1000000</f>
        <v/>
      </c>
      <c r="G153" s="77">
        <f>($D$128*G71+$D$130*G65+$D$132*G68+$D$133*G74)/1000000</f>
        <v/>
      </c>
      <c r="H153" s="77">
        <f>($D$128*H71+$D$130*H65+$D$132*H68+$D$133*H74)/1000000</f>
        <v/>
      </c>
      <c r="I153" s="77">
        <f>($D$128*I71+$D$130*I65+$D$132*I68+$D$133*I74)/1000000</f>
        <v/>
      </c>
      <c r="J153" s="77">
        <f>($D$128*J71+$D$130*J65+$D$132*J68+$D$133*J74)/1000000</f>
        <v/>
      </c>
      <c r="K153" s="77">
        <f>($D$128*K71+$D$130*K65+$D$132*K68+$D$133*K74)/1000000</f>
        <v/>
      </c>
      <c r="L153" s="77">
        <f>($D$128*L71+$D$130*L65+$D$132*L68+$D$133*L74)/1000000</f>
        <v/>
      </c>
      <c r="M153" s="77">
        <f>($D$128*M71+$D$130*M65+$D$132*M68+$D$133*M74)/1000000</f>
        <v/>
      </c>
      <c r="N153" s="77">
        <f>($D$128*N71+$D$130*N65+$D$132*N68+$D$133*N74)/1000000</f>
        <v/>
      </c>
      <c r="O153" s="77">
        <f>($D$128*O71+$D$130*O65+$D$132*O68+$D$133*O74)/1000000</f>
        <v/>
      </c>
      <c r="P153" s="77">
        <f>($D$128*P71+$D$130*P65+$D$132*P68+$D$133*P74)/1000000</f>
        <v/>
      </c>
      <c r="Q153" s="77">
        <f>($D$128*Q71+$D$130*Q65+$D$132*Q68+$D$133*Q74)/1000000</f>
        <v/>
      </c>
      <c r="R153" s="77">
        <f>($D$128*R71+$D$130*R65+$D$132*R68+$D$133*R74)/1000000</f>
        <v/>
      </c>
      <c r="S153" s="77">
        <f>($D$128*S71+$D$130*S65+$D$132*S68+$D$133*S74)/1000000</f>
        <v/>
      </c>
    </row>
    <row r="154" ht="15" customHeight="1" s="78">
      <c r="A154" s="77" t="inlineStr">
        <is>
          <t>CN — TWh variant, steel HIGH</t>
        </is>
      </c>
      <c r="B154" s="77" t="inlineStr">
        <is>
          <t>TWh</t>
        </is>
      </c>
      <c r="C154" s="77" t="inlineStr">
        <is>
          <t>estimated=Y; Σ coef×kt ÷ 1e6 (band input)</t>
        </is>
      </c>
      <c r="D154" s="77">
        <f>($D$128*D71+$D$131*D65+$D$132*D68+$D$133*D74)/1000000</f>
        <v/>
      </c>
      <c r="E154" s="77">
        <f>($D$128*E71+$D$131*E65+$D$132*E68+$D$133*E74)/1000000</f>
        <v/>
      </c>
      <c r="F154" s="77">
        <f>($D$128*F71+$D$131*F65+$D$132*F68+$D$133*F74)/1000000</f>
        <v/>
      </c>
      <c r="G154" s="77">
        <f>($D$128*G71+$D$131*G65+$D$132*G68+$D$133*G74)/1000000</f>
        <v/>
      </c>
      <c r="H154" s="77">
        <f>($D$128*H71+$D$131*H65+$D$132*H68+$D$133*H74)/1000000</f>
        <v/>
      </c>
      <c r="I154" s="77">
        <f>($D$128*I71+$D$131*I65+$D$132*I68+$D$133*I74)/1000000</f>
        <v/>
      </c>
      <c r="J154" s="77">
        <f>($D$128*J71+$D$131*J65+$D$132*J68+$D$133*J74)/1000000</f>
        <v/>
      </c>
      <c r="K154" s="77">
        <f>($D$128*K71+$D$131*K65+$D$132*K68+$D$133*K74)/1000000</f>
        <v/>
      </c>
      <c r="L154" s="77">
        <f>($D$128*L71+$D$131*L65+$D$132*L68+$D$133*L74)/1000000</f>
        <v/>
      </c>
      <c r="M154" s="77">
        <f>($D$128*M71+$D$131*M65+$D$132*M68+$D$133*M74)/1000000</f>
        <v/>
      </c>
      <c r="N154" s="77">
        <f>($D$128*N71+$D$131*N65+$D$132*N68+$D$133*N74)/1000000</f>
        <v/>
      </c>
      <c r="O154" s="77">
        <f>($D$128*O71+$D$131*O65+$D$132*O68+$D$133*O74)/1000000</f>
        <v/>
      </c>
      <c r="P154" s="77">
        <f>($D$128*P71+$D$131*P65+$D$132*P68+$D$133*P74)/1000000</f>
        <v/>
      </c>
      <c r="Q154" s="77">
        <f>($D$128*Q71+$D$131*Q65+$D$132*Q68+$D$133*Q74)/1000000</f>
        <v/>
      </c>
      <c r="R154" s="77">
        <f>($D$128*R71+$D$131*R65+$D$132*R68+$D$133*R74)/1000000</f>
        <v/>
      </c>
      <c r="S154" s="77">
        <f>($D$128*S71+$D$131*S65+$D$132*S68+$D$133*S74)/1000000</f>
        <v/>
      </c>
    </row>
    <row r="155" ht="15" customHeight="1" s="78">
      <c r="A155" s="77" t="inlineStr">
        <is>
          <t>CN electricity-weighted composite index (VARIANT per D65 — was CENTRAL under D37/D62)</t>
        </is>
      </c>
      <c r="B155" s="77" t="inlineStr">
        <is>
          <t>index 2010=100</t>
        </is>
      </c>
      <c r="C155" s="77" t="inlineStr">
        <is>
          <t>estimated=Y (D37)</t>
        </is>
      </c>
      <c r="D155" s="77">
        <f>D152/$D$152*100</f>
        <v/>
      </c>
      <c r="E155" s="77">
        <f>E152/$D$152*100</f>
        <v/>
      </c>
      <c r="F155" s="77">
        <f>F152/$D$152*100</f>
        <v/>
      </c>
      <c r="G155" s="77">
        <f>G152/$D$152*100</f>
        <v/>
      </c>
      <c r="H155" s="77">
        <f>H152/$D$152*100</f>
        <v/>
      </c>
      <c r="I155" s="77">
        <f>I152/$D$152*100</f>
        <v/>
      </c>
      <c r="J155" s="77">
        <f>J152/$D$152*100</f>
        <v/>
      </c>
      <c r="K155" s="77">
        <f>K152/$D$152*100</f>
        <v/>
      </c>
      <c r="L155" s="77">
        <f>L152/$D$152*100</f>
        <v/>
      </c>
      <c r="M155" s="77">
        <f>M152/$D$152*100</f>
        <v/>
      </c>
      <c r="N155" s="77">
        <f>N152/$D$152*100</f>
        <v/>
      </c>
      <c r="O155" s="77">
        <f>O152/$D$152*100</f>
        <v/>
      </c>
      <c r="P155" s="77">
        <f>P152/$D$152*100</f>
        <v/>
      </c>
      <c r="Q155" s="77">
        <f>Q152/$D$152*100</f>
        <v/>
      </c>
      <c r="R155" s="77">
        <f>R152/$D$152*100</f>
        <v/>
      </c>
      <c r="S155" s="77">
        <f>S152/$D$152*100</f>
        <v/>
      </c>
    </row>
    <row r="156" ht="15" customHeight="1" s="78">
      <c r="A156" s="77" t="inlineStr">
        <is>
          <t>CN — index variant, steel LOW</t>
        </is>
      </c>
      <c r="B156" s="77" t="inlineStr">
        <is>
          <t>index 2010=100</t>
        </is>
      </c>
      <c r="C156" s="77" t="inlineStr">
        <is>
          <t>estimated=Y (D37)</t>
        </is>
      </c>
      <c r="D156" s="77">
        <f>D153/$D$153*100</f>
        <v/>
      </c>
      <c r="E156" s="77">
        <f>E153/$D$153*100</f>
        <v/>
      </c>
      <c r="F156" s="77">
        <f>F153/$D$153*100</f>
        <v/>
      </c>
      <c r="G156" s="77">
        <f>G153/$D$153*100</f>
        <v/>
      </c>
      <c r="H156" s="77">
        <f>H153/$D$153*100</f>
        <v/>
      </c>
      <c r="I156" s="77">
        <f>I153/$D$153*100</f>
        <v/>
      </c>
      <c r="J156" s="77">
        <f>J153/$D$153*100</f>
        <v/>
      </c>
      <c r="K156" s="77">
        <f>K153/$D$153*100</f>
        <v/>
      </c>
      <c r="L156" s="77">
        <f>L153/$D$153*100</f>
        <v/>
      </c>
      <c r="M156" s="77">
        <f>M153/$D$153*100</f>
        <v/>
      </c>
      <c r="N156" s="77">
        <f>N153/$D$153*100</f>
        <v/>
      </c>
      <c r="O156" s="77">
        <f>O153/$D$153*100</f>
        <v/>
      </c>
      <c r="P156" s="77">
        <f>P153/$D$153*100</f>
        <v/>
      </c>
      <c r="Q156" s="77">
        <f>Q153/$D$153*100</f>
        <v/>
      </c>
      <c r="R156" s="77">
        <f>R153/$D$153*100</f>
        <v/>
      </c>
      <c r="S156" s="77">
        <f>S153/$D$153*100</f>
        <v/>
      </c>
    </row>
    <row r="157" ht="15" customHeight="1" s="78">
      <c r="A157" s="77" t="inlineStr">
        <is>
          <t>CN — index variant, steel HIGH</t>
        </is>
      </c>
      <c r="B157" s="77" t="inlineStr">
        <is>
          <t>index 2010=100</t>
        </is>
      </c>
      <c r="C157" s="77" t="inlineStr">
        <is>
          <t>estimated=Y (D37)</t>
        </is>
      </c>
      <c r="D157" s="77">
        <f>D154/$D$154*100</f>
        <v/>
      </c>
      <c r="E157" s="77">
        <f>E154/$D$154*100</f>
        <v/>
      </c>
      <c r="F157" s="77">
        <f>F154/$D$154*100</f>
        <v/>
      </c>
      <c r="G157" s="77">
        <f>G154/$D$154*100</f>
        <v/>
      </c>
      <c r="H157" s="77">
        <f>H154/$D$154*100</f>
        <v/>
      </c>
      <c r="I157" s="77">
        <f>I154/$D$154*100</f>
        <v/>
      </c>
      <c r="J157" s="77">
        <f>J154/$D$154*100</f>
        <v/>
      </c>
      <c r="K157" s="77">
        <f>K154/$D$154*100</f>
        <v/>
      </c>
      <c r="L157" s="77">
        <f>L154/$D$154*100</f>
        <v/>
      </c>
      <c r="M157" s="77">
        <f>M154/$D$154*100</f>
        <v/>
      </c>
      <c r="N157" s="77">
        <f>N154/$D$154*100</f>
        <v/>
      </c>
      <c r="O157" s="77">
        <f>O154/$D$154*100</f>
        <v/>
      </c>
      <c r="P157" s="77">
        <f>P154/$D$154*100</f>
        <v/>
      </c>
      <c r="Q157" s="77">
        <f>Q154/$D$154*100</f>
        <v/>
      </c>
      <c r="R157" s="77">
        <f>R154/$D$154*100</f>
        <v/>
      </c>
      <c r="S157" s="77">
        <f>S154/$D$154*100</f>
        <v/>
      </c>
    </row>
    <row r="158" ht="15" customHeight="1" s="78">
      <c r="A158" s="77" t="inlineStr">
        <is>
          <t>CN composite — band LOWER</t>
        </is>
      </c>
      <c r="B158" s="77" t="inlineStr">
        <is>
          <t>index 2010=100</t>
        </is>
      </c>
      <c r="C158" s="77" t="inlineStr">
        <is>
          <t>steel-route sensitivity span (D37 band — never delete)</t>
        </is>
      </c>
      <c r="D158" s="77">
        <f>MIN(D155,D156,D157)</f>
        <v/>
      </c>
      <c r="E158" s="77">
        <f>MIN(E155,E156,E157)</f>
        <v/>
      </c>
      <c r="F158" s="77">
        <f>MIN(F155,F156,F157)</f>
        <v/>
      </c>
      <c r="G158" s="77">
        <f>MIN(G155,G156,G157)</f>
        <v/>
      </c>
      <c r="H158" s="77">
        <f>MIN(H155,H156,H157)</f>
        <v/>
      </c>
      <c r="I158" s="77">
        <f>MIN(I155,I156,I157)</f>
        <v/>
      </c>
      <c r="J158" s="77">
        <f>MIN(J155,J156,J157)</f>
        <v/>
      </c>
      <c r="K158" s="77">
        <f>MIN(K155,K156,K157)</f>
        <v/>
      </c>
      <c r="L158" s="77">
        <f>MIN(L155,L156,L157)</f>
        <v/>
      </c>
      <c r="M158" s="77">
        <f>MIN(M155,M156,M157)</f>
        <v/>
      </c>
      <c r="N158" s="77">
        <f>MIN(N155,N156,N157)</f>
        <v/>
      </c>
      <c r="O158" s="77">
        <f>MIN(O155,O156,O157)</f>
        <v/>
      </c>
      <c r="P158" s="77">
        <f>MIN(P155,P156,P157)</f>
        <v/>
      </c>
      <c r="Q158" s="77">
        <f>MIN(Q155,Q156,Q157)</f>
        <v/>
      </c>
      <c r="R158" s="77">
        <f>MIN(R155,R156,R157)</f>
        <v/>
      </c>
      <c r="S158" s="77">
        <f>MIN(S155,S156,S157)</f>
        <v/>
      </c>
    </row>
    <row r="159" ht="15" customHeight="1" s="78">
      <c r="A159" s="77" t="inlineStr">
        <is>
          <t>CN composite — band UPPER</t>
        </is>
      </c>
      <c r="B159" s="77" t="inlineStr">
        <is>
          <t>index 2010=100</t>
        </is>
      </c>
      <c r="C159" s="77" t="inlineStr">
        <is>
          <t>steel-route sensitivity span (D37 band — never delete)</t>
        </is>
      </c>
      <c r="D159" s="77">
        <f>MAX(D155,D156,D157)</f>
        <v/>
      </c>
      <c r="E159" s="77">
        <f>MAX(E155,E156,E157)</f>
        <v/>
      </c>
      <c r="F159" s="77">
        <f>MAX(F155,F156,F157)</f>
        <v/>
      </c>
      <c r="G159" s="77">
        <f>MAX(G155,G156,G157)</f>
        <v/>
      </c>
      <c r="H159" s="77">
        <f>MAX(H155,H156,H157)</f>
        <v/>
      </c>
      <c r="I159" s="77">
        <f>MAX(I155,I156,I157)</f>
        <v/>
      </c>
      <c r="J159" s="77">
        <f>MAX(J155,J156,J157)</f>
        <v/>
      </c>
      <c r="K159" s="77">
        <f>MAX(K155,K156,K157)</f>
        <v/>
      </c>
      <c r="L159" s="77">
        <f>MAX(L155,L156,L157)</f>
        <v/>
      </c>
      <c r="M159" s="77">
        <f>MAX(M155,M156,M157)</f>
        <v/>
      </c>
      <c r="N159" s="77">
        <f>MAX(N155,N156,N157)</f>
        <v/>
      </c>
      <c r="O159" s="77">
        <f>MAX(O155,O156,O157)</f>
        <v/>
      </c>
      <c r="P159" s="77">
        <f>MAX(P155,P156,P157)</f>
        <v/>
      </c>
      <c r="Q159" s="77">
        <f>MAX(Q155,Q156,Q157)</f>
        <v/>
      </c>
      <c r="R159" s="77">
        <f>MAX(R155,R156,R157)</f>
        <v/>
      </c>
      <c r="S159" s="77">
        <f>MAX(S155,S156,S157)</f>
        <v/>
      </c>
    </row>
    <row r="161" ht="15" customHeight="1" s="78">
      <c r="A161" s="77" t="inlineStr">
        <is>
          <t>N15 Electricity-weighted composite (D37): links output evidence to the electricity-price thesis — implied demand of the four tonnage commodities. Fixed global coefficients (one vintage; country route mixes differ — steel band carries that risk). UK/DE end 2024 (2025 tonnage gaps, Q38); CN runs to 2025. Composition by electricity: UK steel+paper-dominated; DE steel+paper; CN steel+aluminium. Coefficients re-derived 2026-07-19 to worldsteel May-2026 share ranges (D62): central 745→1088 kWh/t, band 471–1422→672–1991.</t>
        </is>
      </c>
    </row>
    <row r="163" ht="15" customHeight="1" s="78">
      <c r="A163" s="109" t="inlineStr">
        <is>
          <t>J. CN ENERGY-INTENSIVE AGGREGATE — chem + non-metallic minerals + ferrous + non-ferrous, fixed 2007 official VA weights (D38); estimated=Y throughout</t>
        </is>
      </c>
    </row>
    <row r="164" ht="15" customHeight="1" s="78">
      <c r="A164" s="77" t="inlineStr">
        <is>
          <t>Weights = last OFFICIAL sector VA levels NBS ever published (2007, yearbook 2008 tbl 13-2), renormalised over the four sectors with growth series (= 84.1% of six-sector EI 2007 VA; paper &amp; refining excluded — growth series exist nowhere official: refining ABSENT from all 15 Dec-release tables, verified). Band = 2010 revenue-share weight variant (yearbook 2011 tbl 14-2). Fixed-vintage weights mirror D2. Combines with chained indices (D34) — all caveats compound.</t>
        </is>
      </c>
    </row>
    <row r="165" ht="16.5" customHeight="1" s="78">
      <c r="A165" s="77" t="inlineStr">
        <is>
          <t>CN weight input: 化学原料及化学制品 2007 VA</t>
        </is>
      </c>
      <c r="B165" s="142" t="inlineStr">
        <is>
          <t>亿元</t>
        </is>
      </c>
      <c r="C165" s="142" t="inlineStr">
        <is>
          <t>年鉴2008 tbl 13-2 (S81)</t>
        </is>
      </c>
      <c r="D165" s="77" t="n">
        <v>7340.42</v>
      </c>
    </row>
    <row r="166" ht="16.5" customHeight="1" s="78">
      <c r="A166" s="77" t="inlineStr">
        <is>
          <t>CN weight input: 非金属矿物制品 2007 VA</t>
        </is>
      </c>
      <c r="B166" s="142" t="inlineStr">
        <is>
          <t>亿元</t>
        </is>
      </c>
      <c r="C166" s="142" t="inlineStr">
        <is>
          <t>年鉴2008 tbl 13-2 (S81)</t>
        </is>
      </c>
      <c r="D166" s="77" t="n">
        <v>4849.19</v>
      </c>
    </row>
    <row r="167" ht="16.5" customHeight="1" s="78">
      <c r="A167" s="77" t="inlineStr">
        <is>
          <t>CN weight input: 黑色金属 2007 VA</t>
        </is>
      </c>
      <c r="B167" s="142" t="inlineStr">
        <is>
          <t>亿元</t>
        </is>
      </c>
      <c r="C167" s="142" t="inlineStr">
        <is>
          <t>年鉴2008 tbl 13-2 (S81)</t>
        </is>
      </c>
      <c r="D167" s="77" t="n">
        <v>9007.139999999999</v>
      </c>
    </row>
    <row r="168" ht="16.5" customHeight="1" s="78">
      <c r="A168" s="77" t="inlineStr">
        <is>
          <t>CN weight input: 有色金属 2007 VA</t>
        </is>
      </c>
      <c r="B168" s="142" t="inlineStr">
        <is>
          <t>亿元</t>
        </is>
      </c>
      <c r="C168" s="142" t="inlineStr">
        <is>
          <t>年鉴2008 tbl 13-2 (S81)</t>
        </is>
      </c>
      <c r="D168" s="77" t="n">
        <v>4477.61</v>
      </c>
    </row>
    <row r="169" ht="16.5" customHeight="1" s="78">
      <c r="A169" s="77" t="inlineStr">
        <is>
          <t>CN weight variant: 化学原料及化学制品 2010 revenue</t>
        </is>
      </c>
      <c r="B169" s="142" t="inlineStr">
        <is>
          <t>亿元</t>
        </is>
      </c>
      <c r="C169" s="142" t="inlineStr">
        <is>
          <t>年鉴2011 tbl 14-2 (S81)</t>
        </is>
      </c>
      <c r="D169" s="77" t="n">
        <v>47452.35</v>
      </c>
    </row>
    <row r="170" ht="16.5" customHeight="1" s="78">
      <c r="A170" s="77" t="inlineStr">
        <is>
          <t>CN weight variant: 非金属矿物制品 2010 revenue</t>
        </is>
      </c>
      <c r="B170" s="142" t="inlineStr">
        <is>
          <t>亿元</t>
        </is>
      </c>
      <c r="C170" s="142" t="inlineStr">
        <is>
          <t>年鉴2011 tbl 14-2 (S81)</t>
        </is>
      </c>
      <c r="D170" s="77" t="n">
        <v>31267.2</v>
      </c>
    </row>
    <row r="171" ht="16.5" customHeight="1" s="78">
      <c r="A171" s="77" t="inlineStr">
        <is>
          <t>CN weight variant: 黑色金属 2010 revenue</t>
        </is>
      </c>
      <c r="B171" s="142" t="inlineStr">
        <is>
          <t>亿元</t>
        </is>
      </c>
      <c r="C171" s="142" t="inlineStr">
        <is>
          <t>年鉴2011 tbl 14-2 (S81)</t>
        </is>
      </c>
      <c r="D171" s="77" t="n">
        <v>54490.93</v>
      </c>
    </row>
    <row r="172" ht="16.5" customHeight="1" s="78">
      <c r="A172" s="77" t="inlineStr">
        <is>
          <t>CN weight variant: 有色金属 2010 revenue</t>
        </is>
      </c>
      <c r="B172" s="142" t="inlineStr">
        <is>
          <t>亿元</t>
        </is>
      </c>
      <c r="C172" s="142" t="inlineStr">
        <is>
          <t>年鉴2011 tbl 14-2 (S81)</t>
        </is>
      </c>
      <c r="D172" s="77" t="n">
        <v>29175.2</v>
      </c>
    </row>
    <row r="173" ht="16.5" customHeight="1" s="78">
      <c r="A173" s="77" t="inlineStr">
        <is>
          <t>CN excluded-sector memo: 造纸及纸制品 2007 VA</t>
        </is>
      </c>
      <c r="B173" s="142" t="inlineStr">
        <is>
          <t>亿元</t>
        </is>
      </c>
      <c r="C173" s="77" t="inlineStr">
        <is>
          <t>excluded — no growth series (Q37); coverage denominator (S81)</t>
        </is>
      </c>
      <c r="D173" s="77" t="n">
        <v>1743.05</v>
      </c>
    </row>
    <row r="174" ht="16.5" customHeight="1" s="78">
      <c r="A174" s="77" t="inlineStr">
        <is>
          <t>CN excluded-sector memo: 石油加工炼焦核燃料 2007 VA</t>
        </is>
      </c>
      <c r="B174" s="142" t="inlineStr">
        <is>
          <t>亿元</t>
        </is>
      </c>
      <c r="C174" s="77" t="inlineStr">
        <is>
          <t>excluded — sector absent from all Dec-release tables 2011–25, verified (Q41) (S81)</t>
        </is>
      </c>
      <c r="D174" s="77" t="n">
        <v>3096.98</v>
      </c>
    </row>
    <row r="176" ht="15" customHeight="1" s="78">
      <c r="A176" s="109" t="inlineStr">
        <is>
          <t>Series</t>
        </is>
      </c>
      <c r="B176" s="77" t="inlineStr">
        <is>
          <t>Unit</t>
        </is>
      </c>
      <c r="C176" s="77" t="inlineStr">
        <is>
          <t>Case/notes</t>
        </is>
      </c>
      <c r="D176" s="109" t="n">
        <v>2010</v>
      </c>
      <c r="E176" s="109" t="n">
        <v>2011</v>
      </c>
      <c r="F176" s="109" t="n">
        <v>2012</v>
      </c>
      <c r="G176" s="109" t="n">
        <v>2013</v>
      </c>
      <c r="H176" s="109" t="n">
        <v>2014</v>
      </c>
      <c r="I176" s="109" t="n">
        <v>2015</v>
      </c>
      <c r="J176" s="109" t="n">
        <v>2016</v>
      </c>
      <c r="K176" s="109" t="n">
        <v>2017</v>
      </c>
      <c r="L176" s="109" t="n">
        <v>2018</v>
      </c>
      <c r="M176" s="109" t="n">
        <v>2019</v>
      </c>
      <c r="N176" s="109" t="n">
        <v>2020</v>
      </c>
      <c r="O176" s="109" t="n">
        <v>2021</v>
      </c>
      <c r="P176" s="109" t="n">
        <v>2022</v>
      </c>
      <c r="Q176" s="109" t="n">
        <v>2023</v>
      </c>
      <c r="R176" s="109" t="n">
        <v>2024</v>
      </c>
      <c r="S176" s="109" t="n">
        <v>2025</v>
      </c>
    </row>
    <row r="177" ht="15" customHeight="1" s="78">
      <c r="A177" s="77" t="inlineStr">
        <is>
          <t>CN EI aggregate — 2007-VA weights (HEADLINE)</t>
        </is>
      </c>
      <c r="B177" s="77" t="inlineStr">
        <is>
          <t>index 2010=100</t>
        </is>
      </c>
      <c r="C177" s="77" t="inlineStr">
        <is>
          <t>estimated=Y (D38); fixed official VA shares × chained sector indices</t>
        </is>
      </c>
      <c r="D177" s="77">
        <f>($D$165*D56+$D$166*D57+$D$167*D58+$D$168*D59)/($D$165+$D$166+$D$167+$D$168)</f>
        <v/>
      </c>
      <c r="E177" s="77">
        <f>($D$165*E56+$D$166*E57+$D$167*E58+$D$168*E59)/($D$165+$D$166+$D$167+$D$168)</f>
        <v/>
      </c>
      <c r="F177" s="77">
        <f>($D$165*F56+$D$166*F57+$D$167*F58+$D$168*F59)/($D$165+$D$166+$D$167+$D$168)</f>
        <v/>
      </c>
      <c r="G177" s="77">
        <f>($D$165*G56+$D$166*G57+$D$167*G58+$D$168*G59)/($D$165+$D$166+$D$167+$D$168)</f>
        <v/>
      </c>
      <c r="H177" s="77">
        <f>($D$165*H56+$D$166*H57+$D$167*H58+$D$168*H59)/($D$165+$D$166+$D$167+$D$168)</f>
        <v/>
      </c>
      <c r="I177" s="77">
        <f>($D$165*I56+$D$166*I57+$D$167*I58+$D$168*I59)/($D$165+$D$166+$D$167+$D$168)</f>
        <v/>
      </c>
      <c r="J177" s="77">
        <f>($D$165*J56+$D$166*J57+$D$167*J58+$D$168*J59)/($D$165+$D$166+$D$167+$D$168)</f>
        <v/>
      </c>
      <c r="K177" s="77">
        <f>($D$165*K56+$D$166*K57+$D$167*K58+$D$168*K59)/($D$165+$D$166+$D$167+$D$168)</f>
        <v/>
      </c>
      <c r="L177" s="77">
        <f>($D$165*L56+$D$166*L57+$D$167*L58+$D$168*L59)/($D$165+$D$166+$D$167+$D$168)</f>
        <v/>
      </c>
      <c r="M177" s="77">
        <f>($D$165*M56+$D$166*M57+$D$167*M58+$D$168*M59)/($D$165+$D$166+$D$167+$D$168)</f>
        <v/>
      </c>
      <c r="N177" s="77">
        <f>($D$165*N56+$D$166*N57+$D$167*N58+$D$168*N59)/($D$165+$D$166+$D$167+$D$168)</f>
        <v/>
      </c>
      <c r="O177" s="77">
        <f>($D$165*O56+$D$166*O57+$D$167*O58+$D$168*O59)/($D$165+$D$166+$D$167+$D$168)</f>
        <v/>
      </c>
      <c r="P177" s="77">
        <f>($D$165*P56+$D$166*P57+$D$167*P58+$D$168*P59)/($D$165+$D$166+$D$167+$D$168)</f>
        <v/>
      </c>
      <c r="Q177" s="77">
        <f>($D$165*Q56+$D$166*Q57+$D$167*Q58+$D$168*Q59)/($D$165+$D$166+$D$167+$D$168)</f>
        <v/>
      </c>
      <c r="R177" s="77">
        <f>($D$165*R56+$D$166*R57+$D$167*R58+$D$168*R59)/($D$165+$D$166+$D$167+$D$168)</f>
        <v/>
      </c>
      <c r="S177" s="77">
        <f>($D$165*S56+$D$166*S57+$D$167*S58+$D$168*S59)/($D$165+$D$166+$D$167+$D$168)</f>
        <v/>
      </c>
    </row>
    <row r="178" ht="15" customHeight="1" s="78">
      <c r="A178" s="77" t="inlineStr">
        <is>
          <t>CN EI aggregate — variant: 2010 revenue weights</t>
        </is>
      </c>
      <c r="B178" s="77" t="inlineStr">
        <is>
          <t>index 2010=100</t>
        </is>
      </c>
      <c r="C178" s="77" t="inlineStr">
        <is>
          <t>estimated=Y; sensitivity (revenue ≠ VA concept)</t>
        </is>
      </c>
      <c r="D178" s="77">
        <f>($D$169*D56+$D$170*D57+$D$171*D58+$D$172*D59)/($D$169+$D$170+$D$171+$D$172)</f>
        <v/>
      </c>
      <c r="E178" s="77">
        <f>($D$169*E56+$D$170*E57+$D$171*E58+$D$172*E59)/($D$169+$D$170+$D$171+$D$172)</f>
        <v/>
      </c>
      <c r="F178" s="77">
        <f>($D$169*F56+$D$170*F57+$D$171*F58+$D$172*F59)/($D$169+$D$170+$D$171+$D$172)</f>
        <v/>
      </c>
      <c r="G178" s="77">
        <f>($D$169*G56+$D$170*G57+$D$171*G58+$D$172*G59)/($D$169+$D$170+$D$171+$D$172)</f>
        <v/>
      </c>
      <c r="H178" s="77">
        <f>($D$169*H56+$D$170*H57+$D$171*H58+$D$172*H59)/($D$169+$D$170+$D$171+$D$172)</f>
        <v/>
      </c>
      <c r="I178" s="77">
        <f>($D$169*I56+$D$170*I57+$D$171*I58+$D$172*I59)/($D$169+$D$170+$D$171+$D$172)</f>
        <v/>
      </c>
      <c r="J178" s="77">
        <f>($D$169*J56+$D$170*J57+$D$171*J58+$D$172*J59)/($D$169+$D$170+$D$171+$D$172)</f>
        <v/>
      </c>
      <c r="K178" s="77">
        <f>($D$169*K56+$D$170*K57+$D$171*K58+$D$172*K59)/($D$169+$D$170+$D$171+$D$172)</f>
        <v/>
      </c>
      <c r="L178" s="77">
        <f>($D$169*L56+$D$170*L57+$D$171*L58+$D$172*L59)/($D$169+$D$170+$D$171+$D$172)</f>
        <v/>
      </c>
      <c r="M178" s="77">
        <f>($D$169*M56+$D$170*M57+$D$171*M58+$D$172*M59)/($D$169+$D$170+$D$171+$D$172)</f>
        <v/>
      </c>
      <c r="N178" s="77">
        <f>($D$169*N56+$D$170*N57+$D$171*N58+$D$172*N59)/($D$169+$D$170+$D$171+$D$172)</f>
        <v/>
      </c>
      <c r="O178" s="77">
        <f>($D$169*O56+$D$170*O57+$D$171*O58+$D$172*O59)/($D$169+$D$170+$D$171+$D$172)</f>
        <v/>
      </c>
      <c r="P178" s="77">
        <f>($D$169*P56+$D$170*P57+$D$171*P58+$D$172*P59)/($D$169+$D$170+$D$171+$D$172)</f>
        <v/>
      </c>
      <c r="Q178" s="77">
        <f>($D$169*Q56+$D$170*Q57+$D$171*Q58+$D$172*Q59)/($D$169+$D$170+$D$171+$D$172)</f>
        <v/>
      </c>
      <c r="R178" s="77">
        <f>($D$169*R56+$D$170*R57+$D$171*R58+$D$172*R59)/($D$169+$D$170+$D$171+$D$172)</f>
        <v/>
      </c>
      <c r="S178" s="77">
        <f>($D$169*S56+$D$170*S57+$D$171*S58+$D$172*S59)/($D$169+$D$170+$D$171+$D$172)</f>
        <v/>
      </c>
    </row>
    <row r="179" ht="15" customHeight="1" s="78">
      <c r="A179" s="77" t="inlineStr">
        <is>
          <t>CN EI aggregate — band LOWER</t>
        </is>
      </c>
      <c r="B179" s="77" t="inlineStr">
        <is>
          <t>index 2010=100</t>
        </is>
      </c>
      <c r="C179" s="77" t="inlineStr">
        <is>
          <t>weight-variant span (D38 band — never delete)</t>
        </is>
      </c>
      <c r="D179" s="77">
        <f>MIN(D177,D178)</f>
        <v/>
      </c>
      <c r="E179" s="77">
        <f>MIN(E177,E178)</f>
        <v/>
      </c>
      <c r="F179" s="77">
        <f>MIN(F177,F178)</f>
        <v/>
      </c>
      <c r="G179" s="77">
        <f>MIN(G177,G178)</f>
        <v/>
      </c>
      <c r="H179" s="77">
        <f>MIN(H177,H178)</f>
        <v/>
      </c>
      <c r="I179" s="77">
        <f>MIN(I177,I178)</f>
        <v/>
      </c>
      <c r="J179" s="77">
        <f>MIN(J177,J178)</f>
        <v/>
      </c>
      <c r="K179" s="77">
        <f>MIN(K177,K178)</f>
        <v/>
      </c>
      <c r="L179" s="77">
        <f>MIN(L177,L178)</f>
        <v/>
      </c>
      <c r="M179" s="77">
        <f>MIN(M177,M178)</f>
        <v/>
      </c>
      <c r="N179" s="77">
        <f>MIN(N177,N178)</f>
        <v/>
      </c>
      <c r="O179" s="77">
        <f>MIN(O177,O178)</f>
        <v/>
      </c>
      <c r="P179" s="77">
        <f>MIN(P177,P178)</f>
        <v/>
      </c>
      <c r="Q179" s="77">
        <f>MIN(Q177,Q178)</f>
        <v/>
      </c>
      <c r="R179" s="77">
        <f>MIN(R177,R178)</f>
        <v/>
      </c>
      <c r="S179" s="77">
        <f>MIN(S177,S178)</f>
        <v/>
      </c>
    </row>
    <row r="180" ht="15" customHeight="1" s="78">
      <c r="A180" s="77" t="inlineStr">
        <is>
          <t>CN EI aggregate — band UPPER</t>
        </is>
      </c>
      <c r="B180" s="77" t="inlineStr">
        <is>
          <t>index 2010=100</t>
        </is>
      </c>
      <c r="C180" s="77" t="inlineStr">
        <is>
          <t>weight-variant span (D38 band — never delete)</t>
        </is>
      </c>
      <c r="D180" s="77">
        <f>MAX(D177,D178)</f>
        <v/>
      </c>
      <c r="E180" s="77">
        <f>MAX(E177,E178)</f>
        <v/>
      </c>
      <c r="F180" s="77">
        <f>MAX(F177,F178)</f>
        <v/>
      </c>
      <c r="G180" s="77">
        <f>MAX(G177,G178)</f>
        <v/>
      </c>
      <c r="H180" s="77">
        <f>MAX(H177,H178)</f>
        <v/>
      </c>
      <c r="I180" s="77">
        <f>MAX(I177,I178)</f>
        <v/>
      </c>
      <c r="J180" s="77">
        <f>MAX(J177,J178)</f>
        <v/>
      </c>
      <c r="K180" s="77">
        <f>MAX(K177,K178)</f>
        <v/>
      </c>
      <c r="L180" s="77">
        <f>MAX(L177,L178)</f>
        <v/>
      </c>
      <c r="M180" s="77">
        <f>MAX(M177,M178)</f>
        <v/>
      </c>
      <c r="N180" s="77">
        <f>MAX(N177,N178)</f>
        <v/>
      </c>
      <c r="O180" s="77">
        <f>MAX(O177,O178)</f>
        <v/>
      </c>
      <c r="P180" s="77">
        <f>MAX(P177,P178)</f>
        <v/>
      </c>
      <c r="Q180" s="77">
        <f>MAX(Q177,Q178)</f>
        <v/>
      </c>
      <c r="R180" s="77">
        <f>MAX(R177,R178)</f>
        <v/>
      </c>
      <c r="S180" s="77">
        <f>MAX(S177,S178)</f>
        <v/>
      </c>
    </row>
    <row r="182" ht="15" customHeight="1" s="78">
      <c r="A182" s="77" t="inlineStr">
        <is>
          <t>N16 CN EI aggregate (D38): completes the three-country EI-aggregates exhibit INCLUDING CHEMICALS (user requirement 2026-07-16). Basket ≠ UK/DE aggregates (those include paper+refining; CN cannot — stated on chart). Weight-variant band is tight (2025: 269.9–271.2) because 2007 VA shares ≈ 2010 revenue shares. All D34 chaining caveats apply.</t>
        </is>
      </c>
    </row>
    <row r="184">
      <c r="A184" s="77" t="inlineStr">
        <is>
          <t>K. VALUE-WEIGHTED FOUR-COMMODITY COMPOSITE — HEADLINE per D69 (2026-07-24, supersedes the equal-weight headline of D65). Weighted mean of the four per-product tonnage indices (section F, 2010=100): crude steel + cement + primary aluminium + paper &amp; paperboard. Weights are COMMON to all three countries — one vector applied identically — so the composite stays a like-for-like basket; they are EU27 value-added shares for the matching NACE Rev.2 classes in 2010 (r202-205). Band = span of the three weighting variants (arithmetic, weighted-geometric, scope-adjusted). Equal-weight series retained as the D65 archive at r218-220.</t>
        </is>
      </c>
    </row>
    <row r="185">
      <c r="A185" s="77" t="inlineStr">
        <is>
          <t>Series</t>
        </is>
      </c>
      <c r="B185" s="77" t="inlineStr">
        <is>
          <t>Unit</t>
        </is>
      </c>
      <c r="C185" s="77" t="inlineStr">
        <is>
          <t>Case/notes</t>
        </is>
      </c>
      <c r="D185" s="77" t="n">
        <v>2010</v>
      </c>
      <c r="E185" s="77" t="n">
        <v>2011</v>
      </c>
      <c r="F185" s="77" t="n">
        <v>2012</v>
      </c>
      <c r="G185" s="77" t="n">
        <v>2013</v>
      </c>
      <c r="H185" s="77" t="n">
        <v>2014</v>
      </c>
      <c r="I185" s="77" t="n">
        <v>2015</v>
      </c>
      <c r="J185" s="77" t="n">
        <v>2016</v>
      </c>
      <c r="K185" s="77" t="n">
        <v>2017</v>
      </c>
      <c r="L185" s="77" t="n">
        <v>2018</v>
      </c>
      <c r="M185" s="77" t="n">
        <v>2019</v>
      </c>
      <c r="N185" s="77" t="n">
        <v>2020</v>
      </c>
      <c r="O185" s="77" t="n">
        <v>2021</v>
      </c>
      <c r="P185" s="77" t="n">
        <v>2022</v>
      </c>
      <c r="Q185" s="77" t="n">
        <v>2023</v>
      </c>
      <c r="R185" s="77" t="n">
        <v>2024</v>
      </c>
      <c r="S185" s="77" t="n">
        <v>2025</v>
      </c>
    </row>
    <row r="186">
      <c r="A186" s="77" t="inlineStr">
        <is>
          <t>UK value-weighted composite (HEADLINE, D69) — common EU27-2010 value-added weights</t>
        </is>
      </c>
      <c r="B186" s="77" t="inlineStr">
        <is>
          <t>index 2010=100</t>
        </is>
      </c>
      <c r="C186" s="77" t="inlineStr">
        <is>
          <t>estimated=Y (D65); blank unless all 4 components present</t>
        </is>
      </c>
      <c r="D186" s="77">
        <f>IF(COUNT(D80,D83,D86,D89)&lt;4,"",$D$202*D80+$D$203*D86+$D$204*D83+$D$205*D89)</f>
        <v/>
      </c>
      <c r="E186" s="77">
        <f>IF(COUNT(E80,E83,E86,E89)&lt;4,"",$D$202*E80+$D$203*E86+$D$204*E83+$D$205*E89)</f>
        <v/>
      </c>
      <c r="F186" s="77">
        <f>IF(COUNT(F80,F83,F86,F89)&lt;4,"",$D$202*F80+$D$203*F86+$D$204*F83+$D$205*F89)</f>
        <v/>
      </c>
      <c r="G186" s="77">
        <f>IF(COUNT(G80,G83,G86,G89)&lt;4,"",$D$202*G80+$D$203*G86+$D$204*G83+$D$205*G89)</f>
        <v/>
      </c>
      <c r="H186" s="77">
        <f>IF(COUNT(H80,H83,H86,H89)&lt;4,"",$D$202*H80+$D$203*H86+$D$204*H83+$D$205*H89)</f>
        <v/>
      </c>
      <c r="I186" s="77">
        <f>IF(COUNT(I80,I83,I86,I89)&lt;4,"",$D$202*I80+$D$203*I86+$D$204*I83+$D$205*I89)</f>
        <v/>
      </c>
      <c r="J186" s="77">
        <f>IF(COUNT(J80,J83,J86,J89)&lt;4,"",$D$202*J80+$D$203*J86+$D$204*J83+$D$205*J89)</f>
        <v/>
      </c>
      <c r="K186" s="77">
        <f>IF(COUNT(K80,K83,K86,K89)&lt;4,"",$D$202*K80+$D$203*K86+$D$204*K83+$D$205*K89)</f>
        <v/>
      </c>
      <c r="L186" s="77">
        <f>IF(COUNT(L80,L83,L86,L89)&lt;4,"",$D$202*L80+$D$203*L86+$D$204*L83+$D$205*L89)</f>
        <v/>
      </c>
      <c r="M186" s="77">
        <f>IF(COUNT(M80,M83,M86,M89)&lt;4,"",$D$202*M80+$D$203*M86+$D$204*M83+$D$205*M89)</f>
        <v/>
      </c>
      <c r="N186" s="77">
        <f>IF(COUNT(N80,N83,N86,N89)&lt;4,"",$D$202*N80+$D$203*N86+$D$204*N83+$D$205*N89)</f>
        <v/>
      </c>
      <c r="O186" s="77">
        <f>IF(COUNT(O80,O83,O86,O89)&lt;4,"",$D$202*O80+$D$203*O86+$D$204*O83+$D$205*O89)</f>
        <v/>
      </c>
      <c r="P186" s="77">
        <f>IF(COUNT(P80,P83,P86,P89)&lt;4,"",$D$202*P80+$D$203*P86+$D$204*P83+$D$205*P89)</f>
        <v/>
      </c>
      <c r="Q186" s="77">
        <f>IF(COUNT(Q80,Q83,Q86,Q89)&lt;4,"",$D$202*Q80+$D$203*Q86+$D$204*Q83+$D$205*Q89)</f>
        <v/>
      </c>
      <c r="R186" s="77">
        <f>IF(COUNT(R80,R83,R86,R89)&lt;4,"",$D$202*R80+$D$203*R86+$D$204*R83+$D$205*R89)</f>
        <v/>
      </c>
      <c r="S186" s="77">
        <f>IF(COUNT(S80,S83,S86,S89)&lt;4,"",$D$202*S80+$D$203*S86+$D$204*S83+$D$205*S89)</f>
        <v/>
      </c>
    </row>
    <row r="187">
      <c r="A187" s="77" t="inlineStr">
        <is>
          <t>UK — variant: weighted GEOMETRIC mean (same weights)</t>
        </is>
      </c>
      <c r="B187" s="77" t="inlineStr">
        <is>
          <t>index 2010=100</t>
        </is>
      </c>
      <c r="C187" s="77" t="inlineStr">
        <is>
          <t>estimated=Y (D65)</t>
        </is>
      </c>
      <c r="D187" s="77">
        <f>IF(COUNT(D80,D83,D86,D89)&lt;4,"",EXP($D$202*LN(D80)+$D$203*LN(D86)+$D$204*LN(D83)+$D$205*LN(D89)))</f>
        <v/>
      </c>
      <c r="E187" s="77">
        <f>IF(COUNT(E80,E83,E86,E89)&lt;4,"",EXP($D$202*LN(E80)+$D$203*LN(E86)+$D$204*LN(E83)+$D$205*LN(E89)))</f>
        <v/>
      </c>
      <c r="F187" s="77">
        <f>IF(COUNT(F80,F83,F86,F89)&lt;4,"",EXP($D$202*LN(F80)+$D$203*LN(F86)+$D$204*LN(F83)+$D$205*LN(F89)))</f>
        <v/>
      </c>
      <c r="G187" s="77">
        <f>IF(COUNT(G80,G83,G86,G89)&lt;4,"",EXP($D$202*LN(G80)+$D$203*LN(G86)+$D$204*LN(G83)+$D$205*LN(G89)))</f>
        <v/>
      </c>
      <c r="H187" s="77">
        <f>IF(COUNT(H80,H83,H86,H89)&lt;4,"",EXP($D$202*LN(H80)+$D$203*LN(H86)+$D$204*LN(H83)+$D$205*LN(H89)))</f>
        <v/>
      </c>
      <c r="I187" s="77">
        <f>IF(COUNT(I80,I83,I86,I89)&lt;4,"",EXP($D$202*LN(I80)+$D$203*LN(I86)+$D$204*LN(I83)+$D$205*LN(I89)))</f>
        <v/>
      </c>
      <c r="J187" s="77">
        <f>IF(COUNT(J80,J83,J86,J89)&lt;4,"",EXP($D$202*LN(J80)+$D$203*LN(J86)+$D$204*LN(J83)+$D$205*LN(J89)))</f>
        <v/>
      </c>
      <c r="K187" s="77">
        <f>IF(COUNT(K80,K83,K86,K89)&lt;4,"",EXP($D$202*LN(K80)+$D$203*LN(K86)+$D$204*LN(K83)+$D$205*LN(K89)))</f>
        <v/>
      </c>
      <c r="L187" s="77">
        <f>IF(COUNT(L80,L83,L86,L89)&lt;4,"",EXP($D$202*LN(L80)+$D$203*LN(L86)+$D$204*LN(L83)+$D$205*LN(L89)))</f>
        <v/>
      </c>
      <c r="M187" s="77">
        <f>IF(COUNT(M80,M83,M86,M89)&lt;4,"",EXP($D$202*LN(M80)+$D$203*LN(M86)+$D$204*LN(M83)+$D$205*LN(M89)))</f>
        <v/>
      </c>
      <c r="N187" s="77">
        <f>IF(COUNT(N80,N83,N86,N89)&lt;4,"",EXP($D$202*LN(N80)+$D$203*LN(N86)+$D$204*LN(N83)+$D$205*LN(N89)))</f>
        <v/>
      </c>
      <c r="O187" s="77">
        <f>IF(COUNT(O80,O83,O86,O89)&lt;4,"",EXP($D$202*LN(O80)+$D$203*LN(O86)+$D$204*LN(O83)+$D$205*LN(O89)))</f>
        <v/>
      </c>
      <c r="P187" s="77">
        <f>IF(COUNT(P80,P83,P86,P89)&lt;4,"",EXP($D$202*LN(P80)+$D$203*LN(P86)+$D$204*LN(P83)+$D$205*LN(P89)))</f>
        <v/>
      </c>
      <c r="Q187" s="77">
        <f>IF(COUNT(Q80,Q83,Q86,Q89)&lt;4,"",EXP($D$202*LN(Q80)+$D$203*LN(Q86)+$D$204*LN(Q83)+$D$205*LN(Q89)))</f>
        <v/>
      </c>
      <c r="R187" s="77">
        <f>IF(COUNT(R80,R83,R86,R89)&lt;4,"",EXP($D$202*LN(R80)+$D$203*LN(R86)+$D$204*LN(R83)+$D$205*LN(R89)))</f>
        <v/>
      </c>
      <c r="S187" s="77">
        <f>IF(COUNT(S80,S83,S86,S89)&lt;4,"",EXP($D$202*LN(S80)+$D$203*LN(S86)+$D$204*LN(S83)+$D$205*LN(S89)))</f>
        <v/>
      </c>
    </row>
    <row r="188">
      <c r="A188" s="77" t="inlineStr">
        <is>
          <t>UK product-weighted — band LOWER</t>
        </is>
      </c>
      <c r="B188" s="77" t="inlineStr">
        <is>
          <t>index 2010=100</t>
        </is>
      </c>
      <c r="C188" s="77" t="inlineStr">
        <is>
          <t>MIN of arithmetic/geometric variants (D65 band — never delete)</t>
        </is>
      </c>
      <c r="D188" s="77">
        <f>IF(D186="","",MIN(D186,D187,D214))</f>
        <v/>
      </c>
      <c r="E188" s="77">
        <f>IF(E186="","",MIN(E186,E187,E214))</f>
        <v/>
      </c>
      <c r="F188" s="77">
        <f>IF(F186="","",MIN(F186,F187,F214))</f>
        <v/>
      </c>
      <c r="G188" s="77">
        <f>IF(G186="","",MIN(G186,G187,G214))</f>
        <v/>
      </c>
      <c r="H188" s="77">
        <f>IF(H186="","",MIN(H186,H187,H214))</f>
        <v/>
      </c>
      <c r="I188" s="77">
        <f>IF(I186="","",MIN(I186,I187,I214))</f>
        <v/>
      </c>
      <c r="J188" s="77">
        <f>IF(J186="","",MIN(J186,J187,J214))</f>
        <v/>
      </c>
      <c r="K188" s="77">
        <f>IF(K186="","",MIN(K186,K187,K214))</f>
        <v/>
      </c>
      <c r="L188" s="77">
        <f>IF(L186="","",MIN(L186,L187,L214))</f>
        <v/>
      </c>
      <c r="M188" s="77">
        <f>IF(M186="","",MIN(M186,M187,M214))</f>
        <v/>
      </c>
      <c r="N188" s="77">
        <f>IF(N186="","",MIN(N186,N187,N214))</f>
        <v/>
      </c>
      <c r="O188" s="77">
        <f>IF(O186="","",MIN(O186,O187,O214))</f>
        <v/>
      </c>
      <c r="P188" s="77">
        <f>IF(P186="","",MIN(P186,P187,P214))</f>
        <v/>
      </c>
      <c r="Q188" s="77">
        <f>IF(Q186="","",MIN(Q186,Q187,Q214))</f>
        <v/>
      </c>
      <c r="R188" s="77">
        <f>IF(R186="","",MIN(R186,R187,R214))</f>
        <v/>
      </c>
      <c r="S188" s="77">
        <f>IF(S186="","",MIN(S186,S187,S214))</f>
        <v/>
      </c>
    </row>
    <row r="189">
      <c r="A189" s="77" t="inlineStr">
        <is>
          <t>UK product-weighted — band UPPER</t>
        </is>
      </c>
      <c r="B189" s="77" t="inlineStr">
        <is>
          <t>index 2010=100</t>
        </is>
      </c>
      <c r="C189" s="77" t="inlineStr">
        <is>
          <t>MAX of arithmetic/geometric variants (D65 band — never delete)</t>
        </is>
      </c>
      <c r="D189" s="77">
        <f>IF(D186="","",MAX(D186,D187,D214))</f>
        <v/>
      </c>
      <c r="E189" s="77">
        <f>IF(E186="","",MAX(E186,E187,E214))</f>
        <v/>
      </c>
      <c r="F189" s="77">
        <f>IF(F186="","",MAX(F186,F187,F214))</f>
        <v/>
      </c>
      <c r="G189" s="77">
        <f>IF(G186="","",MAX(G186,G187,G214))</f>
        <v/>
      </c>
      <c r="H189" s="77">
        <f>IF(H186="","",MAX(H186,H187,H214))</f>
        <v/>
      </c>
      <c r="I189" s="77">
        <f>IF(I186="","",MAX(I186,I187,I214))</f>
        <v/>
      </c>
      <c r="J189" s="77">
        <f>IF(J186="","",MAX(J186,J187,J214))</f>
        <v/>
      </c>
      <c r="K189" s="77">
        <f>IF(K186="","",MAX(K186,K187,K214))</f>
        <v/>
      </c>
      <c r="L189" s="77">
        <f>IF(L186="","",MAX(L186,L187,L214))</f>
        <v/>
      </c>
      <c r="M189" s="77">
        <f>IF(M186="","",MAX(M186,M187,M214))</f>
        <v/>
      </c>
      <c r="N189" s="77">
        <f>IF(N186="","",MAX(N186,N187,N214))</f>
        <v/>
      </c>
      <c r="O189" s="77">
        <f>IF(O186="","",MAX(O186,O187,O214))</f>
        <v/>
      </c>
      <c r="P189" s="77">
        <f>IF(P186="","",MAX(P186,P187,P214))</f>
        <v/>
      </c>
      <c r="Q189" s="77">
        <f>IF(Q186="","",MAX(Q186,Q187,Q214))</f>
        <v/>
      </c>
      <c r="R189" s="77">
        <f>IF(R186="","",MAX(R186,R187,R214))</f>
        <v/>
      </c>
      <c r="S189" s="77">
        <f>IF(S186="","",MAX(S186,S187,S214))</f>
        <v/>
      </c>
    </row>
    <row r="190">
      <c r="A190" s="77" t="inlineStr">
        <is>
          <t>DE value-weighted composite (HEADLINE, D69) — common EU27-2010 value-added weights</t>
        </is>
      </c>
      <c r="B190" s="77" t="inlineStr">
        <is>
          <t>index 2010=100</t>
        </is>
      </c>
      <c r="C190" s="77" t="inlineStr">
        <is>
          <t>estimated=Y (D65); blank unless all 4 components present</t>
        </is>
      </c>
      <c r="D190" s="77">
        <f>IF(COUNT(D81,D84,D87,D90)&lt;4,"",$D$202*D81+$D$203*D87+$D$204*D84+$D$205*D90)</f>
        <v/>
      </c>
      <c r="E190" s="77">
        <f>IF(COUNT(E81,E84,E87,E90)&lt;4,"",$D$202*E81+$D$203*E87+$D$204*E84+$D$205*E90)</f>
        <v/>
      </c>
      <c r="F190" s="77">
        <f>IF(COUNT(F81,F84,F87,F90)&lt;4,"",$D$202*F81+$D$203*F87+$D$204*F84+$D$205*F90)</f>
        <v/>
      </c>
      <c r="G190" s="77">
        <f>IF(COUNT(G81,G84,G87,G90)&lt;4,"",$D$202*G81+$D$203*G87+$D$204*G84+$D$205*G90)</f>
        <v/>
      </c>
      <c r="H190" s="77">
        <f>IF(COUNT(H81,H84,H87,H90)&lt;4,"",$D$202*H81+$D$203*H87+$D$204*H84+$D$205*H90)</f>
        <v/>
      </c>
      <c r="I190" s="77">
        <f>IF(COUNT(I81,I84,I87,I90)&lt;4,"",$D$202*I81+$D$203*I87+$D$204*I84+$D$205*I90)</f>
        <v/>
      </c>
      <c r="J190" s="77">
        <f>IF(COUNT(J81,J84,J87,J90)&lt;4,"",$D$202*J81+$D$203*J87+$D$204*J84+$D$205*J90)</f>
        <v/>
      </c>
      <c r="K190" s="77">
        <f>IF(COUNT(K81,K84,K87,K90)&lt;4,"",$D$202*K81+$D$203*K87+$D$204*K84+$D$205*K90)</f>
        <v/>
      </c>
      <c r="L190" s="77">
        <f>IF(COUNT(L81,L84,L87,L90)&lt;4,"",$D$202*L81+$D$203*L87+$D$204*L84+$D$205*L90)</f>
        <v/>
      </c>
      <c r="M190" s="77">
        <f>IF(COUNT(M81,M84,M87,M90)&lt;4,"",$D$202*M81+$D$203*M87+$D$204*M84+$D$205*M90)</f>
        <v/>
      </c>
      <c r="N190" s="77">
        <f>IF(COUNT(N81,N84,N87,N90)&lt;4,"",$D$202*N81+$D$203*N87+$D$204*N84+$D$205*N90)</f>
        <v/>
      </c>
      <c r="O190" s="77">
        <f>IF(COUNT(O81,O84,O87,O90)&lt;4,"",$D$202*O81+$D$203*O87+$D$204*O84+$D$205*O90)</f>
        <v/>
      </c>
      <c r="P190" s="77">
        <f>IF(COUNT(P81,P84,P87,P90)&lt;4,"",$D$202*P81+$D$203*P87+$D$204*P84+$D$205*P90)</f>
        <v/>
      </c>
      <c r="Q190" s="77">
        <f>IF(COUNT(Q81,Q84,Q87,Q90)&lt;4,"",$D$202*Q81+$D$203*Q87+$D$204*Q84+$D$205*Q90)</f>
        <v/>
      </c>
      <c r="R190" s="77">
        <f>IF(COUNT(R81,R84,R87,R90)&lt;4,"",$D$202*R81+$D$203*R87+$D$204*R84+$D$205*R90)</f>
        <v/>
      </c>
      <c r="S190" s="77">
        <f>IF(COUNT(S81,S84,S87,S90)&lt;4,"",$D$202*S81+$D$203*S87+$D$204*S84+$D$205*S90)</f>
        <v/>
      </c>
    </row>
    <row r="191">
      <c r="A191" s="77" t="inlineStr">
        <is>
          <t>DE — variant: weighted GEOMETRIC mean (same weights)</t>
        </is>
      </c>
      <c r="B191" s="77" t="inlineStr">
        <is>
          <t>index 2010=100</t>
        </is>
      </c>
      <c r="C191" s="77" t="inlineStr">
        <is>
          <t>estimated=Y (D65)</t>
        </is>
      </c>
      <c r="D191" s="77">
        <f>IF(COUNT(D81,D84,D87,D90)&lt;4,"",EXP($D$202*LN(D81)+$D$203*LN(D87)+$D$204*LN(D84)+$D$205*LN(D90)))</f>
        <v/>
      </c>
      <c r="E191" s="77">
        <f>IF(COUNT(E81,E84,E87,E90)&lt;4,"",EXP($D$202*LN(E81)+$D$203*LN(E87)+$D$204*LN(E84)+$D$205*LN(E90)))</f>
        <v/>
      </c>
      <c r="F191" s="77">
        <f>IF(COUNT(F81,F84,F87,F90)&lt;4,"",EXP($D$202*LN(F81)+$D$203*LN(F87)+$D$204*LN(F84)+$D$205*LN(F90)))</f>
        <v/>
      </c>
      <c r="G191" s="77">
        <f>IF(COUNT(G81,G84,G87,G90)&lt;4,"",EXP($D$202*LN(G81)+$D$203*LN(G87)+$D$204*LN(G84)+$D$205*LN(G90)))</f>
        <v/>
      </c>
      <c r="H191" s="77">
        <f>IF(COUNT(H81,H84,H87,H90)&lt;4,"",EXP($D$202*LN(H81)+$D$203*LN(H87)+$D$204*LN(H84)+$D$205*LN(H90)))</f>
        <v/>
      </c>
      <c r="I191" s="77">
        <f>IF(COUNT(I81,I84,I87,I90)&lt;4,"",EXP($D$202*LN(I81)+$D$203*LN(I87)+$D$204*LN(I84)+$D$205*LN(I90)))</f>
        <v/>
      </c>
      <c r="J191" s="77">
        <f>IF(COUNT(J81,J84,J87,J90)&lt;4,"",EXP($D$202*LN(J81)+$D$203*LN(J87)+$D$204*LN(J84)+$D$205*LN(J90)))</f>
        <v/>
      </c>
      <c r="K191" s="77">
        <f>IF(COUNT(K81,K84,K87,K90)&lt;4,"",EXP($D$202*LN(K81)+$D$203*LN(K87)+$D$204*LN(K84)+$D$205*LN(K90)))</f>
        <v/>
      </c>
      <c r="L191" s="77">
        <f>IF(COUNT(L81,L84,L87,L90)&lt;4,"",EXP($D$202*LN(L81)+$D$203*LN(L87)+$D$204*LN(L84)+$D$205*LN(L90)))</f>
        <v/>
      </c>
      <c r="M191" s="77">
        <f>IF(COUNT(M81,M84,M87,M90)&lt;4,"",EXP($D$202*LN(M81)+$D$203*LN(M87)+$D$204*LN(M84)+$D$205*LN(M90)))</f>
        <v/>
      </c>
      <c r="N191" s="77">
        <f>IF(COUNT(N81,N84,N87,N90)&lt;4,"",EXP($D$202*LN(N81)+$D$203*LN(N87)+$D$204*LN(N84)+$D$205*LN(N90)))</f>
        <v/>
      </c>
      <c r="O191" s="77">
        <f>IF(COUNT(O81,O84,O87,O90)&lt;4,"",EXP($D$202*LN(O81)+$D$203*LN(O87)+$D$204*LN(O84)+$D$205*LN(O90)))</f>
        <v/>
      </c>
      <c r="P191" s="77">
        <f>IF(COUNT(P81,P84,P87,P90)&lt;4,"",EXP($D$202*LN(P81)+$D$203*LN(P87)+$D$204*LN(P84)+$D$205*LN(P90)))</f>
        <v/>
      </c>
      <c r="Q191" s="77">
        <f>IF(COUNT(Q81,Q84,Q87,Q90)&lt;4,"",EXP($D$202*LN(Q81)+$D$203*LN(Q87)+$D$204*LN(Q84)+$D$205*LN(Q90)))</f>
        <v/>
      </c>
      <c r="R191" s="77">
        <f>IF(COUNT(R81,R84,R87,R90)&lt;4,"",EXP($D$202*LN(R81)+$D$203*LN(R87)+$D$204*LN(R84)+$D$205*LN(R90)))</f>
        <v/>
      </c>
      <c r="S191" s="77">
        <f>IF(COUNT(S81,S84,S87,S90)&lt;4,"",EXP($D$202*LN(S81)+$D$203*LN(S87)+$D$204*LN(S84)+$D$205*LN(S90)))</f>
        <v/>
      </c>
    </row>
    <row r="192">
      <c r="A192" s="77" t="inlineStr">
        <is>
          <t>DE product-weighted — band LOWER</t>
        </is>
      </c>
      <c r="B192" s="77" t="inlineStr">
        <is>
          <t>index 2010=100</t>
        </is>
      </c>
      <c r="C192" s="77" t="inlineStr">
        <is>
          <t>MIN of arithmetic/geometric variants (D65 band — never delete)</t>
        </is>
      </c>
      <c r="D192" s="77">
        <f>IF(D190="","",MIN(D190,D191,D215))</f>
        <v/>
      </c>
      <c r="E192" s="77">
        <f>IF(E190="","",MIN(E190,E191,E215))</f>
        <v/>
      </c>
      <c r="F192" s="77">
        <f>IF(F190="","",MIN(F190,F191,F215))</f>
        <v/>
      </c>
      <c r="G192" s="77">
        <f>IF(G190="","",MIN(G190,G191,G215))</f>
        <v/>
      </c>
      <c r="H192" s="77">
        <f>IF(H190="","",MIN(H190,H191,H215))</f>
        <v/>
      </c>
      <c r="I192" s="77">
        <f>IF(I190="","",MIN(I190,I191,I215))</f>
        <v/>
      </c>
      <c r="J192" s="77">
        <f>IF(J190="","",MIN(J190,J191,J215))</f>
        <v/>
      </c>
      <c r="K192" s="77">
        <f>IF(K190="","",MIN(K190,K191,K215))</f>
        <v/>
      </c>
      <c r="L192" s="77">
        <f>IF(L190="","",MIN(L190,L191,L215))</f>
        <v/>
      </c>
      <c r="M192" s="77">
        <f>IF(M190="","",MIN(M190,M191,M215))</f>
        <v/>
      </c>
      <c r="N192" s="77">
        <f>IF(N190="","",MIN(N190,N191,N215))</f>
        <v/>
      </c>
      <c r="O192" s="77">
        <f>IF(O190="","",MIN(O190,O191,O215))</f>
        <v/>
      </c>
      <c r="P192" s="77">
        <f>IF(P190="","",MIN(P190,P191,P215))</f>
        <v/>
      </c>
      <c r="Q192" s="77">
        <f>IF(Q190="","",MIN(Q190,Q191,Q215))</f>
        <v/>
      </c>
      <c r="R192" s="77">
        <f>IF(R190="","",MIN(R190,R191,R215))</f>
        <v/>
      </c>
      <c r="S192" s="77">
        <f>IF(S190="","",MIN(S190,S191,S215))</f>
        <v/>
      </c>
    </row>
    <row r="193">
      <c r="A193" s="77" t="inlineStr">
        <is>
          <t>DE product-weighted — band UPPER</t>
        </is>
      </c>
      <c r="B193" s="77" t="inlineStr">
        <is>
          <t>index 2010=100</t>
        </is>
      </c>
      <c r="C193" s="77" t="inlineStr">
        <is>
          <t>MAX of arithmetic/geometric variants (D65 band — never delete)</t>
        </is>
      </c>
      <c r="D193" s="77">
        <f>IF(D190="","",MAX(D190,D191,D215))</f>
        <v/>
      </c>
      <c r="E193" s="77">
        <f>IF(E190="","",MAX(E190,E191,E215))</f>
        <v/>
      </c>
      <c r="F193" s="77">
        <f>IF(F190="","",MAX(F190,F191,F215))</f>
        <v/>
      </c>
      <c r="G193" s="77">
        <f>IF(G190="","",MAX(G190,G191,G215))</f>
        <v/>
      </c>
      <c r="H193" s="77">
        <f>IF(H190="","",MAX(H190,H191,H215))</f>
        <v/>
      </c>
      <c r="I193" s="77">
        <f>IF(I190="","",MAX(I190,I191,I215))</f>
        <v/>
      </c>
      <c r="J193" s="77">
        <f>IF(J190="","",MAX(J190,J191,J215))</f>
        <v/>
      </c>
      <c r="K193" s="77">
        <f>IF(K190="","",MAX(K190,K191,K215))</f>
        <v/>
      </c>
      <c r="L193" s="77">
        <f>IF(L190="","",MAX(L190,L191,L215))</f>
        <v/>
      </c>
      <c r="M193" s="77">
        <f>IF(M190="","",MAX(M190,M191,M215))</f>
        <v/>
      </c>
      <c r="N193" s="77">
        <f>IF(N190="","",MAX(N190,N191,N215))</f>
        <v/>
      </c>
      <c r="O193" s="77">
        <f>IF(O190="","",MAX(O190,O191,O215))</f>
        <v/>
      </c>
      <c r="P193" s="77">
        <f>IF(P190="","",MAX(P190,P191,P215))</f>
        <v/>
      </c>
      <c r="Q193" s="77">
        <f>IF(Q190="","",MAX(Q190,Q191,Q215))</f>
        <v/>
      </c>
      <c r="R193" s="77">
        <f>IF(R190="","",MAX(R190,R191,R215))</f>
        <v/>
      </c>
      <c r="S193" s="77">
        <f>IF(S190="","",MAX(S190,S191,S215))</f>
        <v/>
      </c>
    </row>
    <row r="194">
      <c r="A194" s="77" t="inlineStr">
        <is>
          <t>CN value-weighted composite (HEADLINE, D69) — common EU27-2010 value-added weights</t>
        </is>
      </c>
      <c r="B194" s="77" t="inlineStr">
        <is>
          <t>index 2010=100</t>
        </is>
      </c>
      <c r="C194" s="77" t="inlineStr">
        <is>
          <t>estimated=Y (D65); blank unless all 4 components present</t>
        </is>
      </c>
      <c r="D194" s="77">
        <f>IF(COUNT(D82,D85,D88,D91)&lt;4,"",$D$202*D82+$D$203*D88+$D$204*D85+$D$205*D91)</f>
        <v/>
      </c>
      <c r="E194" s="77">
        <f>IF(COUNT(E82,E85,E88,E91)&lt;4,"",$D$202*E82+$D$203*E88+$D$204*E85+$D$205*E91)</f>
        <v/>
      </c>
      <c r="F194" s="77">
        <f>IF(COUNT(F82,F85,F88,F91)&lt;4,"",$D$202*F82+$D$203*F88+$D$204*F85+$D$205*F91)</f>
        <v/>
      </c>
      <c r="G194" s="77">
        <f>IF(COUNT(G82,G85,G88,G91)&lt;4,"",$D$202*G82+$D$203*G88+$D$204*G85+$D$205*G91)</f>
        <v/>
      </c>
      <c r="H194" s="77">
        <f>IF(COUNT(H82,H85,H88,H91)&lt;4,"",$D$202*H82+$D$203*H88+$D$204*H85+$D$205*H91)</f>
        <v/>
      </c>
      <c r="I194" s="77">
        <f>IF(COUNT(I82,I85,I88,I91)&lt;4,"",$D$202*I82+$D$203*I88+$D$204*I85+$D$205*I91)</f>
        <v/>
      </c>
      <c r="J194" s="77">
        <f>IF(COUNT(J82,J85,J88,J91)&lt;4,"",$D$202*J82+$D$203*J88+$D$204*J85+$D$205*J91)</f>
        <v/>
      </c>
      <c r="K194" s="77">
        <f>IF(COUNT(K82,K85,K88,K91)&lt;4,"",$D$202*K82+$D$203*K88+$D$204*K85+$D$205*K91)</f>
        <v/>
      </c>
      <c r="L194" s="77">
        <f>IF(COUNT(L82,L85,L88,L91)&lt;4,"",$D$202*L82+$D$203*L88+$D$204*L85+$D$205*L91)</f>
        <v/>
      </c>
      <c r="M194" s="77">
        <f>IF(COUNT(M82,M85,M88,M91)&lt;4,"",$D$202*M82+$D$203*M88+$D$204*M85+$D$205*M91)</f>
        <v/>
      </c>
      <c r="N194" s="77">
        <f>IF(COUNT(N82,N85,N88,N91)&lt;4,"",$D$202*N82+$D$203*N88+$D$204*N85+$D$205*N91)</f>
        <v/>
      </c>
      <c r="O194" s="77">
        <f>IF(COUNT(O82,O85,O88,O91)&lt;4,"",$D$202*O82+$D$203*O88+$D$204*O85+$D$205*O91)</f>
        <v/>
      </c>
      <c r="P194" s="77">
        <f>IF(COUNT(P82,P85,P88,P91)&lt;4,"",$D$202*P82+$D$203*P88+$D$204*P85+$D$205*P91)</f>
        <v/>
      </c>
      <c r="Q194" s="77">
        <f>IF(COUNT(Q82,Q85,Q88,Q91)&lt;4,"",$D$202*Q82+$D$203*Q88+$D$204*Q85+$D$205*Q91)</f>
        <v/>
      </c>
      <c r="R194" s="77">
        <f>IF(COUNT(R82,R85,R88,R91)&lt;4,"",$D$202*R82+$D$203*R88+$D$204*R85+$D$205*R91)</f>
        <v/>
      </c>
      <c r="S194" s="77">
        <f>IF(COUNT(S82,S85,S88,S91)&lt;4,"",$D$202*S82+$D$203*S88+$D$204*S85+$D$205*S91)</f>
        <v/>
      </c>
    </row>
    <row r="195">
      <c r="A195" s="77" t="inlineStr">
        <is>
          <t>CN — variant: weighted GEOMETRIC mean (same weights)</t>
        </is>
      </c>
      <c r="B195" s="77" t="inlineStr">
        <is>
          <t>index 2010=100</t>
        </is>
      </c>
      <c r="C195" s="77" t="inlineStr">
        <is>
          <t>estimated=Y (D65)</t>
        </is>
      </c>
      <c r="D195" s="77">
        <f>IF(COUNT(D82,D85,D88,D91)&lt;4,"",EXP($D$202*LN(D82)+$D$203*LN(D88)+$D$204*LN(D85)+$D$205*LN(D91)))</f>
        <v/>
      </c>
      <c r="E195" s="77">
        <f>IF(COUNT(E82,E85,E88,E91)&lt;4,"",EXP($D$202*LN(E82)+$D$203*LN(E88)+$D$204*LN(E85)+$D$205*LN(E91)))</f>
        <v/>
      </c>
      <c r="F195" s="77">
        <f>IF(COUNT(F82,F85,F88,F91)&lt;4,"",EXP($D$202*LN(F82)+$D$203*LN(F88)+$D$204*LN(F85)+$D$205*LN(F91)))</f>
        <v/>
      </c>
      <c r="G195" s="77">
        <f>IF(COUNT(G82,G85,G88,G91)&lt;4,"",EXP($D$202*LN(G82)+$D$203*LN(G88)+$D$204*LN(G85)+$D$205*LN(G91)))</f>
        <v/>
      </c>
      <c r="H195" s="77">
        <f>IF(COUNT(H82,H85,H88,H91)&lt;4,"",EXP($D$202*LN(H82)+$D$203*LN(H88)+$D$204*LN(H85)+$D$205*LN(H91)))</f>
        <v/>
      </c>
      <c r="I195" s="77">
        <f>IF(COUNT(I82,I85,I88,I91)&lt;4,"",EXP($D$202*LN(I82)+$D$203*LN(I88)+$D$204*LN(I85)+$D$205*LN(I91)))</f>
        <v/>
      </c>
      <c r="J195" s="77">
        <f>IF(COUNT(J82,J85,J88,J91)&lt;4,"",EXP($D$202*LN(J82)+$D$203*LN(J88)+$D$204*LN(J85)+$D$205*LN(J91)))</f>
        <v/>
      </c>
      <c r="K195" s="77">
        <f>IF(COUNT(K82,K85,K88,K91)&lt;4,"",EXP($D$202*LN(K82)+$D$203*LN(K88)+$D$204*LN(K85)+$D$205*LN(K91)))</f>
        <v/>
      </c>
      <c r="L195" s="77">
        <f>IF(COUNT(L82,L85,L88,L91)&lt;4,"",EXP($D$202*LN(L82)+$D$203*LN(L88)+$D$204*LN(L85)+$D$205*LN(L91)))</f>
        <v/>
      </c>
      <c r="M195" s="77">
        <f>IF(COUNT(M82,M85,M88,M91)&lt;4,"",EXP($D$202*LN(M82)+$D$203*LN(M88)+$D$204*LN(M85)+$D$205*LN(M91)))</f>
        <v/>
      </c>
      <c r="N195" s="77">
        <f>IF(COUNT(N82,N85,N88,N91)&lt;4,"",EXP($D$202*LN(N82)+$D$203*LN(N88)+$D$204*LN(N85)+$D$205*LN(N91)))</f>
        <v/>
      </c>
      <c r="O195" s="77">
        <f>IF(COUNT(O82,O85,O88,O91)&lt;4,"",EXP($D$202*LN(O82)+$D$203*LN(O88)+$D$204*LN(O85)+$D$205*LN(O91)))</f>
        <v/>
      </c>
      <c r="P195" s="77">
        <f>IF(COUNT(P82,P85,P88,P91)&lt;4,"",EXP($D$202*LN(P82)+$D$203*LN(P88)+$D$204*LN(P85)+$D$205*LN(P91)))</f>
        <v/>
      </c>
      <c r="Q195" s="77">
        <f>IF(COUNT(Q82,Q85,Q88,Q91)&lt;4,"",EXP($D$202*LN(Q82)+$D$203*LN(Q88)+$D$204*LN(Q85)+$D$205*LN(Q91)))</f>
        <v/>
      </c>
      <c r="R195" s="77">
        <f>IF(COUNT(R82,R85,R88,R91)&lt;4,"",EXP($D$202*LN(R82)+$D$203*LN(R88)+$D$204*LN(R85)+$D$205*LN(R91)))</f>
        <v/>
      </c>
      <c r="S195" s="77">
        <f>IF(COUNT(S82,S85,S88,S91)&lt;4,"",EXP($D$202*LN(S82)+$D$203*LN(S88)+$D$204*LN(S85)+$D$205*LN(S91)))</f>
        <v/>
      </c>
    </row>
    <row r="196">
      <c r="A196" s="77" t="inlineStr">
        <is>
          <t>CN product-weighted — band LOWER</t>
        </is>
      </c>
      <c r="B196" s="77" t="inlineStr">
        <is>
          <t>index 2010=100</t>
        </is>
      </c>
      <c r="C196" s="77" t="inlineStr">
        <is>
          <t>MIN of arithmetic/geometric variants (D65 band — never delete)</t>
        </is>
      </c>
      <c r="D196" s="77">
        <f>IF(D194="","",MIN(D194,D195,D216))</f>
        <v/>
      </c>
      <c r="E196" s="77">
        <f>IF(E194="","",MIN(E194,E195,E216))</f>
        <v/>
      </c>
      <c r="F196" s="77">
        <f>IF(F194="","",MIN(F194,F195,F216))</f>
        <v/>
      </c>
      <c r="G196" s="77">
        <f>IF(G194="","",MIN(G194,G195,G216))</f>
        <v/>
      </c>
      <c r="H196" s="77">
        <f>IF(H194="","",MIN(H194,H195,H216))</f>
        <v/>
      </c>
      <c r="I196" s="77">
        <f>IF(I194="","",MIN(I194,I195,I216))</f>
        <v/>
      </c>
      <c r="J196" s="77">
        <f>IF(J194="","",MIN(J194,J195,J216))</f>
        <v/>
      </c>
      <c r="K196" s="77">
        <f>IF(K194="","",MIN(K194,K195,K216))</f>
        <v/>
      </c>
      <c r="L196" s="77">
        <f>IF(L194="","",MIN(L194,L195,L216))</f>
        <v/>
      </c>
      <c r="M196" s="77">
        <f>IF(M194="","",MIN(M194,M195,M216))</f>
        <v/>
      </c>
      <c r="N196" s="77">
        <f>IF(N194="","",MIN(N194,N195,N216))</f>
        <v/>
      </c>
      <c r="O196" s="77">
        <f>IF(O194="","",MIN(O194,O195,O216))</f>
        <v/>
      </c>
      <c r="P196" s="77">
        <f>IF(P194="","",MIN(P194,P195,P216))</f>
        <v/>
      </c>
      <c r="Q196" s="77">
        <f>IF(Q194="","",MIN(Q194,Q195,Q216))</f>
        <v/>
      </c>
      <c r="R196" s="77">
        <f>IF(R194="","",MIN(R194,R195,R216))</f>
        <v/>
      </c>
      <c r="S196" s="77">
        <f>IF(S194="","",MIN(S194,S195,S216))</f>
        <v/>
      </c>
    </row>
    <row r="197">
      <c r="A197" s="77" t="inlineStr">
        <is>
          <t>CN product-weighted — band UPPER</t>
        </is>
      </c>
      <c r="B197" s="77" t="inlineStr">
        <is>
          <t>index 2010=100</t>
        </is>
      </c>
      <c r="C197" s="77" t="inlineStr">
        <is>
          <t>MAX of arithmetic/geometric variants (D65 band — never delete)</t>
        </is>
      </c>
      <c r="D197" s="77">
        <f>IF(D194="","",MAX(D194,D195,D216))</f>
        <v/>
      </c>
      <c r="E197" s="77">
        <f>IF(E194="","",MAX(E194,E195,E216))</f>
        <v/>
      </c>
      <c r="F197" s="77">
        <f>IF(F194="","",MAX(F194,F195,F216))</f>
        <v/>
      </c>
      <c r="G197" s="77">
        <f>IF(G194="","",MAX(G194,G195,G216))</f>
        <v/>
      </c>
      <c r="H197" s="77">
        <f>IF(H194="","",MAX(H194,H195,H216))</f>
        <v/>
      </c>
      <c r="I197" s="77">
        <f>IF(I194="","",MAX(I194,I195,I216))</f>
        <v/>
      </c>
      <c r="J197" s="77">
        <f>IF(J194="","",MAX(J194,J195,J216))</f>
        <v/>
      </c>
      <c r="K197" s="77">
        <f>IF(K194="","",MAX(K194,K195,K216))</f>
        <v/>
      </c>
      <c r="L197" s="77">
        <f>IF(L194="","",MAX(L194,L195,L216))</f>
        <v/>
      </c>
      <c r="M197" s="77">
        <f>IF(M194="","",MAX(M194,M195,M216))</f>
        <v/>
      </c>
      <c r="N197" s="77">
        <f>IF(N194="","",MAX(N194,N195,N216))</f>
        <v/>
      </c>
      <c r="O197" s="77">
        <f>IF(O194="","",MAX(O194,O195,O216))</f>
        <v/>
      </c>
      <c r="P197" s="77">
        <f>IF(P194="","",MAX(P194,P195,P216))</f>
        <v/>
      </c>
      <c r="Q197" s="77">
        <f>IF(Q194="","",MAX(Q194,Q195,Q216))</f>
        <v/>
      </c>
      <c r="R197" s="77">
        <f>IF(R194="","",MAX(R194,R195,R216))</f>
        <v/>
      </c>
      <c r="S197" s="77">
        <f>IF(S194="","",MAX(S194,S195,S216))</f>
        <v/>
      </c>
    </row>
    <row r="199">
      <c r="A199" s="77" t="inlineStr">
        <is>
          <t>N17 Value-weighted composite (D69, 2026-07-24; supersedes the D65 equal-weight headline). Weights are COMMON across countries by design — country-specific value weights would be the strict economics norm but would stop the three indices measuring the same basket. Weighting VOLUME indices by value-added shares is the official IoP/Produktionsindex construction; the composite is NOT measured in value, which would import commodity price cycles and, worse, would let an energy-cost margin squeeze show up as falling output — the very mechanism under test. ROBUSTNESS: the headline story is unchanged across all three weightings. 2024 UK 56.4 equal / 54.1 value / 58.1 scope-adj; DE 78.6 / 80.9 / 83.7; CN 173.7 / 168.3 / 156.8. The largest presentational change is the UK mid-decade path: equal weights gave 25% of the index to primary aluminium, where Britain has essentially one smelter, so the 2012 smelter closures cut the equal-weighted index to 82.9 in 2012 against 89.7 value-weighted and 95.6 scope-adjusted. Value weighting removes that overstatement.</t>
        </is>
      </c>
    </row>
    <row r="201">
      <c r="A201" s="77" t="inlineStr">
        <is>
          <t>WEIGHT INPUTS (D69) — Eurostat SBS, EU27, value added at factor cost, base year 2010, shares of the four-class total. NOTE geo=EU27_2007 for 2010 (the only EU27 vintage carrying 2010; includes the UK, excludes Croatia) — so the base-year weights are not fully independent of one of the units being weighted; the UK is ~6% of EU steel output, effect small, disclosed. 2010 chosen because it matches the index base AND sits within 1.7pp of the pooled 2008-2023 mean on every component, despite the annual shares themselves being volatile (steel 36.6-55.9%). S192.</t>
        </is>
      </c>
      <c r="B201" s="77" t="n"/>
      <c r="C201" s="77" t="n"/>
      <c r="D201" s="77" t="n"/>
      <c r="E201" s="77" t="n"/>
      <c r="F201" s="77" t="n"/>
      <c r="G201" s="77" t="n"/>
      <c r="H201" s="77" t="n"/>
      <c r="I201" s="77" t="n"/>
      <c r="J201" s="77" t="n"/>
      <c r="K201" s="77" t="n"/>
      <c r="L201" s="77" t="n"/>
      <c r="M201" s="77" t="n"/>
      <c r="N201" s="77" t="n"/>
      <c r="O201" s="77" t="n"/>
      <c r="P201" s="77" t="n"/>
      <c r="Q201" s="77" t="n"/>
      <c r="R201" s="77" t="n"/>
      <c r="S201" s="77" t="n"/>
    </row>
    <row r="202">
      <c r="A202" s="77" t="inlineStr">
        <is>
          <t>w — crude steel (NACE 24.10)</t>
        </is>
      </c>
      <c r="B202" s="77" t="inlineStr">
        <is>
          <t>share</t>
        </is>
      </c>
      <c r="C202" s="77" t="inlineStr">
        <is>
          <t>input (D69)</t>
        </is>
      </c>
      <c r="D202" s="77" t="n">
        <v>0.442</v>
      </c>
      <c r="E202" s="77" t="n"/>
      <c r="F202" s="77" t="n"/>
      <c r="G202" s="77" t="n"/>
      <c r="H202" s="77" t="n"/>
      <c r="I202" s="77" t="n"/>
      <c r="J202" s="77" t="n"/>
      <c r="K202" s="77" t="n"/>
      <c r="L202" s="77" t="n"/>
      <c r="M202" s="77" t="n"/>
      <c r="N202" s="77" t="n"/>
      <c r="O202" s="77" t="n"/>
      <c r="P202" s="77" t="n"/>
      <c r="Q202" s="77" t="n"/>
      <c r="R202" s="77" t="n"/>
      <c r="S202" s="77" t="n"/>
    </row>
    <row r="203">
      <c r="A203" s="77" t="inlineStr">
        <is>
          <t>w — primary aluminium (NACE 24.42)</t>
        </is>
      </c>
      <c r="B203" s="77" t="inlineStr">
        <is>
          <t>share</t>
        </is>
      </c>
      <c r="C203" s="77" t="inlineStr">
        <is>
          <t>input (D69)</t>
        </is>
      </c>
      <c r="D203" s="77" t="n">
        <v>0.145</v>
      </c>
      <c r="E203" s="77" t="n"/>
      <c r="F203" s="77" t="n"/>
      <c r="G203" s="77" t="n"/>
      <c r="H203" s="77" t="n"/>
      <c r="I203" s="77" t="n"/>
      <c r="J203" s="77" t="n"/>
      <c r="K203" s="77" t="n"/>
      <c r="L203" s="77" t="n"/>
      <c r="M203" s="77" t="n"/>
      <c r="N203" s="77" t="n"/>
      <c r="O203" s="77" t="n"/>
      <c r="P203" s="77" t="n"/>
      <c r="Q203" s="77" t="n"/>
      <c r="R203" s="77" t="n"/>
      <c r="S203" s="77" t="n"/>
    </row>
    <row r="204">
      <c r="A204" s="77" t="inlineStr">
        <is>
          <t>w — cement (NACE 23.51)</t>
        </is>
      </c>
      <c r="B204" s="77" t="inlineStr">
        <is>
          <t>share</t>
        </is>
      </c>
      <c r="C204" s="77" t="inlineStr">
        <is>
          <t>input (D69)</t>
        </is>
      </c>
      <c r="D204" s="77" t="n">
        <v>0.131</v>
      </c>
      <c r="E204" s="77" t="n"/>
      <c r="F204" s="77" t="n"/>
      <c r="G204" s="77" t="n"/>
      <c r="H204" s="77" t="n"/>
      <c r="I204" s="77" t="n"/>
      <c r="J204" s="77" t="n"/>
      <c r="K204" s="77" t="n"/>
      <c r="L204" s="77" t="n"/>
      <c r="M204" s="77" t="n"/>
      <c r="N204" s="77" t="n"/>
      <c r="O204" s="77" t="n"/>
      <c r="P204" s="77" t="n"/>
      <c r="Q204" s="77" t="n"/>
      <c r="R204" s="77" t="n"/>
      <c r="S204" s="77" t="n"/>
    </row>
    <row r="205">
      <c r="A205" s="77" t="inlineStr">
        <is>
          <t>w — paper &amp; paperboard (NACE 17.12)</t>
        </is>
      </c>
      <c r="B205" s="77" t="inlineStr">
        <is>
          <t>share</t>
        </is>
      </c>
      <c r="C205" s="77" t="inlineStr">
        <is>
          <t>input (D69)</t>
        </is>
      </c>
      <c r="D205" s="77" t="n">
        <v>0.282</v>
      </c>
      <c r="E205" s="77" t="n"/>
      <c r="F205" s="77" t="n"/>
      <c r="G205" s="77" t="n"/>
      <c r="H205" s="77" t="n"/>
      <c r="I205" s="77" t="n"/>
      <c r="J205" s="77" t="n"/>
      <c r="K205" s="77" t="n"/>
      <c r="L205" s="77" t="n"/>
      <c r="M205" s="77" t="n"/>
      <c r="N205" s="77" t="n"/>
      <c r="O205" s="77" t="n"/>
      <c r="P205" s="77" t="n"/>
      <c r="Q205" s="77" t="n"/>
      <c r="R205" s="77" t="n"/>
      <c r="S205" s="77" t="n"/>
    </row>
    <row r="206">
      <c r="A206" s="77" t="inlineStr">
        <is>
          <t>CHECK — weights sum to 1</t>
        </is>
      </c>
      <c r="B206" s="77" t="n"/>
      <c r="C206" s="77" t="n"/>
      <c r="D206" s="77">
        <f>SUM(D202:D205)</f>
        <v/>
      </c>
      <c r="E206" s="77" t="n"/>
      <c r="F206" s="77" t="n"/>
      <c r="G206" s="77" t="n"/>
      <c r="H206" s="77" t="n"/>
      <c r="I206" s="77" t="n"/>
      <c r="J206" s="77" t="n"/>
      <c r="K206" s="77" t="n"/>
      <c r="L206" s="77" t="n"/>
      <c r="M206" s="77" t="n"/>
      <c r="N206" s="77" t="n"/>
      <c r="O206" s="77" t="n"/>
      <c r="P206" s="77" t="n"/>
      <c r="Q206" s="77" t="n"/>
      <c r="R206" s="77" t="n"/>
      <c r="S206" s="77" t="n"/>
    </row>
    <row r="207">
      <c r="A207" s="77" t="inlineStr">
        <is>
          <t>SCOPE-ADJUSTED VARIANT WEIGHTS — the tonnage series is PRIMARY aluminium, but NACE 24.42 value added also covers secondary/remelt, alloys, semis and foil. EU primary is ~2.0 Mt against ~5.6 Mt of scrap consumed (JRC136525), so primary plausibly accounts for only ~35% of 24.42 value added. This variant scales the aluminium weight by f=0.35 and renormalises. f is an INFERENCE, not a published statistic — hence a variant, not the headline. S193.</t>
        </is>
      </c>
      <c r="B207" s="77" t="n"/>
      <c r="C207" s="77" t="n"/>
      <c r="D207" s="77" t="n"/>
      <c r="E207" s="77" t="n"/>
      <c r="F207" s="77" t="n"/>
      <c r="G207" s="77" t="n"/>
      <c r="H207" s="77" t="n"/>
      <c r="I207" s="77" t="n"/>
      <c r="J207" s="77" t="n"/>
      <c r="K207" s="77" t="n"/>
      <c r="L207" s="77" t="n"/>
      <c r="M207" s="77" t="n"/>
      <c r="N207" s="77" t="n"/>
      <c r="O207" s="77" t="n"/>
      <c r="P207" s="77" t="n"/>
      <c r="Q207" s="77" t="n"/>
      <c r="R207" s="77" t="n"/>
      <c r="S207" s="77" t="n"/>
    </row>
    <row r="208">
      <c r="A208" s="77" t="inlineStr">
        <is>
          <t>w adj — crude steel</t>
        </is>
      </c>
      <c r="B208" s="77" t="inlineStr">
        <is>
          <t>share</t>
        </is>
      </c>
      <c r="C208" s="77" t="inlineStr">
        <is>
          <t>variant input</t>
        </is>
      </c>
      <c r="D208" s="77" t="n">
        <v>0.488</v>
      </c>
      <c r="E208" s="77" t="n"/>
      <c r="F208" s="77" t="n"/>
      <c r="G208" s="77" t="n"/>
      <c r="H208" s="77" t="n"/>
      <c r="I208" s="77" t="n"/>
      <c r="J208" s="77" t="n"/>
      <c r="K208" s="77" t="n"/>
      <c r="L208" s="77" t="n"/>
      <c r="M208" s="77" t="n"/>
      <c r="N208" s="77" t="n"/>
      <c r="O208" s="77" t="n"/>
      <c r="P208" s="77" t="n"/>
      <c r="Q208" s="77" t="n"/>
      <c r="R208" s="77" t="n"/>
      <c r="S208" s="77" t="n"/>
    </row>
    <row r="209">
      <c r="A209" s="77" t="inlineStr">
        <is>
          <t>w adj — primary aluminium (f=0.35)</t>
        </is>
      </c>
      <c r="B209" s="77" t="inlineStr">
        <is>
          <t>share</t>
        </is>
      </c>
      <c r="C209" s="77" t="inlineStr">
        <is>
          <t>variant input</t>
        </is>
      </c>
      <c r="D209" s="77" t="n">
        <v>0.056</v>
      </c>
      <c r="E209" s="77" t="n"/>
      <c r="F209" s="77" t="n"/>
      <c r="G209" s="77" t="n"/>
      <c r="H209" s="77" t="n"/>
      <c r="I209" s="77" t="n"/>
      <c r="J209" s="77" t="n"/>
      <c r="K209" s="77" t="n"/>
      <c r="L209" s="77" t="n"/>
      <c r="M209" s="77" t="n"/>
      <c r="N209" s="77" t="n"/>
      <c r="O209" s="77" t="n"/>
      <c r="P209" s="77" t="n"/>
      <c r="Q209" s="77" t="n"/>
      <c r="R209" s="77" t="n"/>
      <c r="S209" s="77" t="n"/>
    </row>
    <row r="210">
      <c r="A210" s="77" t="inlineStr">
        <is>
          <t>w adj — cement</t>
        </is>
      </c>
      <c r="B210" s="77" t="inlineStr">
        <is>
          <t>share</t>
        </is>
      </c>
      <c r="C210" s="77" t="inlineStr">
        <is>
          <t>variant input</t>
        </is>
      </c>
      <c r="D210" s="77" t="n">
        <v>0.144</v>
      </c>
      <c r="E210" s="77" t="n"/>
      <c r="F210" s="77" t="n"/>
      <c r="G210" s="77" t="n"/>
      <c r="H210" s="77" t="n"/>
      <c r="I210" s="77" t="n"/>
      <c r="J210" s="77" t="n"/>
      <c r="K210" s="77" t="n"/>
      <c r="L210" s="77" t="n"/>
      <c r="M210" s="77" t="n"/>
      <c r="N210" s="77" t="n"/>
      <c r="O210" s="77" t="n"/>
      <c r="P210" s="77" t="n"/>
      <c r="Q210" s="77" t="n"/>
      <c r="R210" s="77" t="n"/>
      <c r="S210" s="77" t="n"/>
    </row>
    <row r="211">
      <c r="A211" s="77" t="inlineStr">
        <is>
          <t>w adj — paper &amp; paperboard</t>
        </is>
      </c>
      <c r="B211" s="77" t="inlineStr">
        <is>
          <t>share</t>
        </is>
      </c>
      <c r="C211" s="77" t="inlineStr">
        <is>
          <t>variant input</t>
        </is>
      </c>
      <c r="D211" s="77" t="n">
        <v>0.312</v>
      </c>
      <c r="E211" s="77" t="n"/>
      <c r="F211" s="77" t="n"/>
      <c r="G211" s="77" t="n"/>
      <c r="H211" s="77" t="n"/>
      <c r="I211" s="77" t="n"/>
      <c r="J211" s="77" t="n"/>
      <c r="K211" s="77" t="n"/>
      <c r="L211" s="77" t="n"/>
      <c r="M211" s="77" t="n"/>
      <c r="N211" s="77" t="n"/>
      <c r="O211" s="77" t="n"/>
      <c r="P211" s="77" t="n"/>
      <c r="Q211" s="77" t="n"/>
      <c r="R211" s="77" t="n"/>
      <c r="S211" s="77" t="n"/>
    </row>
    <row r="212">
      <c r="A212" s="77" t="inlineStr">
        <is>
          <t>CHECK — adjusted weights sum to 1</t>
        </is>
      </c>
      <c r="B212" s="77" t="n"/>
      <c r="C212" s="77" t="n"/>
      <c r="D212" s="77">
        <f>SUM(D208:D211)</f>
        <v/>
      </c>
      <c r="E212" s="77" t="n"/>
      <c r="F212" s="77" t="n"/>
      <c r="G212" s="77" t="n"/>
      <c r="H212" s="77" t="n"/>
      <c r="I212" s="77" t="n"/>
      <c r="J212" s="77" t="n"/>
      <c r="K212" s="77" t="n"/>
      <c r="L212" s="77" t="n"/>
      <c r="M212" s="77" t="n"/>
      <c r="N212" s="77" t="n"/>
      <c r="O212" s="77" t="n"/>
      <c r="P212" s="77" t="n"/>
      <c r="Q212" s="77" t="n"/>
      <c r="R212" s="77" t="n"/>
      <c r="S212" s="77" t="n"/>
    </row>
    <row r="214">
      <c r="A214" s="77" t="inlineStr">
        <is>
          <t>UK — variant: scope-adjusted weights (aluminium f=0.35)</t>
        </is>
      </c>
      <c r="B214" s="77" t="n"/>
      <c r="C214" s="77" t="n"/>
      <c r="D214" s="77">
        <f>IF(COUNT(D80,D83,D86,D89)&lt;4,"",$D$208*D80+$D$209*D86+$D$210*D83+$D$211*D89)</f>
        <v/>
      </c>
      <c r="E214" s="77">
        <f>IF(COUNT(E80,E83,E86,E89)&lt;4,"",$D$208*E80+$D$209*E86+$D$210*E83+$D$211*E89)</f>
        <v/>
      </c>
      <c r="F214" s="77">
        <f>IF(COUNT(F80,F83,F86,F89)&lt;4,"",$D$208*F80+$D$209*F86+$D$210*F83+$D$211*F89)</f>
        <v/>
      </c>
      <c r="G214" s="77">
        <f>IF(COUNT(G80,G83,G86,G89)&lt;4,"",$D$208*G80+$D$209*G86+$D$210*G83+$D$211*G89)</f>
        <v/>
      </c>
      <c r="H214" s="77">
        <f>IF(COUNT(H80,H83,H86,H89)&lt;4,"",$D$208*H80+$D$209*H86+$D$210*H83+$D$211*H89)</f>
        <v/>
      </c>
      <c r="I214" s="77">
        <f>IF(COUNT(I80,I83,I86,I89)&lt;4,"",$D$208*I80+$D$209*I86+$D$210*I83+$D$211*I89)</f>
        <v/>
      </c>
      <c r="J214" s="77">
        <f>IF(COUNT(J80,J83,J86,J89)&lt;4,"",$D$208*J80+$D$209*J86+$D$210*J83+$D$211*J89)</f>
        <v/>
      </c>
      <c r="K214" s="77">
        <f>IF(COUNT(K80,K83,K86,K89)&lt;4,"",$D$208*K80+$D$209*K86+$D$210*K83+$D$211*K89)</f>
        <v/>
      </c>
      <c r="L214" s="77">
        <f>IF(COUNT(L80,L83,L86,L89)&lt;4,"",$D$208*L80+$D$209*L86+$D$210*L83+$D$211*L89)</f>
        <v/>
      </c>
      <c r="M214" s="77">
        <f>IF(COUNT(M80,M83,M86,M89)&lt;4,"",$D$208*M80+$D$209*M86+$D$210*M83+$D$211*M89)</f>
        <v/>
      </c>
      <c r="N214" s="77">
        <f>IF(COUNT(N80,N83,N86,N89)&lt;4,"",$D$208*N80+$D$209*N86+$D$210*N83+$D$211*N89)</f>
        <v/>
      </c>
      <c r="O214" s="77">
        <f>IF(COUNT(O80,O83,O86,O89)&lt;4,"",$D$208*O80+$D$209*O86+$D$210*O83+$D$211*O89)</f>
        <v/>
      </c>
      <c r="P214" s="77">
        <f>IF(COUNT(P80,P83,P86,P89)&lt;4,"",$D$208*P80+$D$209*P86+$D$210*P83+$D$211*P89)</f>
        <v/>
      </c>
      <c r="Q214" s="77">
        <f>IF(COUNT(Q80,Q83,Q86,Q89)&lt;4,"",$D$208*Q80+$D$209*Q86+$D$210*Q83+$D$211*Q89)</f>
        <v/>
      </c>
      <c r="R214" s="77">
        <f>IF(COUNT(R80,R83,R86,R89)&lt;4,"",$D$208*R80+$D$209*R86+$D$210*R83+$D$211*R89)</f>
        <v/>
      </c>
      <c r="S214" s="77">
        <f>IF(COUNT(S80,S83,S86,S89)&lt;4,"",$D$208*S80+$D$209*S86+$D$210*S83+$D$211*S89)</f>
        <v/>
      </c>
    </row>
    <row r="215">
      <c r="A215" s="77" t="inlineStr">
        <is>
          <t>DE — variant: scope-adjusted weights (aluminium f=0.35)</t>
        </is>
      </c>
      <c r="B215" s="77" t="n"/>
      <c r="C215" s="77" t="n"/>
      <c r="D215" s="77">
        <f>IF(COUNT(D81,D84,D87,D90)&lt;4,"",$D$208*D81+$D$209*D87+$D$210*D84+$D$211*D90)</f>
        <v/>
      </c>
      <c r="E215" s="77">
        <f>IF(COUNT(E81,E84,E87,E90)&lt;4,"",$D$208*E81+$D$209*E87+$D$210*E84+$D$211*E90)</f>
        <v/>
      </c>
      <c r="F215" s="77">
        <f>IF(COUNT(F81,F84,F87,F90)&lt;4,"",$D$208*F81+$D$209*F87+$D$210*F84+$D$211*F90)</f>
        <v/>
      </c>
      <c r="G215" s="77">
        <f>IF(COUNT(G81,G84,G87,G90)&lt;4,"",$D$208*G81+$D$209*G87+$D$210*G84+$D$211*G90)</f>
        <v/>
      </c>
      <c r="H215" s="77">
        <f>IF(COUNT(H81,H84,H87,H90)&lt;4,"",$D$208*H81+$D$209*H87+$D$210*H84+$D$211*H90)</f>
        <v/>
      </c>
      <c r="I215" s="77">
        <f>IF(COUNT(I81,I84,I87,I90)&lt;4,"",$D$208*I81+$D$209*I87+$D$210*I84+$D$211*I90)</f>
        <v/>
      </c>
      <c r="J215" s="77">
        <f>IF(COUNT(J81,J84,J87,J90)&lt;4,"",$D$208*J81+$D$209*J87+$D$210*J84+$D$211*J90)</f>
        <v/>
      </c>
      <c r="K215" s="77">
        <f>IF(COUNT(K81,K84,K87,K90)&lt;4,"",$D$208*K81+$D$209*K87+$D$210*K84+$D$211*K90)</f>
        <v/>
      </c>
      <c r="L215" s="77">
        <f>IF(COUNT(L81,L84,L87,L90)&lt;4,"",$D$208*L81+$D$209*L87+$D$210*L84+$D$211*L90)</f>
        <v/>
      </c>
      <c r="M215" s="77">
        <f>IF(COUNT(M81,M84,M87,M90)&lt;4,"",$D$208*M81+$D$209*M87+$D$210*M84+$D$211*M90)</f>
        <v/>
      </c>
      <c r="N215" s="77">
        <f>IF(COUNT(N81,N84,N87,N90)&lt;4,"",$D$208*N81+$D$209*N87+$D$210*N84+$D$211*N90)</f>
        <v/>
      </c>
      <c r="O215" s="77">
        <f>IF(COUNT(O81,O84,O87,O90)&lt;4,"",$D$208*O81+$D$209*O87+$D$210*O84+$D$211*O90)</f>
        <v/>
      </c>
      <c r="P215" s="77">
        <f>IF(COUNT(P81,P84,P87,P90)&lt;4,"",$D$208*P81+$D$209*P87+$D$210*P84+$D$211*P90)</f>
        <v/>
      </c>
      <c r="Q215" s="77">
        <f>IF(COUNT(Q81,Q84,Q87,Q90)&lt;4,"",$D$208*Q81+$D$209*Q87+$D$210*Q84+$D$211*Q90)</f>
        <v/>
      </c>
      <c r="R215" s="77">
        <f>IF(COUNT(R81,R84,R87,R90)&lt;4,"",$D$208*R81+$D$209*R87+$D$210*R84+$D$211*R90)</f>
        <v/>
      </c>
      <c r="S215" s="77">
        <f>IF(COUNT(S81,S84,S87,S90)&lt;4,"",$D$208*S81+$D$209*S87+$D$210*S84+$D$211*S90)</f>
        <v/>
      </c>
    </row>
    <row r="216">
      <c r="A216" s="77" t="inlineStr">
        <is>
          <t>CN — variant: scope-adjusted weights (aluminium f=0.35)</t>
        </is>
      </c>
      <c r="B216" s="77" t="n"/>
      <c r="C216" s="77" t="n"/>
      <c r="D216" s="77">
        <f>IF(COUNT(D82,D85,D88,D91)&lt;4,"",$D$208*D82+$D$209*D88+$D$210*D85+$D$211*D91)</f>
        <v/>
      </c>
      <c r="E216" s="77">
        <f>IF(COUNT(E82,E85,E88,E91)&lt;4,"",$D$208*E82+$D$209*E88+$D$210*E85+$D$211*E91)</f>
        <v/>
      </c>
      <c r="F216" s="77">
        <f>IF(COUNT(F82,F85,F88,F91)&lt;4,"",$D$208*F82+$D$209*F88+$D$210*F85+$D$211*F91)</f>
        <v/>
      </c>
      <c r="G216" s="77">
        <f>IF(COUNT(G82,G85,G88,G91)&lt;4,"",$D$208*G82+$D$209*G88+$D$210*G85+$D$211*G91)</f>
        <v/>
      </c>
      <c r="H216" s="77">
        <f>IF(COUNT(H82,H85,H88,H91)&lt;4,"",$D$208*H82+$D$209*H88+$D$210*H85+$D$211*H91)</f>
        <v/>
      </c>
      <c r="I216" s="77">
        <f>IF(COUNT(I82,I85,I88,I91)&lt;4,"",$D$208*I82+$D$209*I88+$D$210*I85+$D$211*I91)</f>
        <v/>
      </c>
      <c r="J216" s="77">
        <f>IF(COUNT(J82,J85,J88,J91)&lt;4,"",$D$208*J82+$D$209*J88+$D$210*J85+$D$211*J91)</f>
        <v/>
      </c>
      <c r="K216" s="77">
        <f>IF(COUNT(K82,K85,K88,K91)&lt;4,"",$D$208*K82+$D$209*K88+$D$210*K85+$D$211*K91)</f>
        <v/>
      </c>
      <c r="L216" s="77">
        <f>IF(COUNT(L82,L85,L88,L91)&lt;4,"",$D$208*L82+$D$209*L88+$D$210*L85+$D$211*L91)</f>
        <v/>
      </c>
      <c r="M216" s="77">
        <f>IF(COUNT(M82,M85,M88,M91)&lt;4,"",$D$208*M82+$D$209*M88+$D$210*M85+$D$211*M91)</f>
        <v/>
      </c>
      <c r="N216" s="77">
        <f>IF(COUNT(N82,N85,N88,N91)&lt;4,"",$D$208*N82+$D$209*N88+$D$210*N85+$D$211*N91)</f>
        <v/>
      </c>
      <c r="O216" s="77">
        <f>IF(COUNT(O82,O85,O88,O91)&lt;4,"",$D$208*O82+$D$209*O88+$D$210*O85+$D$211*O91)</f>
        <v/>
      </c>
      <c r="P216" s="77">
        <f>IF(COUNT(P82,P85,P88,P91)&lt;4,"",$D$208*P82+$D$209*P88+$D$210*P85+$D$211*P91)</f>
        <v/>
      </c>
      <c r="Q216" s="77">
        <f>IF(COUNT(Q82,Q85,Q88,Q91)&lt;4,"",$D$208*Q82+$D$209*Q88+$D$210*Q85+$D$211*Q91)</f>
        <v/>
      </c>
      <c r="R216" s="77">
        <f>IF(COUNT(R82,R85,R88,R91)&lt;4,"",$D$208*R82+$D$209*R88+$D$210*R85+$D$211*R91)</f>
        <v/>
      </c>
      <c r="S216" s="77">
        <f>IF(COUNT(S82,S85,S88,S91)&lt;4,"",$D$208*S82+$D$209*S88+$D$210*S85+$D$211*S91)</f>
        <v/>
      </c>
    </row>
    <row r="218">
      <c r="A218" s="77" t="inlineStr">
        <is>
          <t>UK — ARCHIVE: equal-weight arithmetic mean (former D65 headline, retained for comparison)</t>
        </is>
      </c>
      <c r="B218" s="77" t="n"/>
      <c r="C218" s="77" t="n"/>
      <c r="D218" s="77">
        <f>IF(COUNT(D80,D83,D86,D89)&lt;4,"",AVERAGE(D80,D83,D86,D89))</f>
        <v/>
      </c>
      <c r="E218" s="77">
        <f>IF(COUNT(E80,E83,E86,E89)&lt;4,"",AVERAGE(E80,E83,E86,E89))</f>
        <v/>
      </c>
      <c r="F218" s="77">
        <f>IF(COUNT(F80,F83,F86,F89)&lt;4,"",AVERAGE(F80,F83,F86,F89))</f>
        <v/>
      </c>
      <c r="G218" s="77">
        <f>IF(COUNT(G80,G83,G86,G89)&lt;4,"",AVERAGE(G80,G83,G86,G89))</f>
        <v/>
      </c>
      <c r="H218" s="77">
        <f>IF(COUNT(H80,H83,H86,H89)&lt;4,"",AVERAGE(H80,H83,H86,H89))</f>
        <v/>
      </c>
      <c r="I218" s="77">
        <f>IF(COUNT(I80,I83,I86,I89)&lt;4,"",AVERAGE(I80,I83,I86,I89))</f>
        <v/>
      </c>
      <c r="J218" s="77">
        <f>IF(COUNT(J80,J83,J86,J89)&lt;4,"",AVERAGE(J80,J83,J86,J89))</f>
        <v/>
      </c>
      <c r="K218" s="77">
        <f>IF(COUNT(K80,K83,K86,K89)&lt;4,"",AVERAGE(K80,K83,K86,K89))</f>
        <v/>
      </c>
      <c r="L218" s="77">
        <f>IF(COUNT(L80,L83,L86,L89)&lt;4,"",AVERAGE(L80,L83,L86,L89))</f>
        <v/>
      </c>
      <c r="M218" s="77">
        <f>IF(COUNT(M80,M83,M86,M89)&lt;4,"",AVERAGE(M80,M83,M86,M89))</f>
        <v/>
      </c>
      <c r="N218" s="77">
        <f>IF(COUNT(N80,N83,N86,N89)&lt;4,"",AVERAGE(N80,N83,N86,N89))</f>
        <v/>
      </c>
      <c r="O218" s="77">
        <f>IF(COUNT(O80,O83,O86,O89)&lt;4,"",AVERAGE(O80,O83,O86,O89))</f>
        <v/>
      </c>
      <c r="P218" s="77">
        <f>IF(COUNT(P80,P83,P86,P89)&lt;4,"",AVERAGE(P80,P83,P86,P89))</f>
        <v/>
      </c>
      <c r="Q218" s="77">
        <f>IF(COUNT(Q80,Q83,Q86,Q89)&lt;4,"",AVERAGE(Q80,Q83,Q86,Q89))</f>
        <v/>
      </c>
      <c r="R218" s="77">
        <f>IF(COUNT(R80,R83,R86,R89)&lt;4,"",AVERAGE(R80,R83,R86,R89))</f>
        <v/>
      </c>
      <c r="S218" s="77">
        <f>IF(COUNT(S80,S83,S86,S89)&lt;4,"",AVERAGE(S80,S83,S86,S89))</f>
        <v/>
      </c>
    </row>
    <row r="219">
      <c r="A219" s="77" t="inlineStr">
        <is>
          <t>DE — ARCHIVE: equal-weight arithmetic mean (former D65 headline, retained for comparison)</t>
        </is>
      </c>
      <c r="B219" s="77" t="n"/>
      <c r="C219" s="77" t="n"/>
      <c r="D219" s="77">
        <f>IF(COUNT(D81,D84,D87,D90)&lt;4,"",AVERAGE(D81,D84,D87,D90))</f>
        <v/>
      </c>
      <c r="E219" s="77">
        <f>IF(COUNT(E81,E84,E87,E90)&lt;4,"",AVERAGE(E81,E84,E87,E90))</f>
        <v/>
      </c>
      <c r="F219" s="77">
        <f>IF(COUNT(F81,F84,F87,F90)&lt;4,"",AVERAGE(F81,F84,F87,F90))</f>
        <v/>
      </c>
      <c r="G219" s="77">
        <f>IF(COUNT(G81,G84,G87,G90)&lt;4,"",AVERAGE(G81,G84,G87,G90))</f>
        <v/>
      </c>
      <c r="H219" s="77">
        <f>IF(COUNT(H81,H84,H87,H90)&lt;4,"",AVERAGE(H81,H84,H87,H90))</f>
        <v/>
      </c>
      <c r="I219" s="77">
        <f>IF(COUNT(I81,I84,I87,I90)&lt;4,"",AVERAGE(I81,I84,I87,I90))</f>
        <v/>
      </c>
      <c r="J219" s="77">
        <f>IF(COUNT(J81,J84,J87,J90)&lt;4,"",AVERAGE(J81,J84,J87,J90))</f>
        <v/>
      </c>
      <c r="K219" s="77">
        <f>IF(COUNT(K81,K84,K87,K90)&lt;4,"",AVERAGE(K81,K84,K87,K90))</f>
        <v/>
      </c>
      <c r="L219" s="77">
        <f>IF(COUNT(L81,L84,L87,L90)&lt;4,"",AVERAGE(L81,L84,L87,L90))</f>
        <v/>
      </c>
      <c r="M219" s="77">
        <f>IF(COUNT(M81,M84,M87,M90)&lt;4,"",AVERAGE(M81,M84,M87,M90))</f>
        <v/>
      </c>
      <c r="N219" s="77">
        <f>IF(COUNT(N81,N84,N87,N90)&lt;4,"",AVERAGE(N81,N84,N87,N90))</f>
        <v/>
      </c>
      <c r="O219" s="77">
        <f>IF(COUNT(O81,O84,O87,O90)&lt;4,"",AVERAGE(O81,O84,O87,O90))</f>
        <v/>
      </c>
      <c r="P219" s="77">
        <f>IF(COUNT(P81,P84,P87,P90)&lt;4,"",AVERAGE(P81,P84,P87,P90))</f>
        <v/>
      </c>
      <c r="Q219" s="77">
        <f>IF(COUNT(Q81,Q84,Q87,Q90)&lt;4,"",AVERAGE(Q81,Q84,Q87,Q90))</f>
        <v/>
      </c>
      <c r="R219" s="77">
        <f>IF(COUNT(R81,R84,R87,R90)&lt;4,"",AVERAGE(R81,R84,R87,R90))</f>
        <v/>
      </c>
      <c r="S219" s="77">
        <f>IF(COUNT(S81,S84,S87,S90)&lt;4,"",AVERAGE(S81,S84,S87,S90))</f>
        <v/>
      </c>
    </row>
    <row r="220">
      <c r="A220" s="77" t="inlineStr">
        <is>
          <t>CN — ARCHIVE: equal-weight arithmetic mean (former D65 headline, retained for comparison)</t>
        </is>
      </c>
      <c r="B220" s="77" t="n"/>
      <c r="C220" s="77" t="n"/>
      <c r="D220" s="77">
        <f>IF(COUNT(D82,D85,D88,D91)&lt;4,"",AVERAGE(D82,D85,D88,D91))</f>
        <v/>
      </c>
      <c r="E220" s="77">
        <f>IF(COUNT(E82,E85,E88,E91)&lt;4,"",AVERAGE(E82,E85,E88,E91))</f>
        <v/>
      </c>
      <c r="F220" s="77">
        <f>IF(COUNT(F82,F85,F88,F91)&lt;4,"",AVERAGE(F82,F85,F88,F91))</f>
        <v/>
      </c>
      <c r="G220" s="77">
        <f>IF(COUNT(G82,G85,G88,G91)&lt;4,"",AVERAGE(G82,G85,G88,G91))</f>
        <v/>
      </c>
      <c r="H220" s="77">
        <f>IF(COUNT(H82,H85,H88,H91)&lt;4,"",AVERAGE(H82,H85,H88,H91))</f>
        <v/>
      </c>
      <c r="I220" s="77">
        <f>IF(COUNT(I82,I85,I88,I91)&lt;4,"",AVERAGE(I82,I85,I88,I91))</f>
        <v/>
      </c>
      <c r="J220" s="77">
        <f>IF(COUNT(J82,J85,J88,J91)&lt;4,"",AVERAGE(J82,J85,J88,J91))</f>
        <v/>
      </c>
      <c r="K220" s="77">
        <f>IF(COUNT(K82,K85,K88,K91)&lt;4,"",AVERAGE(K82,K85,K88,K91))</f>
        <v/>
      </c>
      <c r="L220" s="77">
        <f>IF(COUNT(L82,L85,L88,L91)&lt;4,"",AVERAGE(L82,L85,L88,L91))</f>
        <v/>
      </c>
      <c r="M220" s="77">
        <f>IF(COUNT(M82,M85,M88,M91)&lt;4,"",AVERAGE(M82,M85,M88,M91))</f>
        <v/>
      </c>
      <c r="N220" s="77">
        <f>IF(COUNT(N82,N85,N88,N91)&lt;4,"",AVERAGE(N82,N85,N88,N91))</f>
        <v/>
      </c>
      <c r="O220" s="77">
        <f>IF(COUNT(O82,O85,O88,O91)&lt;4,"",AVERAGE(O82,O85,O88,O91))</f>
        <v/>
      </c>
      <c r="P220" s="77">
        <f>IF(COUNT(P82,P85,P88,P91)&lt;4,"",AVERAGE(P82,P85,P88,P91))</f>
        <v/>
      </c>
      <c r="Q220" s="77">
        <f>IF(COUNT(Q82,Q85,Q88,Q91)&lt;4,"",AVERAGE(Q82,Q85,Q88,Q91))</f>
        <v/>
      </c>
      <c r="R220" s="77">
        <f>IF(COUNT(R82,R85,R88,R91)&lt;4,"",AVERAGE(R82,R85,R88,R91))</f>
        <v/>
      </c>
      <c r="S220" s="77">
        <f>IF(COUNT(S82,S85,S88,S91)&lt;4,"",AVERAGE(S82,S85,S88,S91))</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U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78">
      <c r="A1" s="77" t="inlineStr">
        <is>
          <t>CARBON — embedded-carbon memo (stage 6, D40). Central = official compensation-regime method (UK: DBT/BEIS MEF x (EUA-in-GBP + CPS | UKA + CPS); DE: EU-guidelines Annex IV/III factor x EUA). Literal house-rule formula (intensity x price x price-setting share) as cross-check at published share points. MEMO ONLY — this cost sits INSIDE the wholesale price; never add it to any total.</t>
        </is>
      </c>
    </row>
    <row r="2" ht="15" customHeight="1" s="78">
      <c r="A2" s="77" t="inlineStr">
        <is>
          <t>CN = 0 by construction: regulated band-limited tariff formation (1439-hao ±20 percent band) + free output-based benchmark allocation prevent/mute pass-through — ADB 2024 pp.13-14; IEA-Tsinghua 2021; Pizer &amp; Zhang 2018. CEA prices carried as context only. UK 2010-12: no official UK MEF exists (2012 guidelines applied from 2013) — GAP, stated, not interpolated.</t>
        </is>
      </c>
    </row>
    <row r="3" ht="15" customHeight="1" s="78">
      <c r="A3" s="77" t="inlineStr">
        <is>
          <t>Series</t>
        </is>
      </c>
      <c r="B3" s="77" t="inlineStr">
        <is>
          <t>Unit</t>
        </is>
      </c>
      <c r="C3" s="77" t="inlineStr">
        <is>
          <t>Case/notes</t>
        </is>
      </c>
      <c r="D3" s="77" t="n">
        <v>2010</v>
      </c>
      <c r="E3" s="77" t="n">
        <v>2011</v>
      </c>
      <c r="F3" s="77" t="n">
        <v>2012</v>
      </c>
      <c r="G3" s="77" t="n">
        <v>2013</v>
      </c>
      <c r="H3" s="77" t="n">
        <v>2014</v>
      </c>
      <c r="I3" s="77" t="n">
        <v>2015</v>
      </c>
      <c r="J3" s="77" t="n">
        <v>2016</v>
      </c>
      <c r="K3" s="77" t="n">
        <v>2017</v>
      </c>
      <c r="L3" s="77" t="n">
        <v>2018</v>
      </c>
      <c r="M3" s="77" t="n">
        <v>2019</v>
      </c>
      <c r="N3" s="77" t="n">
        <v>2020</v>
      </c>
      <c r="O3" s="77" t="n">
        <v>2021</v>
      </c>
      <c r="P3" s="77" t="n">
        <v>2022</v>
      </c>
      <c r="Q3" s="77" t="n">
        <v>2023</v>
      </c>
      <c r="R3" s="77" t="n">
        <v>2024</v>
      </c>
      <c r="S3" s="77" t="n">
        <v>2025</v>
      </c>
      <c r="T3" s="77" t="n">
        <v>2026</v>
      </c>
      <c r="U3" s="77" t="inlineStr">
        <is>
          <t>Source (source — table/page — retrieval date)</t>
        </is>
      </c>
    </row>
    <row r="5" ht="15" customHeight="1" s="78">
      <c r="A5" s="77" t="inlineStr">
        <is>
          <t>EUA price, annual avg (German auctions, volume-weighted; 2025 = ESMA avg spot)</t>
        </is>
      </c>
      <c r="B5" s="77" t="inlineStr">
        <is>
          <t>EUR/tCO2</t>
        </is>
      </c>
      <c r="C5" s="77" t="inlineStr">
        <is>
          <t>input; 2010-11 GAP (no official annual avg)</t>
        </is>
      </c>
      <c r="F5" s="77" t="n">
        <v>7.06</v>
      </c>
      <c r="G5" s="77" t="n">
        <v>4.33</v>
      </c>
      <c r="H5" s="77" t="n">
        <v>5.9</v>
      </c>
      <c r="I5" s="77" t="n">
        <v>7.6</v>
      </c>
      <c r="J5" s="77" t="n">
        <v>5.26</v>
      </c>
      <c r="K5" s="77" t="n">
        <v>5.8</v>
      </c>
      <c r="L5" s="77" t="n">
        <v>14.9</v>
      </c>
      <c r="M5" s="77" t="n">
        <v>24.66</v>
      </c>
      <c r="N5" s="77" t="n">
        <v>24.59</v>
      </c>
      <c r="O5" s="77" t="n">
        <v>52.47</v>
      </c>
      <c r="P5" s="77" t="n">
        <v>80.40000000000001</v>
      </c>
      <c r="Q5" s="77" t="n">
        <v>83.68000000000001</v>
      </c>
      <c r="R5" s="77" t="n">
        <v>65.01000000000001</v>
      </c>
      <c r="S5" s="77" t="n">
        <v>74</v>
      </c>
      <c r="U5" s="77" t="inlineStr">
        <is>
          <t>DEHSt Jahresbericht Auktionierung 2024, Tab.2 p.7 (2012-24; 2018=14.90) — retr. 2026-07-16; ESMA EU Carbon Markets Report 2026 (09.07.2026) p.5: 2025 avg EUR 74 — retr. 2026-07-16.</t>
        </is>
      </c>
    </row>
    <row r="6" ht="15" customHeight="1" s="78">
      <c r="A6" s="77" t="inlineStr">
        <is>
          <t>UKA price, annual avg (volume-weighted = auction revenue/volume; 2025 = ICAP, provisional Q42)</t>
        </is>
      </c>
      <c r="B6" s="77" t="inlineStr">
        <is>
          <t>GBP/tCO2</t>
        </is>
      </c>
      <c r="C6" s="77" t="inlineStr">
        <is>
          <t>input; estimated=Y (own VWA from official per-auction tables); 2025 Tier-2 placeholder</t>
        </is>
      </c>
      <c r="O6" s="77" t="n">
        <v>51.4148</v>
      </c>
      <c r="P6" s="77" t="n">
        <v>75.4183</v>
      </c>
      <c r="Q6" s="77" t="n">
        <v>53.3783</v>
      </c>
      <c r="R6" s="77" t="n">
        <v>37.1801</v>
      </c>
      <c r="S6" s="77" t="n">
        <v>47.36</v>
      </c>
      <c r="U6" s="77" t="inlineStr">
        <is>
          <t>UK ETS Authority, functioning-of-the-UK-carbon-market reports: 2021-22 (pp.10,12), 2023 (T1 p.10), 2024 (T1 p.11; rev 2,564,090,000/68,964,000 = 37.18; NAO 06/2025 p.4 corroborates ~37) — retr. 2026-07-16; ICAP UK ETS profile (2025: 47.36) — retr. 2026-07-16.</t>
        </is>
      </c>
    </row>
    <row r="7" ht="15" customHeight="1" s="78">
      <c r="A7" s="77" t="inlineStr">
        <is>
          <t>UK Carbon Price Support rate (charging yr -&gt; calendar per D4)</t>
        </is>
      </c>
      <c r="B7" s="77" t="inlineStr">
        <is>
          <t>GBP/tCO2</t>
        </is>
      </c>
      <c r="C7" s="77" t="inlineStr">
        <is>
          <t>input; statutory</t>
        </is>
      </c>
      <c r="G7" s="77" t="n">
        <v>4.94</v>
      </c>
      <c r="H7" s="77" t="n">
        <v>9.550000000000001</v>
      </c>
      <c r="I7" s="77" t="n">
        <v>18.08</v>
      </c>
      <c r="J7" s="77" t="n">
        <v>18</v>
      </c>
      <c r="K7" s="77" t="n">
        <v>18</v>
      </c>
      <c r="L7" s="77" t="n">
        <v>18</v>
      </c>
      <c r="M7" s="77" t="n">
        <v>18</v>
      </c>
      <c r="N7" s="77" t="n">
        <v>18</v>
      </c>
      <c r="O7" s="77" t="n">
        <v>18</v>
      </c>
      <c r="P7" s="77" t="n">
        <v>18</v>
      </c>
      <c r="Q7" s="77" t="n">
        <v>18</v>
      </c>
      <c r="R7" s="77" t="n">
        <v>18</v>
      </c>
      <c r="S7" s="77" t="n">
        <v>18</v>
      </c>
      <c r="T7" s="77" t="n">
        <v>18</v>
      </c>
      <c r="U7" s="77" t="inlineStr">
        <is>
          <t>HoC Library SN05927 pp.9-11 (4.94/9.55/18.08; frozen at 18.00 from 2016-17) — retr. 2026-07-16; Autumn Budget 2024: GBP 18 maintained for 2026-27 (via Deloitte relay of HMT announcement — flag).</t>
        </is>
      </c>
    </row>
    <row r="8" ht="15" customHeight="1" s="78">
      <c r="A8" s="77" t="inlineStr">
        <is>
          <t>CN CEA price, annual avg (context only — no pass-through, D40)</t>
        </is>
      </c>
      <c r="B8" s="77" t="inlineStr">
        <is>
          <t>CNY/tCO2</t>
        </is>
      </c>
      <c r="C8" s="77" t="inlineStr">
        <is>
          <t>context; 2024 computed (turnover/volume); 2021-23 avgs Tier-2</t>
        </is>
      </c>
      <c r="O8" s="77" t="n">
        <v>42.85</v>
      </c>
      <c r="P8" s="77" t="n">
        <v>55.3</v>
      </c>
      <c r="Q8" s="77" t="n">
        <v>68.15000000000001</v>
      </c>
      <c r="R8" s="77" t="n">
        <v>95.84</v>
      </c>
      <c r="S8" s="77" t="n">
        <v>62.36</v>
      </c>
      <c r="U8" s="77" t="inlineStr">
        <is>
          <t>SEEE year reviews (2024-12-31; 2026-01-01: 2025 avg 62.36) — retr. 2026-07-16; MEE announcements; IIGF via Sina (2021 42.85; 2022 55.30); CBNRI report (2023 68.15); 2024 = 18.114bn CNY / 189 Mt (computed).</t>
        </is>
      </c>
    </row>
    <row r="10" ht="15" customHeight="1" s="78">
      <c r="A10" s="77" t="inlineStr">
        <is>
          <t>UK MEF applied in compensation scheme year</t>
        </is>
      </c>
      <c r="B10" s="77" t="inlineStr">
        <is>
          <t>tCO2/MWh</t>
        </is>
      </c>
      <c r="C10" s="77" t="inlineStr">
        <is>
          <t>input; official</t>
        </is>
      </c>
      <c r="G10" s="77" t="n">
        <v>0.58</v>
      </c>
      <c r="H10" s="77" t="n">
        <v>0.58</v>
      </c>
      <c r="I10" s="77" t="n">
        <v>0.58</v>
      </c>
      <c r="J10" s="77" t="n">
        <v>0.58</v>
      </c>
      <c r="K10" s="77" t="n">
        <v>0.58</v>
      </c>
      <c r="L10" s="77" t="n">
        <v>0.58</v>
      </c>
      <c r="M10" s="77" t="n">
        <v>0.58</v>
      </c>
      <c r="N10" s="77" t="n">
        <v>0.58</v>
      </c>
      <c r="O10" s="77" t="n">
        <v>0.45</v>
      </c>
      <c r="P10" s="77" t="n">
        <v>0.44</v>
      </c>
      <c r="Q10" s="77" t="n">
        <v>0.4344</v>
      </c>
      <c r="R10" s="77" t="n">
        <v>0.42</v>
      </c>
      <c r="S10" s="77" t="n">
        <v>0.44</v>
      </c>
      <c r="T10" s="77" t="n">
        <v>0.45</v>
      </c>
      <c r="U10" s="77" t="inlineStr">
        <is>
          <t>BEIS EU-ETS/CPS compensation guidance (Dec 2019) sec.2.3 p.9 = 0.58 (2012 GL 2012/C 158/04 Annex IV "United Kingdom 0,58"); DBT UK-ETS/CPS guidance versions (UKGWA/Wayback-dated): 0.45 (2021)/0.44 (2022)/0.4344 (2023)/0.42 (2024)/0.44 (2025)/0.45 (2026-27); t-2 DUKES rule per BEIS review response Apr 2022 pp.24-25 — all retr. 2026-07-16.</t>
        </is>
      </c>
    </row>
    <row r="11" ht="15" customHeight="1" s="78">
      <c r="A11" s="77" t="inlineStr">
        <is>
          <t>DE MEF (EU guidelines max regional factor, Mittelwesteuropa)</t>
        </is>
      </c>
      <c r="B11" s="77" t="inlineStr">
        <is>
          <t>tCO2/MWh</t>
        </is>
      </c>
      <c r="C11" s="77" t="inlineStr">
        <is>
          <t>input; official</t>
        </is>
      </c>
      <c r="G11" s="77" t="n">
        <v>0.76</v>
      </c>
      <c r="H11" s="77" t="n">
        <v>0.76</v>
      </c>
      <c r="I11" s="77" t="n">
        <v>0.76</v>
      </c>
      <c r="J11" s="77" t="n">
        <v>0.76</v>
      </c>
      <c r="K11" s="77" t="n">
        <v>0.76</v>
      </c>
      <c r="L11" s="77" t="n">
        <v>0.76</v>
      </c>
      <c r="M11" s="77" t="n">
        <v>0.76</v>
      </c>
      <c r="N11" s="77" t="n">
        <v>0.76</v>
      </c>
      <c r="O11" s="77" t="n">
        <v>0.72</v>
      </c>
      <c r="P11" s="77" t="n">
        <v>0.72</v>
      </c>
      <c r="Q11" s="77" t="n">
        <v>0.72</v>
      </c>
      <c r="R11" s="77" t="n">
        <v>0.72</v>
      </c>
      <c r="S11" s="77" t="n">
        <v>0.72</v>
      </c>
      <c r="T11" s="77" t="n">
        <v>0.72</v>
      </c>
      <c r="U11" s="77" t="inlineStr">
        <is>
          <t>DEHSt SPK-Bericht 2024 fn.8 (0.72 per Annex III, 2021/C 528/01) + p.13 (0.76 in third trading period) — retr. 2026-07-16.</t>
        </is>
      </c>
    </row>
    <row r="13" ht="15" customHeight="1" s="78">
      <c r="A13" s="77" t="inlineStr">
        <is>
          <t>UK applicable carbon price = EUA x (EUR-&gt;GBP cross, Fed H.10) + CPS (2013-20); UKA + CPS (2021+)</t>
        </is>
      </c>
      <c r="B13" s="77" t="inlineStr">
        <is>
          <t>GBP/tCO2</t>
        </is>
      </c>
      <c r="C13" s="77" t="inlineStr">
        <is>
          <t>estimated=Y (FX cross for EUA era)</t>
        </is>
      </c>
      <c r="G13" s="77">
        <f>G5*fx_deflator!$J$8/fx_deflator!$I$8+G7</f>
        <v/>
      </c>
      <c r="H13" s="77">
        <f>H5*fx_deflator!$J$9/fx_deflator!$I$9+H7</f>
        <v/>
      </c>
      <c r="I13" s="77">
        <f>I5*fx_deflator!$J$10/fx_deflator!$I$10+I7</f>
        <v/>
      </c>
      <c r="J13" s="77">
        <f>J5*fx_deflator!$J$11/fx_deflator!$I$11+J7</f>
        <v/>
      </c>
      <c r="K13" s="77">
        <f>K5*fx_deflator!$J$12/fx_deflator!$I$12+K7</f>
        <v/>
      </c>
      <c r="L13" s="77">
        <f>L5*fx_deflator!$J$13/fx_deflator!$I$13+L7</f>
        <v/>
      </c>
      <c r="M13" s="77">
        <f>M5*fx_deflator!$J$14/fx_deflator!$I$14+M7</f>
        <v/>
      </c>
      <c r="N13" s="77">
        <f>N5*fx_deflator!$J$15/fx_deflator!$I$15+N7</f>
        <v/>
      </c>
      <c r="O13" s="77">
        <f>O6+O7</f>
        <v/>
      </c>
      <c r="P13" s="77">
        <f>P6+P7</f>
        <v/>
      </c>
      <c r="Q13" s="77">
        <f>Q6+Q7</f>
        <v/>
      </c>
      <c r="R13" s="77">
        <f>R6+R7</f>
        <v/>
      </c>
      <c r="S13" s="77">
        <f>S6+S7</f>
        <v/>
      </c>
      <c r="T13" s="77" t="inlineStr">
        <is>
          <t>(2026: UKA annual avg does not exist yet — blank)</t>
        </is>
      </c>
      <c r="U13" s="77" t="inlineStr">
        <is>
          <t>Computed from rows 5-7; FX = fx_deflator (D1).</t>
        </is>
      </c>
    </row>
    <row r="14" ht="15" customHeight="1" s="78">
      <c r="A14" s="77" t="inlineStr">
        <is>
          <t>UK embedded carbon, CENTRAL (memo) = MEF x applicable price</t>
        </is>
      </c>
      <c r="B14" s="77" t="inlineStr">
        <is>
          <t>GBP/MWh</t>
        </is>
      </c>
      <c r="C14" s="77" t="inlineStr">
        <is>
          <t>estimated=Y; memo within bucket 1</t>
        </is>
      </c>
      <c r="G14" s="77">
        <f>G10*G13</f>
        <v/>
      </c>
      <c r="H14" s="77">
        <f>H10*H13</f>
        <v/>
      </c>
      <c r="I14" s="77">
        <f>I10*I13</f>
        <v/>
      </c>
      <c r="J14" s="77">
        <f>J10*J13</f>
        <v/>
      </c>
      <c r="K14" s="77">
        <f>K10*K13</f>
        <v/>
      </c>
      <c r="L14" s="77">
        <f>L10*L13</f>
        <v/>
      </c>
      <c r="M14" s="77">
        <f>M10*M13</f>
        <v/>
      </c>
      <c r="N14" s="77">
        <f>N10*N13</f>
        <v/>
      </c>
      <c r="O14" s="77">
        <f>O10*O13</f>
        <v/>
      </c>
      <c r="P14" s="77">
        <f>P10*P13</f>
        <v/>
      </c>
      <c r="Q14" s="77">
        <f>Q10*Q13</f>
        <v/>
      </c>
      <c r="R14" s="77">
        <f>R10*R13</f>
        <v/>
      </c>
      <c r="S14" s="77">
        <f>S10*S13</f>
        <v/>
      </c>
      <c r="U14" s="77" t="inlineStr">
        <is>
          <t>D40 method. Cross-check: DBT worked example 2026-27 = GBP 32.04/MWh (real 2025) = 0.45 x (53.19 fwd + 18 CPS).</t>
        </is>
      </c>
    </row>
    <row r="15" ht="15" customHeight="1" s="78">
      <c r="A15" s="77" t="inlineStr">
        <is>
          <t>DE embedded carbon, CENTRAL (memo) = MEF x EUA</t>
        </is>
      </c>
      <c r="B15" s="77" t="inlineStr">
        <is>
          <t>EUR/MWh</t>
        </is>
      </c>
      <c r="C15" s="77" t="inlineStr">
        <is>
          <t>estimated=Y; memo within bucket 1</t>
        </is>
      </c>
      <c r="G15" s="77">
        <f>G11*G5</f>
        <v/>
      </c>
      <c r="H15" s="77">
        <f>H11*H5</f>
        <v/>
      </c>
      <c r="I15" s="77">
        <f>I11*I5</f>
        <v/>
      </c>
      <c r="J15" s="77">
        <f>J11*J5</f>
        <v/>
      </c>
      <c r="K15" s="77">
        <f>K11*K5</f>
        <v/>
      </c>
      <c r="L15" s="77">
        <f>L11*L5</f>
        <v/>
      </c>
      <c r="M15" s="77">
        <f>M11*M5</f>
        <v/>
      </c>
      <c r="N15" s="77">
        <f>N11*N5</f>
        <v/>
      </c>
      <c r="O15" s="77">
        <f>O11*O5</f>
        <v/>
      </c>
      <c r="P15" s="77">
        <f>P11*P5</f>
        <v/>
      </c>
      <c r="Q15" s="77">
        <f>Q11*Q5</f>
        <v/>
      </c>
      <c r="R15" s="77">
        <f>R11*R5</f>
        <v/>
      </c>
      <c r="S15" s="77">
        <f>S11*S5</f>
        <v/>
      </c>
      <c r="U15" s="77" t="inlineStr">
        <is>
          <t>D40 method (SPK basis; note SPK uses prior-yr Dec future, we use delivery-yr annual avg — stated).</t>
        </is>
      </c>
    </row>
    <row r="16" ht="15" customHeight="1" s="78">
      <c r="A16" s="77" t="inlineStr">
        <is>
          <t>UK embedded carbon — real 2025 USD/MWh</t>
        </is>
      </c>
      <c r="B16" s="77" t="inlineStr">
        <is>
          <t>USD/MWh real 2025</t>
        </is>
      </c>
      <c r="G16" s="77">
        <f>IF(ISNUMBER(G14),G14*fx_deflator!$I$8*fx_deflator!$M$8,"")</f>
        <v/>
      </c>
      <c r="H16" s="77">
        <f>IF(ISNUMBER(H14),H14*fx_deflator!$I$9*fx_deflator!$M$9,"")</f>
        <v/>
      </c>
      <c r="I16" s="77">
        <f>IF(ISNUMBER(I14),I14*fx_deflator!$I$10*fx_deflator!$M$10,"")</f>
        <v/>
      </c>
      <c r="J16" s="77">
        <f>IF(ISNUMBER(J14),J14*fx_deflator!$I$11*fx_deflator!$M$11,"")</f>
        <v/>
      </c>
      <c r="K16" s="77">
        <f>IF(ISNUMBER(K14),K14*fx_deflator!$I$12*fx_deflator!$M$12,"")</f>
        <v/>
      </c>
      <c r="L16" s="77">
        <f>IF(ISNUMBER(L14),L14*fx_deflator!$I$13*fx_deflator!$M$13,"")</f>
        <v/>
      </c>
      <c r="M16" s="77">
        <f>IF(ISNUMBER(M14),M14*fx_deflator!$I$14*fx_deflator!$M$14,"")</f>
        <v/>
      </c>
      <c r="N16" s="77">
        <f>IF(ISNUMBER(N14),N14*fx_deflator!$I$15*fx_deflator!$M$15,"")</f>
        <v/>
      </c>
      <c r="O16" s="77">
        <f>IF(ISNUMBER(O14),O14*fx_deflator!$I$16*fx_deflator!$M$16,"")</f>
        <v/>
      </c>
      <c r="P16" s="77">
        <f>IF(ISNUMBER(P14),P14*fx_deflator!$I$17*fx_deflator!$M$17,"")</f>
        <v/>
      </c>
      <c r="Q16" s="77">
        <f>IF(ISNUMBER(Q14),Q14*fx_deflator!$I$18*fx_deflator!$M$18,"")</f>
        <v/>
      </c>
      <c r="R16" s="77">
        <f>IF(ISNUMBER(R14),R14*fx_deflator!$I$19*fx_deflator!$M$19,"")</f>
        <v/>
      </c>
      <c r="S16" s="77">
        <f>IF(ISNUMBER(S14),S14*fx_deflator!$I$20*fx_deflator!$M$20,"")</f>
        <v/>
      </c>
    </row>
    <row r="17" ht="15" customHeight="1" s="78">
      <c r="A17" s="77" t="inlineStr">
        <is>
          <t>DE embedded carbon — real 2025 USD/MWh</t>
        </is>
      </c>
      <c r="B17" s="77" t="inlineStr">
        <is>
          <t>USD/MWh real 2025</t>
        </is>
      </c>
      <c r="G17" s="77">
        <f>IF(ISNUMBER(G15),G15*fx_deflator!$J$8*fx_deflator!$M$8,"")</f>
        <v/>
      </c>
      <c r="H17" s="77">
        <f>IF(ISNUMBER(H15),H15*fx_deflator!$J$9*fx_deflator!$M$9,"")</f>
        <v/>
      </c>
      <c r="I17" s="77">
        <f>IF(ISNUMBER(I15),I15*fx_deflator!$J$10*fx_deflator!$M$10,"")</f>
        <v/>
      </c>
      <c r="J17" s="77">
        <f>IF(ISNUMBER(J15),J15*fx_deflator!$J$11*fx_deflator!$M$11,"")</f>
        <v/>
      </c>
      <c r="K17" s="77">
        <f>IF(ISNUMBER(K15),K15*fx_deflator!$J$12*fx_deflator!$M$12,"")</f>
        <v/>
      </c>
      <c r="L17" s="77">
        <f>IF(ISNUMBER(L15),L15*fx_deflator!$J$13*fx_deflator!$M$13,"")</f>
        <v/>
      </c>
      <c r="M17" s="77">
        <f>IF(ISNUMBER(M15),M15*fx_deflator!$J$14*fx_deflator!$M$14,"")</f>
        <v/>
      </c>
      <c r="N17" s="77">
        <f>IF(ISNUMBER(N15),N15*fx_deflator!$J$15*fx_deflator!$M$15,"")</f>
        <v/>
      </c>
      <c r="O17" s="77">
        <f>IF(ISNUMBER(O15),O15*fx_deflator!$J$16*fx_deflator!$M$16,"")</f>
        <v/>
      </c>
      <c r="P17" s="77">
        <f>IF(ISNUMBER(P15),P15*fx_deflator!$J$17*fx_deflator!$M$17,"")</f>
        <v/>
      </c>
      <c r="Q17" s="77">
        <f>IF(ISNUMBER(Q15),Q15*fx_deflator!$J$18*fx_deflator!$M$18,"")</f>
        <v/>
      </c>
      <c r="R17" s="77">
        <f>IF(ISNUMBER(R15),R15*fx_deflator!$J$19*fx_deflator!$M$19,"")</f>
        <v/>
      </c>
      <c r="S17" s="77">
        <f>IF(ISNUMBER(S15),S15*fx_deflator!$J$20*fx_deflator!$M$20,"")</f>
        <v/>
      </c>
    </row>
    <row r="18" ht="15" customHeight="1" s="78">
      <c r="A18" s="77" t="inlineStr">
        <is>
          <t>CN embedded carbon (documented zero — see A2)</t>
        </is>
      </c>
      <c r="B18" s="77" t="inlineStr">
        <is>
          <t>CNY/MWh</t>
        </is>
      </c>
      <c r="C18" s="77" t="inlineStr">
        <is>
          <t>documented null</t>
        </is>
      </c>
      <c r="O18" s="77" t="n">
        <v>0</v>
      </c>
      <c r="P18" s="77" t="n">
        <v>0</v>
      </c>
      <c r="Q18" s="77" t="n">
        <v>0</v>
      </c>
      <c r="R18" s="77" t="n">
        <v>0</v>
      </c>
      <c r="S18" s="77" t="n">
        <v>0</v>
      </c>
      <c r="U18" s="77" t="inlineStr">
        <is>
          <t>ADB 2024 ETS background paper pp.13-14; IEA-Tsinghua 2021 (output-based free allocation limits effective carbon cost); Pizer &amp; Zhang 2018; NDRC 1439-hao band regime — retr. 2026-07-16.</t>
        </is>
      </c>
    </row>
    <row r="20" ht="15" customHeight="1" s="78">
      <c r="A20" s="77" t="inlineStr">
        <is>
          <t>CROSS-CHECK — literal house-rule formula at published price-setting-share points (never charted as a series)</t>
        </is>
      </c>
    </row>
    <row r="21" ht="15" customHeight="1" s="78">
      <c r="A21" s="77" t="inlineStr">
        <is>
          <t>GB share of hours fossil/gas price-setting (published points)</t>
        </is>
      </c>
      <c r="B21" s="77" t="inlineStr">
        <is>
          <t>share</t>
        </is>
      </c>
      <c r="C21" s="77" t="inlineStr">
        <is>
          <t>points only</t>
        </is>
      </c>
      <c r="I21" s="77" t="n">
        <v>0.88</v>
      </c>
      <c r="M21" s="77" t="n">
        <v>0.84</v>
      </c>
      <c r="O21" s="77" t="n">
        <v>0.98</v>
      </c>
      <c r="Q21" s="77" t="n">
        <v>0.97</v>
      </c>
      <c r="U21" s="77" t="inlineStr">
        <is>
          <t>2015: Zakeri et al. 2023 Energy Reports 10:2778 T2 (fossil 88 pct); 2019: UCL Green Power Pools WP4 p.12 (gas 84 pct); 2021: INET WP207 p.2 (gas 98 pct, per Zakeri/Staffell); 2023: NESO Clean Power 2030 Annex 1 p.36 (unabated gas 97 pct, Tier 1) — retr. 2026-07-16.</t>
        </is>
      </c>
    </row>
    <row r="22" ht="15" customHeight="1" s="78">
      <c r="A22" s="77" t="inlineStr">
        <is>
          <t>GB literal = 0.394 (NESO CCGT) x applicable price x share</t>
        </is>
      </c>
      <c r="B22" s="77" t="inlineStr">
        <is>
          <t>GBP/MWh</t>
        </is>
      </c>
      <c r="C22" s="77" t="inlineStr">
        <is>
          <t>estimated=Y</t>
        </is>
      </c>
      <c r="I22" s="77">
        <f>I21*0.394*I13</f>
        <v/>
      </c>
      <c r="M22" s="77">
        <f>M21*0.394*M13</f>
        <v/>
      </c>
      <c r="O22" s="77">
        <f>O21*0.394*O13</f>
        <v/>
      </c>
      <c r="Q22" s="77">
        <f>Q21*0.394*Q13</f>
        <v/>
      </c>
      <c r="U22" s="77" t="inlineStr">
        <is>
          <t>Intensity: NESO Carbon Intensity Forecast Methodology Table 1 (CCGT 0.394) — retr. 2026-07-16.</t>
        </is>
      </c>
    </row>
    <row r="23" ht="15" customHeight="1" s="78">
      <c r="A23" s="77" t="inlineStr">
        <is>
          <t>DE share of hours fossil price-setting (published points)</t>
        </is>
      </c>
      <c r="B23" s="77" t="inlineStr">
        <is>
          <t>share</t>
        </is>
      </c>
      <c r="C23" s="77" t="inlineStr">
        <is>
          <t>points only; nothing Tier-1, nothing post-2021</t>
        </is>
      </c>
      <c r="I23" s="77" t="n">
        <v>0.92</v>
      </c>
      <c r="N23" s="77" t="n">
        <v>0.599</v>
      </c>
      <c r="O23" s="77" t="n">
        <v>0.72</v>
      </c>
      <c r="U23" s="77" t="inlineStr">
        <is>
          <t>2015/2021: Zakeri et al. 2023 T2 (92 -&gt; 72 pct); 2020: Blume-Werry et al. 2021 EEEP 10(1) Fig.3 (gas 2,536h + lignite 1,509h + hard coal 1,213h = 59.9 pct of hours) — retr. 2026-07-16.</t>
        </is>
      </c>
    </row>
    <row r="24" ht="15" customHeight="1" s="78">
      <c r="A24" s="77" t="inlineStr">
        <is>
          <t>DE literal LOW (gas-set: 0.392) / 2020 central uses mix intensity 0.709</t>
        </is>
      </c>
      <c r="B24" s="77" t="inlineStr">
        <is>
          <t>EUR/MWh</t>
        </is>
      </c>
      <c r="C24" s="77" t="inlineStr">
        <is>
          <t>estimated=Y</t>
        </is>
      </c>
      <c r="I24" s="77">
        <f>0.392*I23*I5</f>
        <v/>
      </c>
      <c r="N24" s="77">
        <f>0.709*N23*N5</f>
        <v/>
      </c>
      <c r="O24" s="77">
        <f>0.392*O23*O5</f>
        <v/>
      </c>
      <c r="U24" s="77" t="inlineStr">
        <is>
          <t>Intensities: UBA Climate Change 23/2024 Tab.4 p.20 (gas fleet 0.392; hard coal 0.860; lignite 1.120). 2020 mix intensity 0.709 = price-setting-hour-weighted avg of UBA intensities over Blume-Werry mix (computed, estimated=Y).</t>
        </is>
      </c>
    </row>
    <row r="25" ht="15" customHeight="1" s="78">
      <c r="A25" s="77" t="inlineStr">
        <is>
          <t>DE literal HIGH (lignite-set: 1.120)</t>
        </is>
      </c>
      <c r="B25" s="77" t="inlineStr">
        <is>
          <t>EUR/MWh</t>
        </is>
      </c>
      <c r="C25" s="77" t="inlineStr">
        <is>
          <t>estimated=Y</t>
        </is>
      </c>
      <c r="I25" s="77">
        <f>1.12*I23*I5</f>
        <v/>
      </c>
      <c r="O25" s="77">
        <f>1.12*O23*O5</f>
        <v/>
      </c>
    </row>
    <row r="27" ht="15" customHeight="1" s="78">
      <c r="A27" s="77" t="inlineStr">
        <is>
          <t>Reading the cross-check: the official-MEF central sits at or above the literal-formula estimate (e.g. DE 2020: 18.7 official vs 10.4 literal EUR/MWh) — compensation-regime factors are generous to industry. External anchors: Ofgem 07/2021 (removing CPS ~ GBP 10/MWh, 2020); Guo &amp; Newbery 2023 (CPS raised GB DA price ~EUR 11/MWh 2015-18); GB EUA pass-through 75-100 pct (Guo &amp; Castagneto Gissey EPRG1937); DE hourly pass-through 84-104 pct (Hintermann 2016).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T26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78">
      <c r="A1" s="77" t="inlineStr">
        <is>
          <t>STAGE 6 — COMPONENT DECOMPOSITION (house rules 4+5). Buckets 1-5 summed from data_lineitems (SUMIFS); bucket 6 = observed-minus-modelled MEMO (D39). Reconciliation: buckets must equal the stage-4 all-in total within +/-2 pct (hard stop). Real 2025 USD/MWh. Converted at annual-average market FX. Excludes VAT. E1/E2 are MODELLED, not observed.</t>
        </is>
      </c>
    </row>
    <row r="2" ht="15" customHeight="1" s="78">
      <c r="A2" s="77" t="inlineStr">
        <is>
          <t>Structural breaks: UK CfD-ILR 2016, TCR 2023, NCC 2024/2026; DE EEG-to-budget 07/2022, bundeseinheitlich 2023, subsidy 2026; CN 2021-10 market reform, 2026 136-hao — never draw a continuous line through them. CN decomposition 2022+ = Jiangsu representative (D41).</t>
        </is>
      </c>
    </row>
    <row r="4" ht="15" customHeight="1" s="78">
      <c r="A4" s="77" t="inlineStr">
        <is>
          <t>Ctry</t>
        </is>
      </c>
      <c r="B4" s="77" t="inlineStr">
        <is>
          <t>Arch</t>
        </is>
      </c>
      <c r="C4" s="77" t="inlineStr">
        <is>
          <t>Case</t>
        </is>
      </c>
      <c r="D4" s="77" t="inlineStr">
        <is>
          <t>Bucket</t>
        </is>
      </c>
      <c r="E4" s="77" t="n">
        <v>2010</v>
      </c>
      <c r="F4" s="77" t="n">
        <v>2011</v>
      </c>
      <c r="G4" s="77" t="n">
        <v>2012</v>
      </c>
      <c r="H4" s="77" t="n">
        <v>2013</v>
      </c>
      <c r="I4" s="77" t="n">
        <v>2014</v>
      </c>
      <c r="J4" s="77" t="n">
        <v>2015</v>
      </c>
      <c r="K4" s="77" t="n">
        <v>2016</v>
      </c>
      <c r="L4" s="77" t="n">
        <v>2017</v>
      </c>
      <c r="M4" s="77" t="n">
        <v>2018</v>
      </c>
      <c r="N4" s="77" t="n">
        <v>2019</v>
      </c>
      <c r="O4" s="77" t="n">
        <v>2020</v>
      </c>
      <c r="P4" s="77" t="n">
        <v>2021</v>
      </c>
      <c r="Q4" s="77" t="n">
        <v>2022</v>
      </c>
      <c r="R4" s="77" t="n">
        <v>2023</v>
      </c>
      <c r="S4" s="77" t="n">
        <v>2024</v>
      </c>
      <c r="T4" s="77" t="n">
        <v>2025</v>
      </c>
    </row>
    <row r="5" ht="15" customHeight="1" s="78">
      <c r="A5" s="77" t="inlineStr">
        <is>
          <t>UK</t>
        </is>
      </c>
      <c r="B5" s="77" t="inlineStr">
        <is>
          <t>large</t>
        </is>
      </c>
      <c r="C5" s="77" t="inlineStr">
        <is>
          <t>E1</t>
        </is>
      </c>
      <c r="D5" s="77" t="inlineStr">
        <is>
          <t>leg header</t>
        </is>
      </c>
    </row>
    <row r="6" ht="15" customHeight="1" s="78">
      <c r="A6" s="77" t="inlineStr">
        <is>
          <t>UK</t>
        </is>
      </c>
      <c r="B6" s="77" t="inlineStr">
        <is>
          <t>large</t>
        </is>
      </c>
      <c r="C6" s="77" t="inlineStr">
        <is>
          <t>E1</t>
        </is>
      </c>
      <c r="D6" s="77" t="inlineStr">
        <is>
          <t>1 Commodity</t>
        </is>
      </c>
      <c r="E6" s="77">
        <f>SUMIFS(data_lineitems!$I$3:$I$1567,data_lineitems!$A$3:$A$1567,"UK",data_lineitems!$B$3:$B$1567,2010,data_lineitems!$C$3:$C$1567,"large",data_lineitems!$D$3:$D$1567,"E1",data_lineitems!$F$3:$F$1567,"1 Commodity")</f>
        <v/>
      </c>
      <c r="F6" s="77">
        <f>SUMIFS(data_lineitems!$I$3:$I$1567,data_lineitems!$A$3:$A$1567,"UK",data_lineitems!$B$3:$B$1567,2011,data_lineitems!$C$3:$C$1567,"large",data_lineitems!$D$3:$D$1567,"E1",data_lineitems!$F$3:$F$1567,"1 Commodity")</f>
        <v/>
      </c>
      <c r="G6" s="77">
        <f>SUMIFS(data_lineitems!$I$3:$I$1567,data_lineitems!$A$3:$A$1567,"UK",data_lineitems!$B$3:$B$1567,2012,data_lineitems!$C$3:$C$1567,"large",data_lineitems!$D$3:$D$1567,"E1",data_lineitems!$F$3:$F$1567,"1 Commodity")</f>
        <v/>
      </c>
      <c r="H6" s="77">
        <f>SUMIFS(data_lineitems!$I$3:$I$1567,data_lineitems!$A$3:$A$1567,"UK",data_lineitems!$B$3:$B$1567,2013,data_lineitems!$C$3:$C$1567,"large",data_lineitems!$D$3:$D$1567,"E1",data_lineitems!$F$3:$F$1567,"1 Commodity")</f>
        <v/>
      </c>
      <c r="I6" s="77">
        <f>SUMIFS(data_lineitems!$I$3:$I$1567,data_lineitems!$A$3:$A$1567,"UK",data_lineitems!$B$3:$B$1567,2014,data_lineitems!$C$3:$C$1567,"large",data_lineitems!$D$3:$D$1567,"E1",data_lineitems!$F$3:$F$1567,"1 Commodity")</f>
        <v/>
      </c>
      <c r="J6" s="77">
        <f>SUMIFS(data_lineitems!$I$3:$I$1567,data_lineitems!$A$3:$A$1567,"UK",data_lineitems!$B$3:$B$1567,2015,data_lineitems!$C$3:$C$1567,"large",data_lineitems!$D$3:$D$1567,"E1",data_lineitems!$F$3:$F$1567,"1 Commodity")</f>
        <v/>
      </c>
      <c r="K6" s="77">
        <f>SUMIFS(data_lineitems!$I$3:$I$1567,data_lineitems!$A$3:$A$1567,"UK",data_lineitems!$B$3:$B$1567,2016,data_lineitems!$C$3:$C$1567,"large",data_lineitems!$D$3:$D$1567,"E1",data_lineitems!$F$3:$F$1567,"1 Commodity")</f>
        <v/>
      </c>
      <c r="L6" s="77">
        <f>SUMIFS(data_lineitems!$I$3:$I$1567,data_lineitems!$A$3:$A$1567,"UK",data_lineitems!$B$3:$B$1567,2017,data_lineitems!$C$3:$C$1567,"large",data_lineitems!$D$3:$D$1567,"E1",data_lineitems!$F$3:$F$1567,"1 Commodity")</f>
        <v/>
      </c>
      <c r="M6" s="77">
        <f>SUMIFS(data_lineitems!$I$3:$I$1567,data_lineitems!$A$3:$A$1567,"UK",data_lineitems!$B$3:$B$1567,2018,data_lineitems!$C$3:$C$1567,"large",data_lineitems!$D$3:$D$1567,"E1",data_lineitems!$F$3:$F$1567,"1 Commodity")</f>
        <v/>
      </c>
      <c r="N6" s="77">
        <f>SUMIFS(data_lineitems!$I$3:$I$1567,data_lineitems!$A$3:$A$1567,"UK",data_lineitems!$B$3:$B$1567,2019,data_lineitems!$C$3:$C$1567,"large",data_lineitems!$D$3:$D$1567,"E1",data_lineitems!$F$3:$F$1567,"1 Commodity")</f>
        <v/>
      </c>
      <c r="O6" s="77">
        <f>SUMIFS(data_lineitems!$I$3:$I$1567,data_lineitems!$A$3:$A$1567,"UK",data_lineitems!$B$3:$B$1567,2020,data_lineitems!$C$3:$C$1567,"large",data_lineitems!$D$3:$D$1567,"E1",data_lineitems!$F$3:$F$1567,"1 Commodity")</f>
        <v/>
      </c>
      <c r="P6" s="77">
        <f>SUMIFS(data_lineitems!$I$3:$I$1567,data_lineitems!$A$3:$A$1567,"UK",data_lineitems!$B$3:$B$1567,2021,data_lineitems!$C$3:$C$1567,"large",data_lineitems!$D$3:$D$1567,"E1",data_lineitems!$F$3:$F$1567,"1 Commodity")</f>
        <v/>
      </c>
      <c r="Q6" s="77">
        <f>SUMIFS(data_lineitems!$I$3:$I$1567,data_lineitems!$A$3:$A$1567,"UK",data_lineitems!$B$3:$B$1567,2022,data_lineitems!$C$3:$C$1567,"large",data_lineitems!$D$3:$D$1567,"E1",data_lineitems!$F$3:$F$1567,"1 Commodity")</f>
        <v/>
      </c>
      <c r="R6" s="77">
        <f>SUMIFS(data_lineitems!$I$3:$I$1567,data_lineitems!$A$3:$A$1567,"UK",data_lineitems!$B$3:$B$1567,2023,data_lineitems!$C$3:$C$1567,"large",data_lineitems!$D$3:$D$1567,"E1",data_lineitems!$F$3:$F$1567,"1 Commodity")</f>
        <v/>
      </c>
      <c r="S6" s="77">
        <f>SUMIFS(data_lineitems!$I$3:$I$1567,data_lineitems!$A$3:$A$1567,"UK",data_lineitems!$B$3:$B$1567,2024,data_lineitems!$C$3:$C$1567,"large",data_lineitems!$D$3:$D$1567,"E1",data_lineitems!$F$3:$F$1567,"1 Commodity")</f>
        <v/>
      </c>
      <c r="T6" s="77">
        <f>SUMIFS(data_lineitems!$I$3:$I$1567,data_lineitems!$A$3:$A$1567,"UK",data_lineitems!$B$3:$B$1567,2025,data_lineitems!$C$3:$C$1567,"large",data_lineitems!$D$3:$D$1567,"E1",data_lineitems!$F$3:$F$1567,"1 Commodity")</f>
        <v/>
      </c>
    </row>
    <row r="7" ht="15" customHeight="1" s="78">
      <c r="A7" s="77" t="inlineStr">
        <is>
          <t>UK</t>
        </is>
      </c>
      <c r="B7" s="77" t="inlineStr">
        <is>
          <t>large</t>
        </is>
      </c>
      <c r="C7" s="77" t="inlineStr">
        <is>
          <t>E1</t>
        </is>
      </c>
      <c r="D7" s="77" t="inlineStr">
        <is>
          <t>2 Gen capital recovery</t>
        </is>
      </c>
      <c r="E7" s="77">
        <f>SUMIFS(data_lineitems!$I$3:$I$1567,data_lineitems!$A$3:$A$1567,"UK",data_lineitems!$B$3:$B$1567,2010,data_lineitems!$C$3:$C$1567,"large",data_lineitems!$D$3:$D$1567,"E1",data_lineitems!$F$3:$F$1567,"2 Gen capital recovery")</f>
        <v/>
      </c>
      <c r="F7" s="77">
        <f>SUMIFS(data_lineitems!$I$3:$I$1567,data_lineitems!$A$3:$A$1567,"UK",data_lineitems!$B$3:$B$1567,2011,data_lineitems!$C$3:$C$1567,"large",data_lineitems!$D$3:$D$1567,"E1",data_lineitems!$F$3:$F$1567,"2 Gen capital recovery")</f>
        <v/>
      </c>
      <c r="G7" s="77">
        <f>SUMIFS(data_lineitems!$I$3:$I$1567,data_lineitems!$A$3:$A$1567,"UK",data_lineitems!$B$3:$B$1567,2012,data_lineitems!$C$3:$C$1567,"large",data_lineitems!$D$3:$D$1567,"E1",data_lineitems!$F$3:$F$1567,"2 Gen capital recovery")</f>
        <v/>
      </c>
      <c r="H7" s="77">
        <f>SUMIFS(data_lineitems!$I$3:$I$1567,data_lineitems!$A$3:$A$1567,"UK",data_lineitems!$B$3:$B$1567,2013,data_lineitems!$C$3:$C$1567,"large",data_lineitems!$D$3:$D$1567,"E1",data_lineitems!$F$3:$F$1567,"2 Gen capital recovery")</f>
        <v/>
      </c>
      <c r="I7" s="77">
        <f>SUMIFS(data_lineitems!$I$3:$I$1567,data_lineitems!$A$3:$A$1567,"UK",data_lineitems!$B$3:$B$1567,2014,data_lineitems!$C$3:$C$1567,"large",data_lineitems!$D$3:$D$1567,"E1",data_lineitems!$F$3:$F$1567,"2 Gen capital recovery")</f>
        <v/>
      </c>
      <c r="J7" s="77">
        <f>SUMIFS(data_lineitems!$I$3:$I$1567,data_lineitems!$A$3:$A$1567,"UK",data_lineitems!$B$3:$B$1567,2015,data_lineitems!$C$3:$C$1567,"large",data_lineitems!$D$3:$D$1567,"E1",data_lineitems!$F$3:$F$1567,"2 Gen capital recovery")</f>
        <v/>
      </c>
      <c r="K7" s="77">
        <f>SUMIFS(data_lineitems!$I$3:$I$1567,data_lineitems!$A$3:$A$1567,"UK",data_lineitems!$B$3:$B$1567,2016,data_lineitems!$C$3:$C$1567,"large",data_lineitems!$D$3:$D$1567,"E1",data_lineitems!$F$3:$F$1567,"2 Gen capital recovery")</f>
        <v/>
      </c>
      <c r="L7" s="77">
        <f>SUMIFS(data_lineitems!$I$3:$I$1567,data_lineitems!$A$3:$A$1567,"UK",data_lineitems!$B$3:$B$1567,2017,data_lineitems!$C$3:$C$1567,"large",data_lineitems!$D$3:$D$1567,"E1",data_lineitems!$F$3:$F$1567,"2 Gen capital recovery")</f>
        <v/>
      </c>
      <c r="M7" s="77">
        <f>SUMIFS(data_lineitems!$I$3:$I$1567,data_lineitems!$A$3:$A$1567,"UK",data_lineitems!$B$3:$B$1567,2018,data_lineitems!$C$3:$C$1567,"large",data_lineitems!$D$3:$D$1567,"E1",data_lineitems!$F$3:$F$1567,"2 Gen capital recovery")</f>
        <v/>
      </c>
      <c r="N7" s="77">
        <f>SUMIFS(data_lineitems!$I$3:$I$1567,data_lineitems!$A$3:$A$1567,"UK",data_lineitems!$B$3:$B$1567,2019,data_lineitems!$C$3:$C$1567,"large",data_lineitems!$D$3:$D$1567,"E1",data_lineitems!$F$3:$F$1567,"2 Gen capital recovery")</f>
        <v/>
      </c>
      <c r="O7" s="77">
        <f>SUMIFS(data_lineitems!$I$3:$I$1567,data_lineitems!$A$3:$A$1567,"UK",data_lineitems!$B$3:$B$1567,2020,data_lineitems!$C$3:$C$1567,"large",data_lineitems!$D$3:$D$1567,"E1",data_lineitems!$F$3:$F$1567,"2 Gen capital recovery")</f>
        <v/>
      </c>
      <c r="P7" s="77">
        <f>SUMIFS(data_lineitems!$I$3:$I$1567,data_lineitems!$A$3:$A$1567,"UK",data_lineitems!$B$3:$B$1567,2021,data_lineitems!$C$3:$C$1567,"large",data_lineitems!$D$3:$D$1567,"E1",data_lineitems!$F$3:$F$1567,"2 Gen capital recovery")</f>
        <v/>
      </c>
      <c r="Q7" s="77">
        <f>SUMIFS(data_lineitems!$I$3:$I$1567,data_lineitems!$A$3:$A$1567,"UK",data_lineitems!$B$3:$B$1567,2022,data_lineitems!$C$3:$C$1567,"large",data_lineitems!$D$3:$D$1567,"E1",data_lineitems!$F$3:$F$1567,"2 Gen capital recovery")</f>
        <v/>
      </c>
      <c r="R7" s="77">
        <f>SUMIFS(data_lineitems!$I$3:$I$1567,data_lineitems!$A$3:$A$1567,"UK",data_lineitems!$B$3:$B$1567,2023,data_lineitems!$C$3:$C$1567,"large",data_lineitems!$D$3:$D$1567,"E1",data_lineitems!$F$3:$F$1567,"2 Gen capital recovery")</f>
        <v/>
      </c>
      <c r="S7" s="77">
        <f>SUMIFS(data_lineitems!$I$3:$I$1567,data_lineitems!$A$3:$A$1567,"UK",data_lineitems!$B$3:$B$1567,2024,data_lineitems!$C$3:$C$1567,"large",data_lineitems!$D$3:$D$1567,"E1",data_lineitems!$F$3:$F$1567,"2 Gen capital recovery")</f>
        <v/>
      </c>
      <c r="T7" s="77">
        <f>SUMIFS(data_lineitems!$I$3:$I$1567,data_lineitems!$A$3:$A$1567,"UK",data_lineitems!$B$3:$B$1567,2025,data_lineitems!$C$3:$C$1567,"large",data_lineitems!$D$3:$D$1567,"E1",data_lineitems!$F$3:$F$1567,"2 Gen capital recovery")</f>
        <v/>
      </c>
    </row>
    <row r="8" ht="15" customHeight="1" s="78">
      <c r="A8" s="77" t="inlineStr">
        <is>
          <t>UK</t>
        </is>
      </c>
      <c r="B8" s="77" t="inlineStr">
        <is>
          <t>large</t>
        </is>
      </c>
      <c r="C8" s="77" t="inlineStr">
        <is>
          <t>E1</t>
        </is>
      </c>
      <c r="D8" s="77" t="inlineStr">
        <is>
          <t>3 Network</t>
        </is>
      </c>
      <c r="E8" s="77">
        <f>SUMIFS(data_lineitems!$I$3:$I$1567,data_lineitems!$A$3:$A$1567,"UK",data_lineitems!$B$3:$B$1567,2010,data_lineitems!$C$3:$C$1567,"large",data_lineitems!$D$3:$D$1567,"E1",data_lineitems!$F$3:$F$1567,"3 Network")</f>
        <v/>
      </c>
      <c r="F8" s="77">
        <f>SUMIFS(data_lineitems!$I$3:$I$1567,data_lineitems!$A$3:$A$1567,"UK",data_lineitems!$B$3:$B$1567,2011,data_lineitems!$C$3:$C$1567,"large",data_lineitems!$D$3:$D$1567,"E1",data_lineitems!$F$3:$F$1567,"3 Network")</f>
        <v/>
      </c>
      <c r="G8" s="77">
        <f>SUMIFS(data_lineitems!$I$3:$I$1567,data_lineitems!$A$3:$A$1567,"UK",data_lineitems!$B$3:$B$1567,2012,data_lineitems!$C$3:$C$1567,"large",data_lineitems!$D$3:$D$1567,"E1",data_lineitems!$F$3:$F$1567,"3 Network")</f>
        <v/>
      </c>
      <c r="H8" s="77">
        <f>SUMIFS(data_lineitems!$I$3:$I$1567,data_lineitems!$A$3:$A$1567,"UK",data_lineitems!$B$3:$B$1567,2013,data_lineitems!$C$3:$C$1567,"large",data_lineitems!$D$3:$D$1567,"E1",data_lineitems!$F$3:$F$1567,"3 Network")</f>
        <v/>
      </c>
      <c r="I8" s="77">
        <f>SUMIFS(data_lineitems!$I$3:$I$1567,data_lineitems!$A$3:$A$1567,"UK",data_lineitems!$B$3:$B$1567,2014,data_lineitems!$C$3:$C$1567,"large",data_lineitems!$D$3:$D$1567,"E1",data_lineitems!$F$3:$F$1567,"3 Network")</f>
        <v/>
      </c>
      <c r="J8" s="77">
        <f>SUMIFS(data_lineitems!$I$3:$I$1567,data_lineitems!$A$3:$A$1567,"UK",data_lineitems!$B$3:$B$1567,2015,data_lineitems!$C$3:$C$1567,"large",data_lineitems!$D$3:$D$1567,"E1",data_lineitems!$F$3:$F$1567,"3 Network")</f>
        <v/>
      </c>
      <c r="K8" s="77">
        <f>SUMIFS(data_lineitems!$I$3:$I$1567,data_lineitems!$A$3:$A$1567,"UK",data_lineitems!$B$3:$B$1567,2016,data_lineitems!$C$3:$C$1567,"large",data_lineitems!$D$3:$D$1567,"E1",data_lineitems!$F$3:$F$1567,"3 Network")</f>
        <v/>
      </c>
      <c r="L8" s="77">
        <f>SUMIFS(data_lineitems!$I$3:$I$1567,data_lineitems!$A$3:$A$1567,"UK",data_lineitems!$B$3:$B$1567,2017,data_lineitems!$C$3:$C$1567,"large",data_lineitems!$D$3:$D$1567,"E1",data_lineitems!$F$3:$F$1567,"3 Network")</f>
        <v/>
      </c>
      <c r="M8" s="77">
        <f>SUMIFS(data_lineitems!$I$3:$I$1567,data_lineitems!$A$3:$A$1567,"UK",data_lineitems!$B$3:$B$1567,2018,data_lineitems!$C$3:$C$1567,"large",data_lineitems!$D$3:$D$1567,"E1",data_lineitems!$F$3:$F$1567,"3 Network")</f>
        <v/>
      </c>
      <c r="N8" s="77">
        <f>SUMIFS(data_lineitems!$I$3:$I$1567,data_lineitems!$A$3:$A$1567,"UK",data_lineitems!$B$3:$B$1567,2019,data_lineitems!$C$3:$C$1567,"large",data_lineitems!$D$3:$D$1567,"E1",data_lineitems!$F$3:$F$1567,"3 Network")</f>
        <v/>
      </c>
      <c r="O8" s="77">
        <f>SUMIFS(data_lineitems!$I$3:$I$1567,data_lineitems!$A$3:$A$1567,"UK",data_lineitems!$B$3:$B$1567,2020,data_lineitems!$C$3:$C$1567,"large",data_lineitems!$D$3:$D$1567,"E1",data_lineitems!$F$3:$F$1567,"3 Network")</f>
        <v/>
      </c>
      <c r="P8" s="77">
        <f>SUMIFS(data_lineitems!$I$3:$I$1567,data_lineitems!$A$3:$A$1567,"UK",data_lineitems!$B$3:$B$1567,2021,data_lineitems!$C$3:$C$1567,"large",data_lineitems!$D$3:$D$1567,"E1",data_lineitems!$F$3:$F$1567,"3 Network")</f>
        <v/>
      </c>
      <c r="Q8" s="77">
        <f>SUMIFS(data_lineitems!$I$3:$I$1567,data_lineitems!$A$3:$A$1567,"UK",data_lineitems!$B$3:$B$1567,2022,data_lineitems!$C$3:$C$1567,"large",data_lineitems!$D$3:$D$1567,"E1",data_lineitems!$F$3:$F$1567,"3 Network")</f>
        <v/>
      </c>
      <c r="R8" s="77">
        <f>SUMIFS(data_lineitems!$I$3:$I$1567,data_lineitems!$A$3:$A$1567,"UK",data_lineitems!$B$3:$B$1567,2023,data_lineitems!$C$3:$C$1567,"large",data_lineitems!$D$3:$D$1567,"E1",data_lineitems!$F$3:$F$1567,"3 Network")</f>
        <v/>
      </c>
      <c r="S8" s="77">
        <f>SUMIFS(data_lineitems!$I$3:$I$1567,data_lineitems!$A$3:$A$1567,"UK",data_lineitems!$B$3:$B$1567,2024,data_lineitems!$C$3:$C$1567,"large",data_lineitems!$D$3:$D$1567,"E1",data_lineitems!$F$3:$F$1567,"3 Network")</f>
        <v/>
      </c>
      <c r="T8" s="77">
        <f>SUMIFS(data_lineitems!$I$3:$I$1567,data_lineitems!$A$3:$A$1567,"UK",data_lineitems!$B$3:$B$1567,2025,data_lineitems!$C$3:$C$1567,"large",data_lineitems!$D$3:$D$1567,"E1",data_lineitems!$F$3:$F$1567,"3 Network")</f>
        <v/>
      </c>
    </row>
    <row r="9" ht="15" customHeight="1" s="78">
      <c r="A9" s="77" t="inlineStr">
        <is>
          <t>UK</t>
        </is>
      </c>
      <c r="B9" s="77" t="inlineStr">
        <is>
          <t>large</t>
        </is>
      </c>
      <c r="C9" s="77" t="inlineStr">
        <is>
          <t>E1</t>
        </is>
      </c>
      <c r="D9" s="77" t="inlineStr">
        <is>
          <t>4 System services &amp; balancing</t>
        </is>
      </c>
      <c r="E9" s="77">
        <f>SUMIFS(data_lineitems!$I$3:$I$1567,data_lineitems!$A$3:$A$1567,"UK",data_lineitems!$B$3:$B$1567,2010,data_lineitems!$C$3:$C$1567,"large",data_lineitems!$D$3:$D$1567,"E1",data_lineitems!$F$3:$F$1567,"4 System services &amp; balancing")</f>
        <v/>
      </c>
      <c r="F9" s="77">
        <f>SUMIFS(data_lineitems!$I$3:$I$1567,data_lineitems!$A$3:$A$1567,"UK",data_lineitems!$B$3:$B$1567,2011,data_lineitems!$C$3:$C$1567,"large",data_lineitems!$D$3:$D$1567,"E1",data_lineitems!$F$3:$F$1567,"4 System services &amp; balancing")</f>
        <v/>
      </c>
      <c r="G9" s="77">
        <f>SUMIFS(data_lineitems!$I$3:$I$1567,data_lineitems!$A$3:$A$1567,"UK",data_lineitems!$B$3:$B$1567,2012,data_lineitems!$C$3:$C$1567,"large",data_lineitems!$D$3:$D$1567,"E1",data_lineitems!$F$3:$F$1567,"4 System services &amp; balancing")</f>
        <v/>
      </c>
      <c r="H9" s="77">
        <f>SUMIFS(data_lineitems!$I$3:$I$1567,data_lineitems!$A$3:$A$1567,"UK",data_lineitems!$B$3:$B$1567,2013,data_lineitems!$C$3:$C$1567,"large",data_lineitems!$D$3:$D$1567,"E1",data_lineitems!$F$3:$F$1567,"4 System services &amp; balancing")</f>
        <v/>
      </c>
      <c r="I9" s="77">
        <f>SUMIFS(data_lineitems!$I$3:$I$1567,data_lineitems!$A$3:$A$1567,"UK",data_lineitems!$B$3:$B$1567,2014,data_lineitems!$C$3:$C$1567,"large",data_lineitems!$D$3:$D$1567,"E1",data_lineitems!$F$3:$F$1567,"4 System services &amp; balancing")</f>
        <v/>
      </c>
      <c r="J9" s="77">
        <f>SUMIFS(data_lineitems!$I$3:$I$1567,data_lineitems!$A$3:$A$1567,"UK",data_lineitems!$B$3:$B$1567,2015,data_lineitems!$C$3:$C$1567,"large",data_lineitems!$D$3:$D$1567,"E1",data_lineitems!$F$3:$F$1567,"4 System services &amp; balancing")</f>
        <v/>
      </c>
      <c r="K9" s="77">
        <f>SUMIFS(data_lineitems!$I$3:$I$1567,data_lineitems!$A$3:$A$1567,"UK",data_lineitems!$B$3:$B$1567,2016,data_lineitems!$C$3:$C$1567,"large",data_lineitems!$D$3:$D$1567,"E1",data_lineitems!$F$3:$F$1567,"4 System services &amp; balancing")</f>
        <v/>
      </c>
      <c r="L9" s="77">
        <f>SUMIFS(data_lineitems!$I$3:$I$1567,data_lineitems!$A$3:$A$1567,"UK",data_lineitems!$B$3:$B$1567,2017,data_lineitems!$C$3:$C$1567,"large",data_lineitems!$D$3:$D$1567,"E1",data_lineitems!$F$3:$F$1567,"4 System services &amp; balancing")</f>
        <v/>
      </c>
      <c r="M9" s="77">
        <f>SUMIFS(data_lineitems!$I$3:$I$1567,data_lineitems!$A$3:$A$1567,"UK",data_lineitems!$B$3:$B$1567,2018,data_lineitems!$C$3:$C$1567,"large",data_lineitems!$D$3:$D$1567,"E1",data_lineitems!$F$3:$F$1567,"4 System services &amp; balancing")</f>
        <v/>
      </c>
      <c r="N9" s="77">
        <f>SUMIFS(data_lineitems!$I$3:$I$1567,data_lineitems!$A$3:$A$1567,"UK",data_lineitems!$B$3:$B$1567,2019,data_lineitems!$C$3:$C$1567,"large",data_lineitems!$D$3:$D$1567,"E1",data_lineitems!$F$3:$F$1567,"4 System services &amp; balancing")</f>
        <v/>
      </c>
      <c r="O9" s="77">
        <f>SUMIFS(data_lineitems!$I$3:$I$1567,data_lineitems!$A$3:$A$1567,"UK",data_lineitems!$B$3:$B$1567,2020,data_lineitems!$C$3:$C$1567,"large",data_lineitems!$D$3:$D$1567,"E1",data_lineitems!$F$3:$F$1567,"4 System services &amp; balancing")</f>
        <v/>
      </c>
      <c r="P9" s="77">
        <f>SUMIFS(data_lineitems!$I$3:$I$1567,data_lineitems!$A$3:$A$1567,"UK",data_lineitems!$B$3:$B$1567,2021,data_lineitems!$C$3:$C$1567,"large",data_lineitems!$D$3:$D$1567,"E1",data_lineitems!$F$3:$F$1567,"4 System services &amp; balancing")</f>
        <v/>
      </c>
      <c r="Q9" s="77">
        <f>SUMIFS(data_lineitems!$I$3:$I$1567,data_lineitems!$A$3:$A$1567,"UK",data_lineitems!$B$3:$B$1567,2022,data_lineitems!$C$3:$C$1567,"large",data_lineitems!$D$3:$D$1567,"E1",data_lineitems!$F$3:$F$1567,"4 System services &amp; balancing")</f>
        <v/>
      </c>
      <c r="R9" s="77">
        <f>SUMIFS(data_lineitems!$I$3:$I$1567,data_lineitems!$A$3:$A$1567,"UK",data_lineitems!$B$3:$B$1567,2023,data_lineitems!$C$3:$C$1567,"large",data_lineitems!$D$3:$D$1567,"E1",data_lineitems!$F$3:$F$1567,"4 System services &amp; balancing")</f>
        <v/>
      </c>
      <c r="S9" s="77">
        <f>SUMIFS(data_lineitems!$I$3:$I$1567,data_lineitems!$A$3:$A$1567,"UK",data_lineitems!$B$3:$B$1567,2024,data_lineitems!$C$3:$C$1567,"large",data_lineitems!$D$3:$D$1567,"E1",data_lineitems!$F$3:$F$1567,"4 System services &amp; balancing")</f>
        <v/>
      </c>
      <c r="T9" s="77">
        <f>SUMIFS(data_lineitems!$I$3:$I$1567,data_lineitems!$A$3:$A$1567,"UK",data_lineitems!$B$3:$B$1567,2025,data_lineitems!$C$3:$C$1567,"large",data_lineitems!$D$3:$D$1567,"E1",data_lineitems!$F$3:$F$1567,"4 System services &amp; balancing")</f>
        <v/>
      </c>
    </row>
    <row r="10" ht="15" customHeight="1" s="78">
      <c r="A10" s="77" t="inlineStr">
        <is>
          <t>UK</t>
        </is>
      </c>
      <c r="B10" s="77" t="inlineStr">
        <is>
          <t>large</t>
        </is>
      </c>
      <c r="C10" s="77" t="inlineStr">
        <is>
          <t>E1</t>
        </is>
      </c>
      <c r="D10" s="77" t="inlineStr">
        <is>
          <t>5 General taxation &amp; levies</t>
        </is>
      </c>
      <c r="E10" s="77">
        <f>SUMIFS(data_lineitems!$I$3:$I$1567,data_lineitems!$A$3:$A$1567,"UK",data_lineitems!$B$3:$B$1567,2010,data_lineitems!$C$3:$C$1567,"large",data_lineitems!$D$3:$D$1567,"E1",data_lineitems!$F$3:$F$1567,"5 General taxation &amp; levies")</f>
        <v/>
      </c>
      <c r="F10" s="77">
        <f>SUMIFS(data_lineitems!$I$3:$I$1567,data_lineitems!$A$3:$A$1567,"UK",data_lineitems!$B$3:$B$1567,2011,data_lineitems!$C$3:$C$1567,"large",data_lineitems!$D$3:$D$1567,"E1",data_lineitems!$F$3:$F$1567,"5 General taxation &amp; levies")</f>
        <v/>
      </c>
      <c r="G10" s="77">
        <f>SUMIFS(data_lineitems!$I$3:$I$1567,data_lineitems!$A$3:$A$1567,"UK",data_lineitems!$B$3:$B$1567,2012,data_lineitems!$C$3:$C$1567,"large",data_lineitems!$D$3:$D$1567,"E1",data_lineitems!$F$3:$F$1567,"5 General taxation &amp; levies")</f>
        <v/>
      </c>
      <c r="H10" s="77">
        <f>SUMIFS(data_lineitems!$I$3:$I$1567,data_lineitems!$A$3:$A$1567,"UK",data_lineitems!$B$3:$B$1567,2013,data_lineitems!$C$3:$C$1567,"large",data_lineitems!$D$3:$D$1567,"E1",data_lineitems!$F$3:$F$1567,"5 General taxation &amp; levies")</f>
        <v/>
      </c>
      <c r="I10" s="77">
        <f>SUMIFS(data_lineitems!$I$3:$I$1567,data_lineitems!$A$3:$A$1567,"UK",data_lineitems!$B$3:$B$1567,2014,data_lineitems!$C$3:$C$1567,"large",data_lineitems!$D$3:$D$1567,"E1",data_lineitems!$F$3:$F$1567,"5 General taxation &amp; levies")</f>
        <v/>
      </c>
      <c r="J10" s="77">
        <f>SUMIFS(data_lineitems!$I$3:$I$1567,data_lineitems!$A$3:$A$1567,"UK",data_lineitems!$B$3:$B$1567,2015,data_lineitems!$C$3:$C$1567,"large",data_lineitems!$D$3:$D$1567,"E1",data_lineitems!$F$3:$F$1567,"5 General taxation &amp; levies")</f>
        <v/>
      </c>
      <c r="K10" s="77">
        <f>SUMIFS(data_lineitems!$I$3:$I$1567,data_lineitems!$A$3:$A$1567,"UK",data_lineitems!$B$3:$B$1567,2016,data_lineitems!$C$3:$C$1567,"large",data_lineitems!$D$3:$D$1567,"E1",data_lineitems!$F$3:$F$1567,"5 General taxation &amp; levies")</f>
        <v/>
      </c>
      <c r="L10" s="77">
        <f>SUMIFS(data_lineitems!$I$3:$I$1567,data_lineitems!$A$3:$A$1567,"UK",data_lineitems!$B$3:$B$1567,2017,data_lineitems!$C$3:$C$1567,"large",data_lineitems!$D$3:$D$1567,"E1",data_lineitems!$F$3:$F$1567,"5 General taxation &amp; levies")</f>
        <v/>
      </c>
      <c r="M10" s="77">
        <f>SUMIFS(data_lineitems!$I$3:$I$1567,data_lineitems!$A$3:$A$1567,"UK",data_lineitems!$B$3:$B$1567,2018,data_lineitems!$C$3:$C$1567,"large",data_lineitems!$D$3:$D$1567,"E1",data_lineitems!$F$3:$F$1567,"5 General taxation &amp; levies")</f>
        <v/>
      </c>
      <c r="N10" s="77">
        <f>SUMIFS(data_lineitems!$I$3:$I$1567,data_lineitems!$A$3:$A$1567,"UK",data_lineitems!$B$3:$B$1567,2019,data_lineitems!$C$3:$C$1567,"large",data_lineitems!$D$3:$D$1567,"E1",data_lineitems!$F$3:$F$1567,"5 General taxation &amp; levies")</f>
        <v/>
      </c>
      <c r="O10" s="77">
        <f>SUMIFS(data_lineitems!$I$3:$I$1567,data_lineitems!$A$3:$A$1567,"UK",data_lineitems!$B$3:$B$1567,2020,data_lineitems!$C$3:$C$1567,"large",data_lineitems!$D$3:$D$1567,"E1",data_lineitems!$F$3:$F$1567,"5 General taxation &amp; levies")</f>
        <v/>
      </c>
      <c r="P10" s="77">
        <f>SUMIFS(data_lineitems!$I$3:$I$1567,data_lineitems!$A$3:$A$1567,"UK",data_lineitems!$B$3:$B$1567,2021,data_lineitems!$C$3:$C$1567,"large",data_lineitems!$D$3:$D$1567,"E1",data_lineitems!$F$3:$F$1567,"5 General taxation &amp; levies")</f>
        <v/>
      </c>
      <c r="Q10" s="77">
        <f>SUMIFS(data_lineitems!$I$3:$I$1567,data_lineitems!$A$3:$A$1567,"UK",data_lineitems!$B$3:$B$1567,2022,data_lineitems!$C$3:$C$1567,"large",data_lineitems!$D$3:$D$1567,"E1",data_lineitems!$F$3:$F$1567,"5 General taxation &amp; levies")</f>
        <v/>
      </c>
      <c r="R10" s="77">
        <f>SUMIFS(data_lineitems!$I$3:$I$1567,data_lineitems!$A$3:$A$1567,"UK",data_lineitems!$B$3:$B$1567,2023,data_lineitems!$C$3:$C$1567,"large",data_lineitems!$D$3:$D$1567,"E1",data_lineitems!$F$3:$F$1567,"5 General taxation &amp; levies")</f>
        <v/>
      </c>
      <c r="S10" s="77">
        <f>SUMIFS(data_lineitems!$I$3:$I$1567,data_lineitems!$A$3:$A$1567,"UK",data_lineitems!$B$3:$B$1567,2024,data_lineitems!$C$3:$C$1567,"large",data_lineitems!$D$3:$D$1567,"E1",data_lineitems!$F$3:$F$1567,"5 General taxation &amp; levies")</f>
        <v/>
      </c>
      <c r="T10" s="77">
        <f>SUMIFS(data_lineitems!$I$3:$I$1567,data_lineitems!$A$3:$A$1567,"UK",data_lineitems!$B$3:$B$1567,2025,data_lineitems!$C$3:$C$1567,"large",data_lineitems!$D$3:$D$1567,"E1",data_lineitems!$F$3:$F$1567,"5 General taxation &amp; levies")</f>
        <v/>
      </c>
    </row>
    <row r="11" ht="15" customHeight="1" s="78">
      <c r="A11" s="77" t="inlineStr">
        <is>
          <t>UK</t>
        </is>
      </c>
      <c r="B11" s="77" t="inlineStr">
        <is>
          <t>large</t>
        </is>
      </c>
      <c r="C11" s="77" t="inlineStr">
        <is>
          <t>E1</t>
        </is>
      </c>
      <c r="D11" s="77" t="inlineStr">
        <is>
          <t>TOTAL modelled (sum buckets)</t>
        </is>
      </c>
      <c r="E11" s="77">
        <f>SUM(E6:E10)</f>
        <v/>
      </c>
      <c r="F11" s="77">
        <f>SUM(F6:F10)</f>
        <v/>
      </c>
      <c r="G11" s="77">
        <f>SUM(G6:G10)</f>
        <v/>
      </c>
      <c r="H11" s="77">
        <f>SUM(H6:H10)</f>
        <v/>
      </c>
      <c r="I11" s="77">
        <f>SUM(I6:I10)</f>
        <v/>
      </c>
      <c r="J11" s="77">
        <f>SUM(J6:J10)</f>
        <v/>
      </c>
      <c r="K11" s="77">
        <f>SUM(K6:K10)</f>
        <v/>
      </c>
      <c r="L11" s="77">
        <f>SUM(L6:L10)</f>
        <v/>
      </c>
      <c r="M11" s="77">
        <f>SUM(M6:M10)</f>
        <v/>
      </c>
      <c r="N11" s="77">
        <f>SUM(N6:N10)</f>
        <v/>
      </c>
      <c r="O11" s="77">
        <f>SUM(O6:O10)</f>
        <v/>
      </c>
      <c r="P11" s="77">
        <f>SUM(P6:P10)</f>
        <v/>
      </c>
      <c r="Q11" s="77">
        <f>SUM(Q6:Q10)</f>
        <v/>
      </c>
      <c r="R11" s="77">
        <f>SUM(R6:R10)</f>
        <v/>
      </c>
      <c r="S11" s="77">
        <f>SUM(S6:S10)</f>
        <v/>
      </c>
      <c r="T11" s="77">
        <f>SUM(T6:T10)</f>
        <v/>
      </c>
    </row>
    <row r="12" ht="15" customHeight="1" s="78">
      <c r="A12" s="77" t="inlineStr">
        <is>
          <t>UK</t>
        </is>
      </c>
      <c r="B12" s="77" t="inlineStr">
        <is>
          <t>large</t>
        </is>
      </c>
      <c r="C12" s="77" t="inlineStr">
        <is>
          <t>E1</t>
        </is>
      </c>
      <c r="D12" s="77" t="inlineStr">
        <is>
          <t>REFERENCE — timeseries USD r74</t>
        </is>
      </c>
      <c r="E12" s="136">
        <f>IF(ISNUMBER(timeseries!D74),timeseries!D74,"")</f>
        <v/>
      </c>
      <c r="F12" s="136">
        <f>IF(ISNUMBER(timeseries!E74),timeseries!E74,"")</f>
        <v/>
      </c>
      <c r="G12" s="136">
        <f>IF(ISNUMBER(timeseries!F74),timeseries!F74,"")</f>
        <v/>
      </c>
      <c r="H12" s="136">
        <f>IF(ISNUMBER(timeseries!G74),timeseries!G74,"")</f>
        <v/>
      </c>
      <c r="I12" s="136">
        <f>IF(ISNUMBER(timeseries!H74),timeseries!H74,"")</f>
        <v/>
      </c>
      <c r="J12" s="136">
        <f>IF(ISNUMBER(timeseries!I74),timeseries!I74,"")</f>
        <v/>
      </c>
      <c r="K12" s="136">
        <f>IF(ISNUMBER(timeseries!J74),timeseries!J74,"")</f>
        <v/>
      </c>
      <c r="L12" s="136">
        <f>IF(ISNUMBER(timeseries!K74),timeseries!K74,"")</f>
        <v/>
      </c>
      <c r="M12" s="136">
        <f>IF(ISNUMBER(timeseries!L74),timeseries!L74,"")</f>
        <v/>
      </c>
      <c r="N12" s="136">
        <f>IF(ISNUMBER(timeseries!M74),timeseries!M74,"")</f>
        <v/>
      </c>
      <c r="O12" s="136">
        <f>IF(ISNUMBER(timeseries!N74),timeseries!N74,"")</f>
        <v/>
      </c>
      <c r="P12" s="136">
        <f>IF(ISNUMBER(timeseries!O74),timeseries!O74,"")</f>
        <v/>
      </c>
      <c r="Q12" s="136">
        <f>IF(ISNUMBER(timeseries!P74),timeseries!P74,"")</f>
        <v/>
      </c>
      <c r="R12" s="136">
        <f>IF(ISNUMBER(timeseries!Q74),timeseries!Q74,"")</f>
        <v/>
      </c>
      <c r="S12" s="136">
        <f>IF(ISNUMBER(timeseries!R74),timeseries!R74,"")</f>
        <v/>
      </c>
      <c r="T12" s="136">
        <f>IF(ISNUMBER(timeseries!S74),timeseries!S74,"")</f>
        <v/>
      </c>
    </row>
    <row r="13" ht="15" customHeight="1" s="78">
      <c r="A13" s="77" t="inlineStr">
        <is>
          <t>UK</t>
        </is>
      </c>
      <c r="B13" s="77" t="inlineStr">
        <is>
          <t>large</t>
        </is>
      </c>
      <c r="C13" s="77" t="inlineStr">
        <is>
          <t>E1</t>
        </is>
      </c>
      <c r="D13" s="77" t="inlineStr">
        <is>
          <t>RECONCILIATION (total/ref - 1)</t>
        </is>
      </c>
      <c r="E13" s="77">
        <f>IF(AND(ISNUMBER(E12),E12&lt;&gt;0,ISNUMBER(E11)),E11/E12-1,"n/a")</f>
        <v/>
      </c>
      <c r="F13" s="77">
        <f>IF(AND(ISNUMBER(F12),F12&lt;&gt;0,ISNUMBER(F11)),F11/F12-1,"n/a")</f>
        <v/>
      </c>
      <c r="G13" s="77">
        <f>IF(AND(ISNUMBER(G12),G12&lt;&gt;0,ISNUMBER(G11)),G11/G12-1,"n/a")</f>
        <v/>
      </c>
      <c r="H13" s="77">
        <f>IF(AND(ISNUMBER(H12),H12&lt;&gt;0,ISNUMBER(H11)),H11/H12-1,"n/a")</f>
        <v/>
      </c>
      <c r="I13" s="77">
        <f>IF(AND(ISNUMBER(I12),I12&lt;&gt;0,ISNUMBER(I11)),I11/I12-1,"n/a")</f>
        <v/>
      </c>
      <c r="J13" s="77">
        <f>IF(AND(ISNUMBER(J12),J12&lt;&gt;0,ISNUMBER(J11)),J11/J12-1,"n/a")</f>
        <v/>
      </c>
      <c r="K13" s="77">
        <f>IF(AND(ISNUMBER(K12),K12&lt;&gt;0,ISNUMBER(K11)),K11/K12-1,"n/a")</f>
        <v/>
      </c>
      <c r="L13" s="77">
        <f>IF(AND(ISNUMBER(L12),L12&lt;&gt;0,ISNUMBER(L11)),L11/L12-1,"n/a")</f>
        <v/>
      </c>
      <c r="M13" s="77">
        <f>IF(AND(ISNUMBER(M12),M12&lt;&gt;0,ISNUMBER(M11)),M11/M12-1,"n/a")</f>
        <v/>
      </c>
      <c r="N13" s="77">
        <f>IF(AND(ISNUMBER(N12),N12&lt;&gt;0,ISNUMBER(N11)),N11/N12-1,"n/a")</f>
        <v/>
      </c>
      <c r="O13" s="77">
        <f>IF(AND(ISNUMBER(O12),O12&lt;&gt;0,ISNUMBER(O11)),O11/O12-1,"n/a")</f>
        <v/>
      </c>
      <c r="P13" s="77">
        <f>IF(AND(ISNUMBER(P12),P12&lt;&gt;0,ISNUMBER(P11)),P11/P12-1,"n/a")</f>
        <v/>
      </c>
      <c r="Q13" s="77">
        <f>IF(AND(ISNUMBER(Q12),Q12&lt;&gt;0,ISNUMBER(Q11)),Q11/Q12-1,"n/a")</f>
        <v/>
      </c>
      <c r="R13" s="77">
        <f>IF(AND(ISNUMBER(R12),R12&lt;&gt;0,ISNUMBER(R11)),R11/R12-1,"n/a")</f>
        <v/>
      </c>
      <c r="S13" s="77">
        <f>IF(AND(ISNUMBER(S12),S12&lt;&gt;0,ISNUMBER(S11)),S11/S12-1,"n/a")</f>
        <v/>
      </c>
      <c r="T13" s="77">
        <f>IF(AND(ISNUMBER(T12),T12&lt;&gt;0,ISNUMBER(T11)),T11/T12-1,"n/a")</f>
        <v/>
      </c>
    </row>
    <row r="14" ht="15" customHeight="1" s="78">
      <c r="A14" s="77" t="inlineStr">
        <is>
          <t>UK</t>
        </is>
      </c>
      <c r="B14" s="77" t="inlineStr">
        <is>
          <t>large</t>
        </is>
      </c>
      <c r="C14" s="77" t="inlineStr">
        <is>
          <t>E1</t>
        </is>
      </c>
      <c r="D14" s="77" t="inlineStr">
        <is>
          <t>GATE +/-2 pct</t>
        </is>
      </c>
      <c r="E14" s="77">
        <f>IF(ISNUMBER(E13),IF(ABS(E13)&lt;=0.02,"PASS","FAIL"),"n/a")</f>
        <v/>
      </c>
      <c r="F14" s="77">
        <f>IF(ISNUMBER(F13),IF(ABS(F13)&lt;=0.02,"PASS","FAIL"),"n/a")</f>
        <v/>
      </c>
      <c r="G14" s="77">
        <f>IF(ISNUMBER(G13),IF(ABS(G13)&lt;=0.02,"PASS","FAIL"),"n/a")</f>
        <v/>
      </c>
      <c r="H14" s="77">
        <f>IF(ISNUMBER(H13),IF(ABS(H13)&lt;=0.02,"PASS","FAIL"),"n/a")</f>
        <v/>
      </c>
      <c r="I14" s="77">
        <f>IF(ISNUMBER(I13),IF(ABS(I13)&lt;=0.02,"PASS","FAIL"),"n/a")</f>
        <v/>
      </c>
      <c r="J14" s="77">
        <f>IF(ISNUMBER(J13),IF(ABS(J13)&lt;=0.02,"PASS","FAIL"),"n/a")</f>
        <v/>
      </c>
      <c r="K14" s="77">
        <f>IF(ISNUMBER(K13),IF(ABS(K13)&lt;=0.02,"PASS","FAIL"),"n/a")</f>
        <v/>
      </c>
      <c r="L14" s="77">
        <f>IF(ISNUMBER(L13),IF(ABS(L13)&lt;=0.02,"PASS","FAIL"),"n/a")</f>
        <v/>
      </c>
      <c r="M14" s="77">
        <f>IF(ISNUMBER(M13),IF(ABS(M13)&lt;=0.02,"PASS","FAIL"),"n/a")</f>
        <v/>
      </c>
      <c r="N14" s="77">
        <f>IF(ISNUMBER(N13),IF(ABS(N13)&lt;=0.02,"PASS","FAIL"),"n/a")</f>
        <v/>
      </c>
      <c r="O14" s="77">
        <f>IF(ISNUMBER(O13),IF(ABS(O13)&lt;=0.02,"PASS","FAIL"),"n/a")</f>
        <v/>
      </c>
      <c r="P14" s="77">
        <f>IF(ISNUMBER(P13),IF(ABS(P13)&lt;=0.02,"PASS","FAIL"),"n/a")</f>
        <v/>
      </c>
      <c r="Q14" s="77">
        <f>IF(ISNUMBER(Q13),IF(ABS(Q13)&lt;=0.02,"PASS","FAIL"),"n/a")</f>
        <v/>
      </c>
      <c r="R14" s="77">
        <f>IF(ISNUMBER(R13),IF(ABS(R13)&lt;=0.02,"PASS","FAIL"),"n/a")</f>
        <v/>
      </c>
      <c r="S14" s="77">
        <f>IF(ISNUMBER(S13),IF(ABS(S13)&lt;=0.02,"PASS","FAIL"),"n/a")</f>
        <v/>
      </c>
      <c r="T14" s="77">
        <f>IF(ISNUMBER(T13),IF(ABS(T13)&lt;=0.02,"PASS","FAIL"),"n/a")</f>
        <v/>
      </c>
    </row>
    <row r="16" ht="15" customHeight="1" s="78">
      <c r="A16" s="77" t="inlineStr">
        <is>
          <t>UK</t>
        </is>
      </c>
      <c r="B16" s="77" t="inlineStr">
        <is>
          <t>large</t>
        </is>
      </c>
      <c r="C16" s="77" t="inlineStr">
        <is>
          <t>E2</t>
        </is>
      </c>
      <c r="D16" s="77" t="inlineStr">
        <is>
          <t>leg header</t>
        </is>
      </c>
    </row>
    <row r="17" ht="15" customHeight="1" s="78">
      <c r="A17" s="77" t="inlineStr">
        <is>
          <t>UK</t>
        </is>
      </c>
      <c r="B17" s="77" t="inlineStr">
        <is>
          <t>large</t>
        </is>
      </c>
      <c r="C17" s="77" t="inlineStr">
        <is>
          <t>E2</t>
        </is>
      </c>
      <c r="D17" s="77" t="inlineStr">
        <is>
          <t>1 Commodity</t>
        </is>
      </c>
      <c r="E17" s="77">
        <f>SUMIFS(data_lineitems!$I$3:$I$1567,data_lineitems!$A$3:$A$1567,"UK",data_lineitems!$B$3:$B$1567,2010,data_lineitems!$C$3:$C$1567,"large",data_lineitems!$D$3:$D$1567,"E2",data_lineitems!$F$3:$F$1567,"1 Commodity")</f>
        <v/>
      </c>
      <c r="F17" s="77">
        <f>SUMIFS(data_lineitems!$I$3:$I$1567,data_lineitems!$A$3:$A$1567,"UK",data_lineitems!$B$3:$B$1567,2011,data_lineitems!$C$3:$C$1567,"large",data_lineitems!$D$3:$D$1567,"E2",data_lineitems!$F$3:$F$1567,"1 Commodity")</f>
        <v/>
      </c>
      <c r="G17" s="77">
        <f>SUMIFS(data_lineitems!$I$3:$I$1567,data_lineitems!$A$3:$A$1567,"UK",data_lineitems!$B$3:$B$1567,2012,data_lineitems!$C$3:$C$1567,"large",data_lineitems!$D$3:$D$1567,"E2",data_lineitems!$F$3:$F$1567,"1 Commodity")</f>
        <v/>
      </c>
      <c r="H17" s="77">
        <f>SUMIFS(data_lineitems!$I$3:$I$1567,data_lineitems!$A$3:$A$1567,"UK",data_lineitems!$B$3:$B$1567,2013,data_lineitems!$C$3:$C$1567,"large",data_lineitems!$D$3:$D$1567,"E2",data_lineitems!$F$3:$F$1567,"1 Commodity")</f>
        <v/>
      </c>
      <c r="I17" s="77">
        <f>SUMIFS(data_lineitems!$I$3:$I$1567,data_lineitems!$A$3:$A$1567,"UK",data_lineitems!$B$3:$B$1567,2014,data_lineitems!$C$3:$C$1567,"large",data_lineitems!$D$3:$D$1567,"E2",data_lineitems!$F$3:$F$1567,"1 Commodity")</f>
        <v/>
      </c>
      <c r="J17" s="77">
        <f>SUMIFS(data_lineitems!$I$3:$I$1567,data_lineitems!$A$3:$A$1567,"UK",data_lineitems!$B$3:$B$1567,2015,data_lineitems!$C$3:$C$1567,"large",data_lineitems!$D$3:$D$1567,"E2",data_lineitems!$F$3:$F$1567,"1 Commodity")</f>
        <v/>
      </c>
      <c r="K17" s="77">
        <f>SUMIFS(data_lineitems!$I$3:$I$1567,data_lineitems!$A$3:$A$1567,"UK",data_lineitems!$B$3:$B$1567,2016,data_lineitems!$C$3:$C$1567,"large",data_lineitems!$D$3:$D$1567,"E2",data_lineitems!$F$3:$F$1567,"1 Commodity")</f>
        <v/>
      </c>
      <c r="L17" s="77">
        <f>SUMIFS(data_lineitems!$I$3:$I$1567,data_lineitems!$A$3:$A$1567,"UK",data_lineitems!$B$3:$B$1567,2017,data_lineitems!$C$3:$C$1567,"large",data_lineitems!$D$3:$D$1567,"E2",data_lineitems!$F$3:$F$1567,"1 Commodity")</f>
        <v/>
      </c>
      <c r="M17" s="77">
        <f>SUMIFS(data_lineitems!$I$3:$I$1567,data_lineitems!$A$3:$A$1567,"UK",data_lineitems!$B$3:$B$1567,2018,data_lineitems!$C$3:$C$1567,"large",data_lineitems!$D$3:$D$1567,"E2",data_lineitems!$F$3:$F$1567,"1 Commodity")</f>
        <v/>
      </c>
      <c r="N17" s="77">
        <f>SUMIFS(data_lineitems!$I$3:$I$1567,data_lineitems!$A$3:$A$1567,"UK",data_lineitems!$B$3:$B$1567,2019,data_lineitems!$C$3:$C$1567,"large",data_lineitems!$D$3:$D$1567,"E2",data_lineitems!$F$3:$F$1567,"1 Commodity")</f>
        <v/>
      </c>
      <c r="O17" s="77">
        <f>SUMIFS(data_lineitems!$I$3:$I$1567,data_lineitems!$A$3:$A$1567,"UK",data_lineitems!$B$3:$B$1567,2020,data_lineitems!$C$3:$C$1567,"large",data_lineitems!$D$3:$D$1567,"E2",data_lineitems!$F$3:$F$1567,"1 Commodity")</f>
        <v/>
      </c>
      <c r="P17" s="77">
        <f>SUMIFS(data_lineitems!$I$3:$I$1567,data_lineitems!$A$3:$A$1567,"UK",data_lineitems!$B$3:$B$1567,2021,data_lineitems!$C$3:$C$1567,"large",data_lineitems!$D$3:$D$1567,"E2",data_lineitems!$F$3:$F$1567,"1 Commodity")</f>
        <v/>
      </c>
      <c r="Q17" s="77">
        <f>SUMIFS(data_lineitems!$I$3:$I$1567,data_lineitems!$A$3:$A$1567,"UK",data_lineitems!$B$3:$B$1567,2022,data_lineitems!$C$3:$C$1567,"large",data_lineitems!$D$3:$D$1567,"E2",data_lineitems!$F$3:$F$1567,"1 Commodity")</f>
        <v/>
      </c>
      <c r="R17" s="77">
        <f>SUMIFS(data_lineitems!$I$3:$I$1567,data_lineitems!$A$3:$A$1567,"UK",data_lineitems!$B$3:$B$1567,2023,data_lineitems!$C$3:$C$1567,"large",data_lineitems!$D$3:$D$1567,"E2",data_lineitems!$F$3:$F$1567,"1 Commodity")</f>
        <v/>
      </c>
      <c r="S17" s="77">
        <f>SUMIFS(data_lineitems!$I$3:$I$1567,data_lineitems!$A$3:$A$1567,"UK",data_lineitems!$B$3:$B$1567,2024,data_lineitems!$C$3:$C$1567,"large",data_lineitems!$D$3:$D$1567,"E2",data_lineitems!$F$3:$F$1567,"1 Commodity")</f>
        <v/>
      </c>
      <c r="T17" s="77">
        <f>SUMIFS(data_lineitems!$I$3:$I$1567,data_lineitems!$A$3:$A$1567,"UK",data_lineitems!$B$3:$B$1567,2025,data_lineitems!$C$3:$C$1567,"large",data_lineitems!$D$3:$D$1567,"E2",data_lineitems!$F$3:$F$1567,"1 Commodity")</f>
        <v/>
      </c>
    </row>
    <row r="18" ht="15" customHeight="1" s="78">
      <c r="A18" s="77" t="inlineStr">
        <is>
          <t>UK</t>
        </is>
      </c>
      <c r="B18" s="77" t="inlineStr">
        <is>
          <t>large</t>
        </is>
      </c>
      <c r="C18" s="77" t="inlineStr">
        <is>
          <t>E2</t>
        </is>
      </c>
      <c r="D18" s="77" t="inlineStr">
        <is>
          <t>2 Gen capital recovery</t>
        </is>
      </c>
      <c r="E18" s="77">
        <f>SUMIFS(data_lineitems!$I$3:$I$1567,data_lineitems!$A$3:$A$1567,"UK",data_lineitems!$B$3:$B$1567,2010,data_lineitems!$C$3:$C$1567,"large",data_lineitems!$D$3:$D$1567,"E2",data_lineitems!$F$3:$F$1567,"2 Gen capital recovery")</f>
        <v/>
      </c>
      <c r="F18" s="77">
        <f>SUMIFS(data_lineitems!$I$3:$I$1567,data_lineitems!$A$3:$A$1567,"UK",data_lineitems!$B$3:$B$1567,2011,data_lineitems!$C$3:$C$1567,"large",data_lineitems!$D$3:$D$1567,"E2",data_lineitems!$F$3:$F$1567,"2 Gen capital recovery")</f>
        <v/>
      </c>
      <c r="G18" s="77">
        <f>SUMIFS(data_lineitems!$I$3:$I$1567,data_lineitems!$A$3:$A$1567,"UK",data_lineitems!$B$3:$B$1567,2012,data_lineitems!$C$3:$C$1567,"large",data_lineitems!$D$3:$D$1567,"E2",data_lineitems!$F$3:$F$1567,"2 Gen capital recovery")</f>
        <v/>
      </c>
      <c r="H18" s="77">
        <f>SUMIFS(data_lineitems!$I$3:$I$1567,data_lineitems!$A$3:$A$1567,"UK",data_lineitems!$B$3:$B$1567,2013,data_lineitems!$C$3:$C$1567,"large",data_lineitems!$D$3:$D$1567,"E2",data_lineitems!$F$3:$F$1567,"2 Gen capital recovery")</f>
        <v/>
      </c>
      <c r="I18" s="77">
        <f>SUMIFS(data_lineitems!$I$3:$I$1567,data_lineitems!$A$3:$A$1567,"UK",data_lineitems!$B$3:$B$1567,2014,data_lineitems!$C$3:$C$1567,"large",data_lineitems!$D$3:$D$1567,"E2",data_lineitems!$F$3:$F$1567,"2 Gen capital recovery")</f>
        <v/>
      </c>
      <c r="J18" s="77">
        <f>SUMIFS(data_lineitems!$I$3:$I$1567,data_lineitems!$A$3:$A$1567,"UK",data_lineitems!$B$3:$B$1567,2015,data_lineitems!$C$3:$C$1567,"large",data_lineitems!$D$3:$D$1567,"E2",data_lineitems!$F$3:$F$1567,"2 Gen capital recovery")</f>
        <v/>
      </c>
      <c r="K18" s="77">
        <f>SUMIFS(data_lineitems!$I$3:$I$1567,data_lineitems!$A$3:$A$1567,"UK",data_lineitems!$B$3:$B$1567,2016,data_lineitems!$C$3:$C$1567,"large",data_lineitems!$D$3:$D$1567,"E2",data_lineitems!$F$3:$F$1567,"2 Gen capital recovery")</f>
        <v/>
      </c>
      <c r="L18" s="77">
        <f>SUMIFS(data_lineitems!$I$3:$I$1567,data_lineitems!$A$3:$A$1567,"UK",data_lineitems!$B$3:$B$1567,2017,data_lineitems!$C$3:$C$1567,"large",data_lineitems!$D$3:$D$1567,"E2",data_lineitems!$F$3:$F$1567,"2 Gen capital recovery")</f>
        <v/>
      </c>
      <c r="M18" s="77">
        <f>SUMIFS(data_lineitems!$I$3:$I$1567,data_lineitems!$A$3:$A$1567,"UK",data_lineitems!$B$3:$B$1567,2018,data_lineitems!$C$3:$C$1567,"large",data_lineitems!$D$3:$D$1567,"E2",data_lineitems!$F$3:$F$1567,"2 Gen capital recovery")</f>
        <v/>
      </c>
      <c r="N18" s="77">
        <f>SUMIFS(data_lineitems!$I$3:$I$1567,data_lineitems!$A$3:$A$1567,"UK",data_lineitems!$B$3:$B$1567,2019,data_lineitems!$C$3:$C$1567,"large",data_lineitems!$D$3:$D$1567,"E2",data_lineitems!$F$3:$F$1567,"2 Gen capital recovery")</f>
        <v/>
      </c>
      <c r="O18" s="77">
        <f>SUMIFS(data_lineitems!$I$3:$I$1567,data_lineitems!$A$3:$A$1567,"UK",data_lineitems!$B$3:$B$1567,2020,data_lineitems!$C$3:$C$1567,"large",data_lineitems!$D$3:$D$1567,"E2",data_lineitems!$F$3:$F$1567,"2 Gen capital recovery")</f>
        <v/>
      </c>
      <c r="P18" s="77">
        <f>SUMIFS(data_lineitems!$I$3:$I$1567,data_lineitems!$A$3:$A$1567,"UK",data_lineitems!$B$3:$B$1567,2021,data_lineitems!$C$3:$C$1567,"large",data_lineitems!$D$3:$D$1567,"E2",data_lineitems!$F$3:$F$1567,"2 Gen capital recovery")</f>
        <v/>
      </c>
      <c r="Q18" s="77">
        <f>SUMIFS(data_lineitems!$I$3:$I$1567,data_lineitems!$A$3:$A$1567,"UK",data_lineitems!$B$3:$B$1567,2022,data_lineitems!$C$3:$C$1567,"large",data_lineitems!$D$3:$D$1567,"E2",data_lineitems!$F$3:$F$1567,"2 Gen capital recovery")</f>
        <v/>
      </c>
      <c r="R18" s="77">
        <f>SUMIFS(data_lineitems!$I$3:$I$1567,data_lineitems!$A$3:$A$1567,"UK",data_lineitems!$B$3:$B$1567,2023,data_lineitems!$C$3:$C$1567,"large",data_lineitems!$D$3:$D$1567,"E2",data_lineitems!$F$3:$F$1567,"2 Gen capital recovery")</f>
        <v/>
      </c>
      <c r="S18" s="77">
        <f>SUMIFS(data_lineitems!$I$3:$I$1567,data_lineitems!$A$3:$A$1567,"UK",data_lineitems!$B$3:$B$1567,2024,data_lineitems!$C$3:$C$1567,"large",data_lineitems!$D$3:$D$1567,"E2",data_lineitems!$F$3:$F$1567,"2 Gen capital recovery")</f>
        <v/>
      </c>
      <c r="T18" s="77">
        <f>SUMIFS(data_lineitems!$I$3:$I$1567,data_lineitems!$A$3:$A$1567,"UK",data_lineitems!$B$3:$B$1567,2025,data_lineitems!$C$3:$C$1567,"large",data_lineitems!$D$3:$D$1567,"E2",data_lineitems!$F$3:$F$1567,"2 Gen capital recovery")</f>
        <v/>
      </c>
    </row>
    <row r="19" ht="15" customHeight="1" s="78">
      <c r="A19" s="77" t="inlineStr">
        <is>
          <t>UK</t>
        </is>
      </c>
      <c r="B19" s="77" t="inlineStr">
        <is>
          <t>large</t>
        </is>
      </c>
      <c r="C19" s="77" t="inlineStr">
        <is>
          <t>E2</t>
        </is>
      </c>
      <c r="D19" s="77" t="inlineStr">
        <is>
          <t>3 Network</t>
        </is>
      </c>
      <c r="E19" s="77">
        <f>SUMIFS(data_lineitems!$I$3:$I$1567,data_lineitems!$A$3:$A$1567,"UK",data_lineitems!$B$3:$B$1567,2010,data_lineitems!$C$3:$C$1567,"large",data_lineitems!$D$3:$D$1567,"E2",data_lineitems!$F$3:$F$1567,"3 Network")</f>
        <v/>
      </c>
      <c r="F19" s="77">
        <f>SUMIFS(data_lineitems!$I$3:$I$1567,data_lineitems!$A$3:$A$1567,"UK",data_lineitems!$B$3:$B$1567,2011,data_lineitems!$C$3:$C$1567,"large",data_lineitems!$D$3:$D$1567,"E2",data_lineitems!$F$3:$F$1567,"3 Network")</f>
        <v/>
      </c>
      <c r="G19" s="77">
        <f>SUMIFS(data_lineitems!$I$3:$I$1567,data_lineitems!$A$3:$A$1567,"UK",data_lineitems!$B$3:$B$1567,2012,data_lineitems!$C$3:$C$1567,"large",data_lineitems!$D$3:$D$1567,"E2",data_lineitems!$F$3:$F$1567,"3 Network")</f>
        <v/>
      </c>
      <c r="H19" s="77">
        <f>SUMIFS(data_lineitems!$I$3:$I$1567,data_lineitems!$A$3:$A$1567,"UK",data_lineitems!$B$3:$B$1567,2013,data_lineitems!$C$3:$C$1567,"large",data_lineitems!$D$3:$D$1567,"E2",data_lineitems!$F$3:$F$1567,"3 Network")</f>
        <v/>
      </c>
      <c r="I19" s="77">
        <f>SUMIFS(data_lineitems!$I$3:$I$1567,data_lineitems!$A$3:$A$1567,"UK",data_lineitems!$B$3:$B$1567,2014,data_lineitems!$C$3:$C$1567,"large",data_lineitems!$D$3:$D$1567,"E2",data_lineitems!$F$3:$F$1567,"3 Network")</f>
        <v/>
      </c>
      <c r="J19" s="77">
        <f>SUMIFS(data_lineitems!$I$3:$I$1567,data_lineitems!$A$3:$A$1567,"UK",data_lineitems!$B$3:$B$1567,2015,data_lineitems!$C$3:$C$1567,"large",data_lineitems!$D$3:$D$1567,"E2",data_lineitems!$F$3:$F$1567,"3 Network")</f>
        <v/>
      </c>
      <c r="K19" s="77">
        <f>SUMIFS(data_lineitems!$I$3:$I$1567,data_lineitems!$A$3:$A$1567,"UK",data_lineitems!$B$3:$B$1567,2016,data_lineitems!$C$3:$C$1567,"large",data_lineitems!$D$3:$D$1567,"E2",data_lineitems!$F$3:$F$1567,"3 Network")</f>
        <v/>
      </c>
      <c r="L19" s="77">
        <f>SUMIFS(data_lineitems!$I$3:$I$1567,data_lineitems!$A$3:$A$1567,"UK",data_lineitems!$B$3:$B$1567,2017,data_lineitems!$C$3:$C$1567,"large",data_lineitems!$D$3:$D$1567,"E2",data_lineitems!$F$3:$F$1567,"3 Network")</f>
        <v/>
      </c>
      <c r="M19" s="77">
        <f>SUMIFS(data_lineitems!$I$3:$I$1567,data_lineitems!$A$3:$A$1567,"UK",data_lineitems!$B$3:$B$1567,2018,data_lineitems!$C$3:$C$1567,"large",data_lineitems!$D$3:$D$1567,"E2",data_lineitems!$F$3:$F$1567,"3 Network")</f>
        <v/>
      </c>
      <c r="N19" s="77">
        <f>SUMIFS(data_lineitems!$I$3:$I$1567,data_lineitems!$A$3:$A$1567,"UK",data_lineitems!$B$3:$B$1567,2019,data_lineitems!$C$3:$C$1567,"large",data_lineitems!$D$3:$D$1567,"E2",data_lineitems!$F$3:$F$1567,"3 Network")</f>
        <v/>
      </c>
      <c r="O19" s="77">
        <f>SUMIFS(data_lineitems!$I$3:$I$1567,data_lineitems!$A$3:$A$1567,"UK",data_lineitems!$B$3:$B$1567,2020,data_lineitems!$C$3:$C$1567,"large",data_lineitems!$D$3:$D$1567,"E2",data_lineitems!$F$3:$F$1567,"3 Network")</f>
        <v/>
      </c>
      <c r="P19" s="77">
        <f>SUMIFS(data_lineitems!$I$3:$I$1567,data_lineitems!$A$3:$A$1567,"UK",data_lineitems!$B$3:$B$1567,2021,data_lineitems!$C$3:$C$1567,"large",data_lineitems!$D$3:$D$1567,"E2",data_lineitems!$F$3:$F$1567,"3 Network")</f>
        <v/>
      </c>
      <c r="Q19" s="77">
        <f>SUMIFS(data_lineitems!$I$3:$I$1567,data_lineitems!$A$3:$A$1567,"UK",data_lineitems!$B$3:$B$1567,2022,data_lineitems!$C$3:$C$1567,"large",data_lineitems!$D$3:$D$1567,"E2",data_lineitems!$F$3:$F$1567,"3 Network")</f>
        <v/>
      </c>
      <c r="R19" s="77">
        <f>SUMIFS(data_lineitems!$I$3:$I$1567,data_lineitems!$A$3:$A$1567,"UK",data_lineitems!$B$3:$B$1567,2023,data_lineitems!$C$3:$C$1567,"large",data_lineitems!$D$3:$D$1567,"E2",data_lineitems!$F$3:$F$1567,"3 Network")</f>
        <v/>
      </c>
      <c r="S19" s="77">
        <f>SUMIFS(data_lineitems!$I$3:$I$1567,data_lineitems!$A$3:$A$1567,"UK",data_lineitems!$B$3:$B$1567,2024,data_lineitems!$C$3:$C$1567,"large",data_lineitems!$D$3:$D$1567,"E2",data_lineitems!$F$3:$F$1567,"3 Network")</f>
        <v/>
      </c>
      <c r="T19" s="77">
        <f>SUMIFS(data_lineitems!$I$3:$I$1567,data_lineitems!$A$3:$A$1567,"UK",data_lineitems!$B$3:$B$1567,2025,data_lineitems!$C$3:$C$1567,"large",data_lineitems!$D$3:$D$1567,"E2",data_lineitems!$F$3:$F$1567,"3 Network")</f>
        <v/>
      </c>
    </row>
    <row r="20" ht="15" customHeight="1" s="78">
      <c r="A20" s="77" t="inlineStr">
        <is>
          <t>UK</t>
        </is>
      </c>
      <c r="B20" s="77" t="inlineStr">
        <is>
          <t>large</t>
        </is>
      </c>
      <c r="C20" s="77" t="inlineStr">
        <is>
          <t>E2</t>
        </is>
      </c>
      <c r="D20" s="77" t="inlineStr">
        <is>
          <t>4 System services &amp; balancing</t>
        </is>
      </c>
      <c r="E20" s="77">
        <f>SUMIFS(data_lineitems!$I$3:$I$1567,data_lineitems!$A$3:$A$1567,"UK",data_lineitems!$B$3:$B$1567,2010,data_lineitems!$C$3:$C$1567,"large",data_lineitems!$D$3:$D$1567,"E2",data_lineitems!$F$3:$F$1567,"4 System services &amp; balancing")</f>
        <v/>
      </c>
      <c r="F20" s="77">
        <f>SUMIFS(data_lineitems!$I$3:$I$1567,data_lineitems!$A$3:$A$1567,"UK",data_lineitems!$B$3:$B$1567,2011,data_lineitems!$C$3:$C$1567,"large",data_lineitems!$D$3:$D$1567,"E2",data_lineitems!$F$3:$F$1567,"4 System services &amp; balancing")</f>
        <v/>
      </c>
      <c r="G20" s="77">
        <f>SUMIFS(data_lineitems!$I$3:$I$1567,data_lineitems!$A$3:$A$1567,"UK",data_lineitems!$B$3:$B$1567,2012,data_lineitems!$C$3:$C$1567,"large",data_lineitems!$D$3:$D$1567,"E2",data_lineitems!$F$3:$F$1567,"4 System services &amp; balancing")</f>
        <v/>
      </c>
      <c r="H20" s="77">
        <f>SUMIFS(data_lineitems!$I$3:$I$1567,data_lineitems!$A$3:$A$1567,"UK",data_lineitems!$B$3:$B$1567,2013,data_lineitems!$C$3:$C$1567,"large",data_lineitems!$D$3:$D$1567,"E2",data_lineitems!$F$3:$F$1567,"4 System services &amp; balancing")</f>
        <v/>
      </c>
      <c r="I20" s="77">
        <f>SUMIFS(data_lineitems!$I$3:$I$1567,data_lineitems!$A$3:$A$1567,"UK",data_lineitems!$B$3:$B$1567,2014,data_lineitems!$C$3:$C$1567,"large",data_lineitems!$D$3:$D$1567,"E2",data_lineitems!$F$3:$F$1567,"4 System services &amp; balancing")</f>
        <v/>
      </c>
      <c r="J20" s="77">
        <f>SUMIFS(data_lineitems!$I$3:$I$1567,data_lineitems!$A$3:$A$1567,"UK",data_lineitems!$B$3:$B$1567,2015,data_lineitems!$C$3:$C$1567,"large",data_lineitems!$D$3:$D$1567,"E2",data_lineitems!$F$3:$F$1567,"4 System services &amp; balancing")</f>
        <v/>
      </c>
      <c r="K20" s="77">
        <f>SUMIFS(data_lineitems!$I$3:$I$1567,data_lineitems!$A$3:$A$1567,"UK",data_lineitems!$B$3:$B$1567,2016,data_lineitems!$C$3:$C$1567,"large",data_lineitems!$D$3:$D$1567,"E2",data_lineitems!$F$3:$F$1567,"4 System services &amp; balancing")</f>
        <v/>
      </c>
      <c r="L20" s="77">
        <f>SUMIFS(data_lineitems!$I$3:$I$1567,data_lineitems!$A$3:$A$1567,"UK",data_lineitems!$B$3:$B$1567,2017,data_lineitems!$C$3:$C$1567,"large",data_lineitems!$D$3:$D$1567,"E2",data_lineitems!$F$3:$F$1567,"4 System services &amp; balancing")</f>
        <v/>
      </c>
      <c r="M20" s="77">
        <f>SUMIFS(data_lineitems!$I$3:$I$1567,data_lineitems!$A$3:$A$1567,"UK",data_lineitems!$B$3:$B$1567,2018,data_lineitems!$C$3:$C$1567,"large",data_lineitems!$D$3:$D$1567,"E2",data_lineitems!$F$3:$F$1567,"4 System services &amp; balancing")</f>
        <v/>
      </c>
      <c r="N20" s="77">
        <f>SUMIFS(data_lineitems!$I$3:$I$1567,data_lineitems!$A$3:$A$1567,"UK",data_lineitems!$B$3:$B$1567,2019,data_lineitems!$C$3:$C$1567,"large",data_lineitems!$D$3:$D$1567,"E2",data_lineitems!$F$3:$F$1567,"4 System services &amp; balancing")</f>
        <v/>
      </c>
      <c r="O20" s="77">
        <f>SUMIFS(data_lineitems!$I$3:$I$1567,data_lineitems!$A$3:$A$1567,"UK",data_lineitems!$B$3:$B$1567,2020,data_lineitems!$C$3:$C$1567,"large",data_lineitems!$D$3:$D$1567,"E2",data_lineitems!$F$3:$F$1567,"4 System services &amp; balancing")</f>
        <v/>
      </c>
      <c r="P20" s="77">
        <f>SUMIFS(data_lineitems!$I$3:$I$1567,data_lineitems!$A$3:$A$1567,"UK",data_lineitems!$B$3:$B$1567,2021,data_lineitems!$C$3:$C$1567,"large",data_lineitems!$D$3:$D$1567,"E2",data_lineitems!$F$3:$F$1567,"4 System services &amp; balancing")</f>
        <v/>
      </c>
      <c r="Q20" s="77">
        <f>SUMIFS(data_lineitems!$I$3:$I$1567,data_lineitems!$A$3:$A$1567,"UK",data_lineitems!$B$3:$B$1567,2022,data_lineitems!$C$3:$C$1567,"large",data_lineitems!$D$3:$D$1567,"E2",data_lineitems!$F$3:$F$1567,"4 System services &amp; balancing")</f>
        <v/>
      </c>
      <c r="R20" s="77">
        <f>SUMIFS(data_lineitems!$I$3:$I$1567,data_lineitems!$A$3:$A$1567,"UK",data_lineitems!$B$3:$B$1567,2023,data_lineitems!$C$3:$C$1567,"large",data_lineitems!$D$3:$D$1567,"E2",data_lineitems!$F$3:$F$1567,"4 System services &amp; balancing")</f>
        <v/>
      </c>
      <c r="S20" s="77">
        <f>SUMIFS(data_lineitems!$I$3:$I$1567,data_lineitems!$A$3:$A$1567,"UK",data_lineitems!$B$3:$B$1567,2024,data_lineitems!$C$3:$C$1567,"large",data_lineitems!$D$3:$D$1567,"E2",data_lineitems!$F$3:$F$1567,"4 System services &amp; balancing")</f>
        <v/>
      </c>
      <c r="T20" s="77">
        <f>SUMIFS(data_lineitems!$I$3:$I$1567,data_lineitems!$A$3:$A$1567,"UK",data_lineitems!$B$3:$B$1567,2025,data_lineitems!$C$3:$C$1567,"large",data_lineitems!$D$3:$D$1567,"E2",data_lineitems!$F$3:$F$1567,"4 System services &amp; balancing")</f>
        <v/>
      </c>
    </row>
    <row r="21" ht="15" customHeight="1" s="78">
      <c r="A21" s="77" t="inlineStr">
        <is>
          <t>UK</t>
        </is>
      </c>
      <c r="B21" s="77" t="inlineStr">
        <is>
          <t>large</t>
        </is>
      </c>
      <c r="C21" s="77" t="inlineStr">
        <is>
          <t>E2</t>
        </is>
      </c>
      <c r="D21" s="77" t="inlineStr">
        <is>
          <t>5 General taxation &amp; levies</t>
        </is>
      </c>
      <c r="E21" s="77">
        <f>SUMIFS(data_lineitems!$I$3:$I$1567,data_lineitems!$A$3:$A$1567,"UK",data_lineitems!$B$3:$B$1567,2010,data_lineitems!$C$3:$C$1567,"large",data_lineitems!$D$3:$D$1567,"E2",data_lineitems!$F$3:$F$1567,"5 General taxation &amp; levies")</f>
        <v/>
      </c>
      <c r="F21" s="77">
        <f>SUMIFS(data_lineitems!$I$3:$I$1567,data_lineitems!$A$3:$A$1567,"UK",data_lineitems!$B$3:$B$1567,2011,data_lineitems!$C$3:$C$1567,"large",data_lineitems!$D$3:$D$1567,"E2",data_lineitems!$F$3:$F$1567,"5 General taxation &amp; levies")</f>
        <v/>
      </c>
      <c r="G21" s="77">
        <f>SUMIFS(data_lineitems!$I$3:$I$1567,data_lineitems!$A$3:$A$1567,"UK",data_lineitems!$B$3:$B$1567,2012,data_lineitems!$C$3:$C$1567,"large",data_lineitems!$D$3:$D$1567,"E2",data_lineitems!$F$3:$F$1567,"5 General taxation &amp; levies")</f>
        <v/>
      </c>
      <c r="H21" s="77">
        <f>SUMIFS(data_lineitems!$I$3:$I$1567,data_lineitems!$A$3:$A$1567,"UK",data_lineitems!$B$3:$B$1567,2013,data_lineitems!$C$3:$C$1567,"large",data_lineitems!$D$3:$D$1567,"E2",data_lineitems!$F$3:$F$1567,"5 General taxation &amp; levies")</f>
        <v/>
      </c>
      <c r="I21" s="77">
        <f>SUMIFS(data_lineitems!$I$3:$I$1567,data_lineitems!$A$3:$A$1567,"UK",data_lineitems!$B$3:$B$1567,2014,data_lineitems!$C$3:$C$1567,"large",data_lineitems!$D$3:$D$1567,"E2",data_lineitems!$F$3:$F$1567,"5 General taxation &amp; levies")</f>
        <v/>
      </c>
      <c r="J21" s="77">
        <f>SUMIFS(data_lineitems!$I$3:$I$1567,data_lineitems!$A$3:$A$1567,"UK",data_lineitems!$B$3:$B$1567,2015,data_lineitems!$C$3:$C$1567,"large",data_lineitems!$D$3:$D$1567,"E2",data_lineitems!$F$3:$F$1567,"5 General taxation &amp; levies")</f>
        <v/>
      </c>
      <c r="K21" s="77">
        <f>SUMIFS(data_lineitems!$I$3:$I$1567,data_lineitems!$A$3:$A$1567,"UK",data_lineitems!$B$3:$B$1567,2016,data_lineitems!$C$3:$C$1567,"large",data_lineitems!$D$3:$D$1567,"E2",data_lineitems!$F$3:$F$1567,"5 General taxation &amp; levies")</f>
        <v/>
      </c>
      <c r="L21" s="77">
        <f>SUMIFS(data_lineitems!$I$3:$I$1567,data_lineitems!$A$3:$A$1567,"UK",data_lineitems!$B$3:$B$1567,2017,data_lineitems!$C$3:$C$1567,"large",data_lineitems!$D$3:$D$1567,"E2",data_lineitems!$F$3:$F$1567,"5 General taxation &amp; levies")</f>
        <v/>
      </c>
      <c r="M21" s="77">
        <f>SUMIFS(data_lineitems!$I$3:$I$1567,data_lineitems!$A$3:$A$1567,"UK",data_lineitems!$B$3:$B$1567,2018,data_lineitems!$C$3:$C$1567,"large",data_lineitems!$D$3:$D$1567,"E2",data_lineitems!$F$3:$F$1567,"5 General taxation &amp; levies")</f>
        <v/>
      </c>
      <c r="N21" s="77">
        <f>SUMIFS(data_lineitems!$I$3:$I$1567,data_lineitems!$A$3:$A$1567,"UK",data_lineitems!$B$3:$B$1567,2019,data_lineitems!$C$3:$C$1567,"large",data_lineitems!$D$3:$D$1567,"E2",data_lineitems!$F$3:$F$1567,"5 General taxation &amp; levies")</f>
        <v/>
      </c>
      <c r="O21" s="77">
        <f>SUMIFS(data_lineitems!$I$3:$I$1567,data_lineitems!$A$3:$A$1567,"UK",data_lineitems!$B$3:$B$1567,2020,data_lineitems!$C$3:$C$1567,"large",data_lineitems!$D$3:$D$1567,"E2",data_lineitems!$F$3:$F$1567,"5 General taxation &amp; levies")</f>
        <v/>
      </c>
      <c r="P21" s="77">
        <f>SUMIFS(data_lineitems!$I$3:$I$1567,data_lineitems!$A$3:$A$1567,"UK",data_lineitems!$B$3:$B$1567,2021,data_lineitems!$C$3:$C$1567,"large",data_lineitems!$D$3:$D$1567,"E2",data_lineitems!$F$3:$F$1567,"5 General taxation &amp; levies")</f>
        <v/>
      </c>
      <c r="Q21" s="77">
        <f>SUMIFS(data_lineitems!$I$3:$I$1567,data_lineitems!$A$3:$A$1567,"UK",data_lineitems!$B$3:$B$1567,2022,data_lineitems!$C$3:$C$1567,"large",data_lineitems!$D$3:$D$1567,"E2",data_lineitems!$F$3:$F$1567,"5 General taxation &amp; levies")</f>
        <v/>
      </c>
      <c r="R21" s="77">
        <f>SUMIFS(data_lineitems!$I$3:$I$1567,data_lineitems!$A$3:$A$1567,"UK",data_lineitems!$B$3:$B$1567,2023,data_lineitems!$C$3:$C$1567,"large",data_lineitems!$D$3:$D$1567,"E2",data_lineitems!$F$3:$F$1567,"5 General taxation &amp; levies")</f>
        <v/>
      </c>
      <c r="S21" s="77">
        <f>SUMIFS(data_lineitems!$I$3:$I$1567,data_lineitems!$A$3:$A$1567,"UK",data_lineitems!$B$3:$B$1567,2024,data_lineitems!$C$3:$C$1567,"large",data_lineitems!$D$3:$D$1567,"E2",data_lineitems!$F$3:$F$1567,"5 General taxation &amp; levies")</f>
        <v/>
      </c>
      <c r="T21" s="77">
        <f>SUMIFS(data_lineitems!$I$3:$I$1567,data_lineitems!$A$3:$A$1567,"UK",data_lineitems!$B$3:$B$1567,2025,data_lineitems!$C$3:$C$1567,"large",data_lineitems!$D$3:$D$1567,"E2",data_lineitems!$F$3:$F$1567,"5 General taxation &amp; levies")</f>
        <v/>
      </c>
    </row>
    <row r="22" ht="15" customHeight="1" s="78">
      <c r="A22" s="77" t="inlineStr">
        <is>
          <t>UK</t>
        </is>
      </c>
      <c r="B22" s="77" t="inlineStr">
        <is>
          <t>large</t>
        </is>
      </c>
      <c r="C22" s="77" t="inlineStr">
        <is>
          <t>E2</t>
        </is>
      </c>
      <c r="D22" s="77" t="inlineStr">
        <is>
          <t>TOTAL modelled (sum buckets)</t>
        </is>
      </c>
      <c r="E22" s="77">
        <f>SUM(E17:E21)</f>
        <v/>
      </c>
      <c r="F22" s="77">
        <f>SUM(F17:F21)</f>
        <v/>
      </c>
      <c r="G22" s="77">
        <f>SUM(G17:G21)</f>
        <v/>
      </c>
      <c r="H22" s="77">
        <f>SUM(H17:H21)</f>
        <v/>
      </c>
      <c r="I22" s="77">
        <f>SUM(I17:I21)</f>
        <v/>
      </c>
      <c r="J22" s="77">
        <f>SUM(J17:J21)</f>
        <v/>
      </c>
      <c r="K22" s="77">
        <f>SUM(K17:K21)</f>
        <v/>
      </c>
      <c r="L22" s="77">
        <f>SUM(L17:L21)</f>
        <v/>
      </c>
      <c r="M22" s="77">
        <f>SUM(M17:M21)</f>
        <v/>
      </c>
      <c r="N22" s="77">
        <f>SUM(N17:N21)</f>
        <v/>
      </c>
      <c r="O22" s="77">
        <f>SUM(O17:O21)</f>
        <v/>
      </c>
      <c r="P22" s="77">
        <f>SUM(P17:P21)</f>
        <v/>
      </c>
      <c r="Q22" s="77">
        <f>SUM(Q17:Q21)</f>
        <v/>
      </c>
      <c r="R22" s="77">
        <f>SUM(R17:R21)</f>
        <v/>
      </c>
      <c r="S22" s="77">
        <f>SUM(S17:S21)</f>
        <v/>
      </c>
      <c r="T22" s="77">
        <f>SUM(T17:T21)</f>
        <v/>
      </c>
    </row>
    <row r="23" ht="15" customHeight="1" s="78">
      <c r="A23" s="77" t="inlineStr">
        <is>
          <t>UK</t>
        </is>
      </c>
      <c r="B23" s="77" t="inlineStr">
        <is>
          <t>large</t>
        </is>
      </c>
      <c r="C23" s="77" t="inlineStr">
        <is>
          <t>E2</t>
        </is>
      </c>
      <c r="D23" s="77" t="inlineStr">
        <is>
          <t>REFERENCE — timeseries USD r75</t>
        </is>
      </c>
      <c r="E23" s="136">
        <f>IF(ISNUMBER(timeseries!D75),timeseries!D75,"")</f>
        <v/>
      </c>
      <c r="F23" s="136">
        <f>IF(ISNUMBER(timeseries!E75),timeseries!E75,"")</f>
        <v/>
      </c>
      <c r="G23" s="136">
        <f>IF(ISNUMBER(timeseries!F75),timeseries!F75,"")</f>
        <v/>
      </c>
      <c r="H23" s="136">
        <f>IF(ISNUMBER(timeseries!G75),timeseries!G75,"")</f>
        <v/>
      </c>
      <c r="I23" s="136">
        <f>IF(ISNUMBER(timeseries!H75),timeseries!H75,"")</f>
        <v/>
      </c>
      <c r="J23" s="136">
        <f>IF(ISNUMBER(timeseries!I75),timeseries!I75,"")</f>
        <v/>
      </c>
      <c r="K23" s="136">
        <f>IF(ISNUMBER(timeseries!J75),timeseries!J75,"")</f>
        <v/>
      </c>
      <c r="L23" s="136">
        <f>IF(ISNUMBER(timeseries!K75),timeseries!K75,"")</f>
        <v/>
      </c>
      <c r="M23" s="136">
        <f>IF(ISNUMBER(timeseries!L75),timeseries!L75,"")</f>
        <v/>
      </c>
      <c r="N23" s="136">
        <f>IF(ISNUMBER(timeseries!M75),timeseries!M75,"")</f>
        <v/>
      </c>
      <c r="O23" s="136">
        <f>IF(ISNUMBER(timeseries!N75),timeseries!N75,"")</f>
        <v/>
      </c>
      <c r="P23" s="136">
        <f>IF(ISNUMBER(timeseries!O75),timeseries!O75,"")</f>
        <v/>
      </c>
      <c r="Q23" s="136">
        <f>IF(ISNUMBER(timeseries!P75),timeseries!P75,"")</f>
        <v/>
      </c>
      <c r="R23" s="136">
        <f>IF(ISNUMBER(timeseries!Q75),timeseries!Q75,"")</f>
        <v/>
      </c>
      <c r="S23" s="136">
        <f>IF(ISNUMBER(timeseries!R75),timeseries!R75,"")</f>
        <v/>
      </c>
      <c r="T23" s="136">
        <f>IF(ISNUMBER(timeseries!S75),timeseries!S75,"")</f>
        <v/>
      </c>
    </row>
    <row r="24" ht="15" customHeight="1" s="78">
      <c r="A24" s="77" t="inlineStr">
        <is>
          <t>UK</t>
        </is>
      </c>
      <c r="B24" s="77" t="inlineStr">
        <is>
          <t>large</t>
        </is>
      </c>
      <c r="C24" s="77" t="inlineStr">
        <is>
          <t>E2</t>
        </is>
      </c>
      <c r="D24" s="77" t="inlineStr">
        <is>
          <t>RECONCILIATION (total/ref - 1)</t>
        </is>
      </c>
      <c r="E24" s="77">
        <f>IF(AND(ISNUMBER(E23),E23&lt;&gt;0,ISNUMBER(E22)),E22/E23-1,"n/a")</f>
        <v/>
      </c>
      <c r="F24" s="77">
        <f>IF(AND(ISNUMBER(F23),F23&lt;&gt;0,ISNUMBER(F22)),F22/F23-1,"n/a")</f>
        <v/>
      </c>
      <c r="G24" s="77">
        <f>IF(AND(ISNUMBER(G23),G23&lt;&gt;0,ISNUMBER(G22)),G22/G23-1,"n/a")</f>
        <v/>
      </c>
      <c r="H24" s="77">
        <f>IF(AND(ISNUMBER(H23),H23&lt;&gt;0,ISNUMBER(H22)),H22/H23-1,"n/a")</f>
        <v/>
      </c>
      <c r="I24" s="77">
        <f>IF(AND(ISNUMBER(I23),I23&lt;&gt;0,ISNUMBER(I22)),I22/I23-1,"n/a")</f>
        <v/>
      </c>
      <c r="J24" s="77">
        <f>IF(AND(ISNUMBER(J23),J23&lt;&gt;0,ISNUMBER(J22)),J22/J23-1,"n/a")</f>
        <v/>
      </c>
      <c r="K24" s="77">
        <f>IF(AND(ISNUMBER(K23),K23&lt;&gt;0,ISNUMBER(K22)),K22/K23-1,"n/a")</f>
        <v/>
      </c>
      <c r="L24" s="77">
        <f>IF(AND(ISNUMBER(L23),L23&lt;&gt;0,ISNUMBER(L22)),L22/L23-1,"n/a")</f>
        <v/>
      </c>
      <c r="M24" s="77">
        <f>IF(AND(ISNUMBER(M23),M23&lt;&gt;0,ISNUMBER(M22)),M22/M23-1,"n/a")</f>
        <v/>
      </c>
      <c r="N24" s="77">
        <f>IF(AND(ISNUMBER(N23),N23&lt;&gt;0,ISNUMBER(N22)),N22/N23-1,"n/a")</f>
        <v/>
      </c>
      <c r="O24" s="77">
        <f>IF(AND(ISNUMBER(O23),O23&lt;&gt;0,ISNUMBER(O22)),O22/O23-1,"n/a")</f>
        <v/>
      </c>
      <c r="P24" s="77">
        <f>IF(AND(ISNUMBER(P23),P23&lt;&gt;0,ISNUMBER(P22)),P22/P23-1,"n/a")</f>
        <v/>
      </c>
      <c r="Q24" s="77">
        <f>IF(AND(ISNUMBER(Q23),Q23&lt;&gt;0,ISNUMBER(Q22)),Q22/Q23-1,"n/a")</f>
        <v/>
      </c>
      <c r="R24" s="77">
        <f>IF(AND(ISNUMBER(R23),R23&lt;&gt;0,ISNUMBER(R22)),R22/R23-1,"n/a")</f>
        <v/>
      </c>
      <c r="S24" s="77">
        <f>IF(AND(ISNUMBER(S23),S23&lt;&gt;0,ISNUMBER(S22)),S22/S23-1,"n/a")</f>
        <v/>
      </c>
      <c r="T24" s="77">
        <f>IF(AND(ISNUMBER(T23),T23&lt;&gt;0,ISNUMBER(T22)),T22/T23-1,"n/a")</f>
        <v/>
      </c>
    </row>
    <row r="25" ht="15" customHeight="1" s="78">
      <c r="A25" s="77" t="inlineStr">
        <is>
          <t>UK</t>
        </is>
      </c>
      <c r="B25" s="77" t="inlineStr">
        <is>
          <t>large</t>
        </is>
      </c>
      <c r="C25" s="77" t="inlineStr">
        <is>
          <t>E2</t>
        </is>
      </c>
      <c r="D25" s="77" t="inlineStr">
        <is>
          <t>GATE +/-2 pct</t>
        </is>
      </c>
      <c r="E25" s="77">
        <f>IF(ISNUMBER(E24),IF(ABS(E24)&lt;=0.02,"PASS","FAIL"),"n/a")</f>
        <v/>
      </c>
      <c r="F25" s="77">
        <f>IF(ISNUMBER(F24),IF(ABS(F24)&lt;=0.02,"PASS","FAIL"),"n/a")</f>
        <v/>
      </c>
      <c r="G25" s="77">
        <f>IF(ISNUMBER(G24),IF(ABS(G24)&lt;=0.02,"PASS","FAIL"),"n/a")</f>
        <v/>
      </c>
      <c r="H25" s="77">
        <f>IF(ISNUMBER(H24),IF(ABS(H24)&lt;=0.02,"PASS","FAIL"),"n/a")</f>
        <v/>
      </c>
      <c r="I25" s="77">
        <f>IF(ISNUMBER(I24),IF(ABS(I24)&lt;=0.02,"PASS","FAIL"),"n/a")</f>
        <v/>
      </c>
      <c r="J25" s="77">
        <f>IF(ISNUMBER(J24),IF(ABS(J24)&lt;=0.02,"PASS","FAIL"),"n/a")</f>
        <v/>
      </c>
      <c r="K25" s="77">
        <f>IF(ISNUMBER(K24),IF(ABS(K24)&lt;=0.02,"PASS","FAIL"),"n/a")</f>
        <v/>
      </c>
      <c r="L25" s="77">
        <f>IF(ISNUMBER(L24),IF(ABS(L24)&lt;=0.02,"PASS","FAIL"),"n/a")</f>
        <v/>
      </c>
      <c r="M25" s="77">
        <f>IF(ISNUMBER(M24),IF(ABS(M24)&lt;=0.02,"PASS","FAIL"),"n/a")</f>
        <v/>
      </c>
      <c r="N25" s="77">
        <f>IF(ISNUMBER(N24),IF(ABS(N24)&lt;=0.02,"PASS","FAIL"),"n/a")</f>
        <v/>
      </c>
      <c r="O25" s="77">
        <f>IF(ISNUMBER(O24),IF(ABS(O24)&lt;=0.02,"PASS","FAIL"),"n/a")</f>
        <v/>
      </c>
      <c r="P25" s="77">
        <f>IF(ISNUMBER(P24),IF(ABS(P24)&lt;=0.02,"PASS","FAIL"),"n/a")</f>
        <v/>
      </c>
      <c r="Q25" s="77">
        <f>IF(ISNUMBER(Q24),IF(ABS(Q24)&lt;=0.02,"PASS","FAIL"),"n/a")</f>
        <v/>
      </c>
      <c r="R25" s="77">
        <f>IF(ISNUMBER(R24),IF(ABS(R24)&lt;=0.02,"PASS","FAIL"),"n/a")</f>
        <v/>
      </c>
      <c r="S25" s="77">
        <f>IF(ISNUMBER(S24),IF(ABS(S24)&lt;=0.02,"PASS","FAIL"),"n/a")</f>
        <v/>
      </c>
      <c r="T25" s="77">
        <f>IF(ISNUMBER(T24),IF(ABS(T24)&lt;=0.02,"PASS","FAIL"),"n/a")</f>
        <v/>
      </c>
    </row>
    <row r="27" ht="15" customHeight="1" s="78">
      <c r="A27" s="77" t="inlineStr">
        <is>
          <t>UK</t>
        </is>
      </c>
      <c r="B27" s="77" t="inlineStr">
        <is>
          <t>medium</t>
        </is>
      </c>
      <c r="C27" s="77" t="inlineStr">
        <is>
          <t>E1</t>
        </is>
      </c>
      <c r="D27" s="77" t="inlineStr">
        <is>
          <t>leg header</t>
        </is>
      </c>
    </row>
    <row r="28" ht="15" customHeight="1" s="78">
      <c r="A28" s="77" t="inlineStr">
        <is>
          <t>UK</t>
        </is>
      </c>
      <c r="B28" s="77" t="inlineStr">
        <is>
          <t>medium</t>
        </is>
      </c>
      <c r="C28" s="77" t="inlineStr">
        <is>
          <t>E1</t>
        </is>
      </c>
      <c r="D28" s="77" t="inlineStr">
        <is>
          <t>1 Commodity</t>
        </is>
      </c>
      <c r="E28" s="77">
        <f>SUMIFS(data_lineitems!$I$3:$I$1567,data_lineitems!$A$3:$A$1567,"UK",data_lineitems!$B$3:$B$1567,2010,data_lineitems!$C$3:$C$1567,"medium",data_lineitems!$D$3:$D$1567,"E1",data_lineitems!$F$3:$F$1567,"1 Commodity")</f>
        <v/>
      </c>
      <c r="F28" s="77">
        <f>SUMIFS(data_lineitems!$I$3:$I$1567,data_lineitems!$A$3:$A$1567,"UK",data_lineitems!$B$3:$B$1567,2011,data_lineitems!$C$3:$C$1567,"medium",data_lineitems!$D$3:$D$1567,"E1",data_lineitems!$F$3:$F$1567,"1 Commodity")</f>
        <v/>
      </c>
      <c r="G28" s="77">
        <f>SUMIFS(data_lineitems!$I$3:$I$1567,data_lineitems!$A$3:$A$1567,"UK",data_lineitems!$B$3:$B$1567,2012,data_lineitems!$C$3:$C$1567,"medium",data_lineitems!$D$3:$D$1567,"E1",data_lineitems!$F$3:$F$1567,"1 Commodity")</f>
        <v/>
      </c>
      <c r="H28" s="77">
        <f>SUMIFS(data_lineitems!$I$3:$I$1567,data_lineitems!$A$3:$A$1567,"UK",data_lineitems!$B$3:$B$1567,2013,data_lineitems!$C$3:$C$1567,"medium",data_lineitems!$D$3:$D$1567,"E1",data_lineitems!$F$3:$F$1567,"1 Commodity")</f>
        <v/>
      </c>
      <c r="I28" s="77">
        <f>SUMIFS(data_lineitems!$I$3:$I$1567,data_lineitems!$A$3:$A$1567,"UK",data_lineitems!$B$3:$B$1567,2014,data_lineitems!$C$3:$C$1567,"medium",data_lineitems!$D$3:$D$1567,"E1",data_lineitems!$F$3:$F$1567,"1 Commodity")</f>
        <v/>
      </c>
      <c r="J28" s="77">
        <f>SUMIFS(data_lineitems!$I$3:$I$1567,data_lineitems!$A$3:$A$1567,"UK",data_lineitems!$B$3:$B$1567,2015,data_lineitems!$C$3:$C$1567,"medium",data_lineitems!$D$3:$D$1567,"E1",data_lineitems!$F$3:$F$1567,"1 Commodity")</f>
        <v/>
      </c>
      <c r="K28" s="77">
        <f>SUMIFS(data_lineitems!$I$3:$I$1567,data_lineitems!$A$3:$A$1567,"UK",data_lineitems!$B$3:$B$1567,2016,data_lineitems!$C$3:$C$1567,"medium",data_lineitems!$D$3:$D$1567,"E1",data_lineitems!$F$3:$F$1567,"1 Commodity")</f>
        <v/>
      </c>
      <c r="L28" s="77">
        <f>SUMIFS(data_lineitems!$I$3:$I$1567,data_lineitems!$A$3:$A$1567,"UK",data_lineitems!$B$3:$B$1567,2017,data_lineitems!$C$3:$C$1567,"medium",data_lineitems!$D$3:$D$1567,"E1",data_lineitems!$F$3:$F$1567,"1 Commodity")</f>
        <v/>
      </c>
      <c r="M28" s="77">
        <f>SUMIFS(data_lineitems!$I$3:$I$1567,data_lineitems!$A$3:$A$1567,"UK",data_lineitems!$B$3:$B$1567,2018,data_lineitems!$C$3:$C$1567,"medium",data_lineitems!$D$3:$D$1567,"E1",data_lineitems!$F$3:$F$1567,"1 Commodity")</f>
        <v/>
      </c>
      <c r="N28" s="77">
        <f>SUMIFS(data_lineitems!$I$3:$I$1567,data_lineitems!$A$3:$A$1567,"UK",data_lineitems!$B$3:$B$1567,2019,data_lineitems!$C$3:$C$1567,"medium",data_lineitems!$D$3:$D$1567,"E1",data_lineitems!$F$3:$F$1567,"1 Commodity")</f>
        <v/>
      </c>
      <c r="O28" s="77">
        <f>SUMIFS(data_lineitems!$I$3:$I$1567,data_lineitems!$A$3:$A$1567,"UK",data_lineitems!$B$3:$B$1567,2020,data_lineitems!$C$3:$C$1567,"medium",data_lineitems!$D$3:$D$1567,"E1",data_lineitems!$F$3:$F$1567,"1 Commodity")</f>
        <v/>
      </c>
      <c r="P28" s="77">
        <f>SUMIFS(data_lineitems!$I$3:$I$1567,data_lineitems!$A$3:$A$1567,"UK",data_lineitems!$B$3:$B$1567,2021,data_lineitems!$C$3:$C$1567,"medium",data_lineitems!$D$3:$D$1567,"E1",data_lineitems!$F$3:$F$1567,"1 Commodity")</f>
        <v/>
      </c>
      <c r="Q28" s="77">
        <f>SUMIFS(data_lineitems!$I$3:$I$1567,data_lineitems!$A$3:$A$1567,"UK",data_lineitems!$B$3:$B$1567,2022,data_lineitems!$C$3:$C$1567,"medium",data_lineitems!$D$3:$D$1567,"E1",data_lineitems!$F$3:$F$1567,"1 Commodity")</f>
        <v/>
      </c>
      <c r="R28" s="77">
        <f>SUMIFS(data_lineitems!$I$3:$I$1567,data_lineitems!$A$3:$A$1567,"UK",data_lineitems!$B$3:$B$1567,2023,data_lineitems!$C$3:$C$1567,"medium",data_lineitems!$D$3:$D$1567,"E1",data_lineitems!$F$3:$F$1567,"1 Commodity")</f>
        <v/>
      </c>
      <c r="S28" s="77">
        <f>SUMIFS(data_lineitems!$I$3:$I$1567,data_lineitems!$A$3:$A$1567,"UK",data_lineitems!$B$3:$B$1567,2024,data_lineitems!$C$3:$C$1567,"medium",data_lineitems!$D$3:$D$1567,"E1",data_lineitems!$F$3:$F$1567,"1 Commodity")</f>
        <v/>
      </c>
      <c r="T28" s="77">
        <f>SUMIFS(data_lineitems!$I$3:$I$1567,data_lineitems!$A$3:$A$1567,"UK",data_lineitems!$B$3:$B$1567,2025,data_lineitems!$C$3:$C$1567,"medium",data_lineitems!$D$3:$D$1567,"E1",data_lineitems!$F$3:$F$1567,"1 Commodity")</f>
        <v/>
      </c>
    </row>
    <row r="29" ht="15" customHeight="1" s="78">
      <c r="A29" s="77" t="inlineStr">
        <is>
          <t>UK</t>
        </is>
      </c>
      <c r="B29" s="77" t="inlineStr">
        <is>
          <t>medium</t>
        </is>
      </c>
      <c r="C29" s="77" t="inlineStr">
        <is>
          <t>E1</t>
        </is>
      </c>
      <c r="D29" s="77" t="inlineStr">
        <is>
          <t>2 Gen capital recovery</t>
        </is>
      </c>
      <c r="E29" s="77">
        <f>SUMIFS(data_lineitems!$I$3:$I$1567,data_lineitems!$A$3:$A$1567,"UK",data_lineitems!$B$3:$B$1567,2010,data_lineitems!$C$3:$C$1567,"medium",data_lineitems!$D$3:$D$1567,"E1",data_lineitems!$F$3:$F$1567,"2 Gen capital recovery")</f>
        <v/>
      </c>
      <c r="F29" s="77">
        <f>SUMIFS(data_lineitems!$I$3:$I$1567,data_lineitems!$A$3:$A$1567,"UK",data_lineitems!$B$3:$B$1567,2011,data_lineitems!$C$3:$C$1567,"medium",data_lineitems!$D$3:$D$1567,"E1",data_lineitems!$F$3:$F$1567,"2 Gen capital recovery")</f>
        <v/>
      </c>
      <c r="G29" s="77">
        <f>SUMIFS(data_lineitems!$I$3:$I$1567,data_lineitems!$A$3:$A$1567,"UK",data_lineitems!$B$3:$B$1567,2012,data_lineitems!$C$3:$C$1567,"medium",data_lineitems!$D$3:$D$1567,"E1",data_lineitems!$F$3:$F$1567,"2 Gen capital recovery")</f>
        <v/>
      </c>
      <c r="H29" s="77">
        <f>SUMIFS(data_lineitems!$I$3:$I$1567,data_lineitems!$A$3:$A$1567,"UK",data_lineitems!$B$3:$B$1567,2013,data_lineitems!$C$3:$C$1567,"medium",data_lineitems!$D$3:$D$1567,"E1",data_lineitems!$F$3:$F$1567,"2 Gen capital recovery")</f>
        <v/>
      </c>
      <c r="I29" s="77">
        <f>SUMIFS(data_lineitems!$I$3:$I$1567,data_lineitems!$A$3:$A$1567,"UK",data_lineitems!$B$3:$B$1567,2014,data_lineitems!$C$3:$C$1567,"medium",data_lineitems!$D$3:$D$1567,"E1",data_lineitems!$F$3:$F$1567,"2 Gen capital recovery")</f>
        <v/>
      </c>
      <c r="J29" s="77">
        <f>SUMIFS(data_lineitems!$I$3:$I$1567,data_lineitems!$A$3:$A$1567,"UK",data_lineitems!$B$3:$B$1567,2015,data_lineitems!$C$3:$C$1567,"medium",data_lineitems!$D$3:$D$1567,"E1",data_lineitems!$F$3:$F$1567,"2 Gen capital recovery")</f>
        <v/>
      </c>
      <c r="K29" s="77">
        <f>SUMIFS(data_lineitems!$I$3:$I$1567,data_lineitems!$A$3:$A$1567,"UK",data_lineitems!$B$3:$B$1567,2016,data_lineitems!$C$3:$C$1567,"medium",data_lineitems!$D$3:$D$1567,"E1",data_lineitems!$F$3:$F$1567,"2 Gen capital recovery")</f>
        <v/>
      </c>
      <c r="L29" s="77">
        <f>SUMIFS(data_lineitems!$I$3:$I$1567,data_lineitems!$A$3:$A$1567,"UK",data_lineitems!$B$3:$B$1567,2017,data_lineitems!$C$3:$C$1567,"medium",data_lineitems!$D$3:$D$1567,"E1",data_lineitems!$F$3:$F$1567,"2 Gen capital recovery")</f>
        <v/>
      </c>
      <c r="M29" s="77">
        <f>SUMIFS(data_lineitems!$I$3:$I$1567,data_lineitems!$A$3:$A$1567,"UK",data_lineitems!$B$3:$B$1567,2018,data_lineitems!$C$3:$C$1567,"medium",data_lineitems!$D$3:$D$1567,"E1",data_lineitems!$F$3:$F$1567,"2 Gen capital recovery")</f>
        <v/>
      </c>
      <c r="N29" s="77">
        <f>SUMIFS(data_lineitems!$I$3:$I$1567,data_lineitems!$A$3:$A$1567,"UK",data_lineitems!$B$3:$B$1567,2019,data_lineitems!$C$3:$C$1567,"medium",data_lineitems!$D$3:$D$1567,"E1",data_lineitems!$F$3:$F$1567,"2 Gen capital recovery")</f>
        <v/>
      </c>
      <c r="O29" s="77">
        <f>SUMIFS(data_lineitems!$I$3:$I$1567,data_lineitems!$A$3:$A$1567,"UK",data_lineitems!$B$3:$B$1567,2020,data_lineitems!$C$3:$C$1567,"medium",data_lineitems!$D$3:$D$1567,"E1",data_lineitems!$F$3:$F$1567,"2 Gen capital recovery")</f>
        <v/>
      </c>
      <c r="P29" s="77">
        <f>SUMIFS(data_lineitems!$I$3:$I$1567,data_lineitems!$A$3:$A$1567,"UK",data_lineitems!$B$3:$B$1567,2021,data_lineitems!$C$3:$C$1567,"medium",data_lineitems!$D$3:$D$1567,"E1",data_lineitems!$F$3:$F$1567,"2 Gen capital recovery")</f>
        <v/>
      </c>
      <c r="Q29" s="77">
        <f>SUMIFS(data_lineitems!$I$3:$I$1567,data_lineitems!$A$3:$A$1567,"UK",data_lineitems!$B$3:$B$1567,2022,data_lineitems!$C$3:$C$1567,"medium",data_lineitems!$D$3:$D$1567,"E1",data_lineitems!$F$3:$F$1567,"2 Gen capital recovery")</f>
        <v/>
      </c>
      <c r="R29" s="77">
        <f>SUMIFS(data_lineitems!$I$3:$I$1567,data_lineitems!$A$3:$A$1567,"UK",data_lineitems!$B$3:$B$1567,2023,data_lineitems!$C$3:$C$1567,"medium",data_lineitems!$D$3:$D$1567,"E1",data_lineitems!$F$3:$F$1567,"2 Gen capital recovery")</f>
        <v/>
      </c>
      <c r="S29" s="77">
        <f>SUMIFS(data_lineitems!$I$3:$I$1567,data_lineitems!$A$3:$A$1567,"UK",data_lineitems!$B$3:$B$1567,2024,data_lineitems!$C$3:$C$1567,"medium",data_lineitems!$D$3:$D$1567,"E1",data_lineitems!$F$3:$F$1567,"2 Gen capital recovery")</f>
        <v/>
      </c>
      <c r="T29" s="77">
        <f>SUMIFS(data_lineitems!$I$3:$I$1567,data_lineitems!$A$3:$A$1567,"UK",data_lineitems!$B$3:$B$1567,2025,data_lineitems!$C$3:$C$1567,"medium",data_lineitems!$D$3:$D$1567,"E1",data_lineitems!$F$3:$F$1567,"2 Gen capital recovery")</f>
        <v/>
      </c>
    </row>
    <row r="30" ht="15" customHeight="1" s="78">
      <c r="A30" s="77" t="inlineStr">
        <is>
          <t>UK</t>
        </is>
      </c>
      <c r="B30" s="77" t="inlineStr">
        <is>
          <t>medium</t>
        </is>
      </c>
      <c r="C30" s="77" t="inlineStr">
        <is>
          <t>E1</t>
        </is>
      </c>
      <c r="D30" s="77" t="inlineStr">
        <is>
          <t>3 Network</t>
        </is>
      </c>
      <c r="E30" s="77">
        <f>SUMIFS(data_lineitems!$I$3:$I$1567,data_lineitems!$A$3:$A$1567,"UK",data_lineitems!$B$3:$B$1567,2010,data_lineitems!$C$3:$C$1567,"medium",data_lineitems!$D$3:$D$1567,"E1",data_lineitems!$F$3:$F$1567,"3 Network")</f>
        <v/>
      </c>
      <c r="F30" s="77">
        <f>SUMIFS(data_lineitems!$I$3:$I$1567,data_lineitems!$A$3:$A$1567,"UK",data_lineitems!$B$3:$B$1567,2011,data_lineitems!$C$3:$C$1567,"medium",data_lineitems!$D$3:$D$1567,"E1",data_lineitems!$F$3:$F$1567,"3 Network")</f>
        <v/>
      </c>
      <c r="G30" s="77">
        <f>SUMIFS(data_lineitems!$I$3:$I$1567,data_lineitems!$A$3:$A$1567,"UK",data_lineitems!$B$3:$B$1567,2012,data_lineitems!$C$3:$C$1567,"medium",data_lineitems!$D$3:$D$1567,"E1",data_lineitems!$F$3:$F$1567,"3 Network")</f>
        <v/>
      </c>
      <c r="H30" s="77">
        <f>SUMIFS(data_lineitems!$I$3:$I$1567,data_lineitems!$A$3:$A$1567,"UK",data_lineitems!$B$3:$B$1567,2013,data_lineitems!$C$3:$C$1567,"medium",data_lineitems!$D$3:$D$1567,"E1",data_lineitems!$F$3:$F$1567,"3 Network")</f>
        <v/>
      </c>
      <c r="I30" s="77">
        <f>SUMIFS(data_lineitems!$I$3:$I$1567,data_lineitems!$A$3:$A$1567,"UK",data_lineitems!$B$3:$B$1567,2014,data_lineitems!$C$3:$C$1567,"medium",data_lineitems!$D$3:$D$1567,"E1",data_lineitems!$F$3:$F$1567,"3 Network")</f>
        <v/>
      </c>
      <c r="J30" s="77">
        <f>SUMIFS(data_lineitems!$I$3:$I$1567,data_lineitems!$A$3:$A$1567,"UK",data_lineitems!$B$3:$B$1567,2015,data_lineitems!$C$3:$C$1567,"medium",data_lineitems!$D$3:$D$1567,"E1",data_lineitems!$F$3:$F$1567,"3 Network")</f>
        <v/>
      </c>
      <c r="K30" s="77">
        <f>SUMIFS(data_lineitems!$I$3:$I$1567,data_lineitems!$A$3:$A$1567,"UK",data_lineitems!$B$3:$B$1567,2016,data_lineitems!$C$3:$C$1567,"medium",data_lineitems!$D$3:$D$1567,"E1",data_lineitems!$F$3:$F$1567,"3 Network")</f>
        <v/>
      </c>
      <c r="L30" s="77">
        <f>SUMIFS(data_lineitems!$I$3:$I$1567,data_lineitems!$A$3:$A$1567,"UK",data_lineitems!$B$3:$B$1567,2017,data_lineitems!$C$3:$C$1567,"medium",data_lineitems!$D$3:$D$1567,"E1",data_lineitems!$F$3:$F$1567,"3 Network")</f>
        <v/>
      </c>
      <c r="M30" s="77">
        <f>SUMIFS(data_lineitems!$I$3:$I$1567,data_lineitems!$A$3:$A$1567,"UK",data_lineitems!$B$3:$B$1567,2018,data_lineitems!$C$3:$C$1567,"medium",data_lineitems!$D$3:$D$1567,"E1",data_lineitems!$F$3:$F$1567,"3 Network")</f>
        <v/>
      </c>
      <c r="N30" s="77">
        <f>SUMIFS(data_lineitems!$I$3:$I$1567,data_lineitems!$A$3:$A$1567,"UK",data_lineitems!$B$3:$B$1567,2019,data_lineitems!$C$3:$C$1567,"medium",data_lineitems!$D$3:$D$1567,"E1",data_lineitems!$F$3:$F$1567,"3 Network")</f>
        <v/>
      </c>
      <c r="O30" s="77">
        <f>SUMIFS(data_lineitems!$I$3:$I$1567,data_lineitems!$A$3:$A$1567,"UK",data_lineitems!$B$3:$B$1567,2020,data_lineitems!$C$3:$C$1567,"medium",data_lineitems!$D$3:$D$1567,"E1",data_lineitems!$F$3:$F$1567,"3 Network")</f>
        <v/>
      </c>
      <c r="P30" s="77">
        <f>SUMIFS(data_lineitems!$I$3:$I$1567,data_lineitems!$A$3:$A$1567,"UK",data_lineitems!$B$3:$B$1567,2021,data_lineitems!$C$3:$C$1567,"medium",data_lineitems!$D$3:$D$1567,"E1",data_lineitems!$F$3:$F$1567,"3 Network")</f>
        <v/>
      </c>
      <c r="Q30" s="77">
        <f>SUMIFS(data_lineitems!$I$3:$I$1567,data_lineitems!$A$3:$A$1567,"UK",data_lineitems!$B$3:$B$1567,2022,data_lineitems!$C$3:$C$1567,"medium",data_lineitems!$D$3:$D$1567,"E1",data_lineitems!$F$3:$F$1567,"3 Network")</f>
        <v/>
      </c>
      <c r="R30" s="77">
        <f>SUMIFS(data_lineitems!$I$3:$I$1567,data_lineitems!$A$3:$A$1567,"UK",data_lineitems!$B$3:$B$1567,2023,data_lineitems!$C$3:$C$1567,"medium",data_lineitems!$D$3:$D$1567,"E1",data_lineitems!$F$3:$F$1567,"3 Network")</f>
        <v/>
      </c>
      <c r="S30" s="77">
        <f>SUMIFS(data_lineitems!$I$3:$I$1567,data_lineitems!$A$3:$A$1567,"UK",data_lineitems!$B$3:$B$1567,2024,data_lineitems!$C$3:$C$1567,"medium",data_lineitems!$D$3:$D$1567,"E1",data_lineitems!$F$3:$F$1567,"3 Network")</f>
        <v/>
      </c>
      <c r="T30" s="77">
        <f>SUMIFS(data_lineitems!$I$3:$I$1567,data_lineitems!$A$3:$A$1567,"UK",data_lineitems!$B$3:$B$1567,2025,data_lineitems!$C$3:$C$1567,"medium",data_lineitems!$D$3:$D$1567,"E1",data_lineitems!$F$3:$F$1567,"3 Network")</f>
        <v/>
      </c>
    </row>
    <row r="31" ht="15" customHeight="1" s="78">
      <c r="A31" s="77" t="inlineStr">
        <is>
          <t>UK</t>
        </is>
      </c>
      <c r="B31" s="77" t="inlineStr">
        <is>
          <t>medium</t>
        </is>
      </c>
      <c r="C31" s="77" t="inlineStr">
        <is>
          <t>E1</t>
        </is>
      </c>
      <c r="D31" s="77" t="inlineStr">
        <is>
          <t>4 System services &amp; balancing</t>
        </is>
      </c>
      <c r="E31" s="77">
        <f>SUMIFS(data_lineitems!$I$3:$I$1567,data_lineitems!$A$3:$A$1567,"UK",data_lineitems!$B$3:$B$1567,2010,data_lineitems!$C$3:$C$1567,"medium",data_lineitems!$D$3:$D$1567,"E1",data_lineitems!$F$3:$F$1567,"4 System services &amp; balancing")</f>
        <v/>
      </c>
      <c r="F31" s="77">
        <f>SUMIFS(data_lineitems!$I$3:$I$1567,data_lineitems!$A$3:$A$1567,"UK",data_lineitems!$B$3:$B$1567,2011,data_lineitems!$C$3:$C$1567,"medium",data_lineitems!$D$3:$D$1567,"E1",data_lineitems!$F$3:$F$1567,"4 System services &amp; balancing")</f>
        <v/>
      </c>
      <c r="G31" s="77">
        <f>SUMIFS(data_lineitems!$I$3:$I$1567,data_lineitems!$A$3:$A$1567,"UK",data_lineitems!$B$3:$B$1567,2012,data_lineitems!$C$3:$C$1567,"medium",data_lineitems!$D$3:$D$1567,"E1",data_lineitems!$F$3:$F$1567,"4 System services &amp; balancing")</f>
        <v/>
      </c>
      <c r="H31" s="77">
        <f>SUMIFS(data_lineitems!$I$3:$I$1567,data_lineitems!$A$3:$A$1567,"UK",data_lineitems!$B$3:$B$1567,2013,data_lineitems!$C$3:$C$1567,"medium",data_lineitems!$D$3:$D$1567,"E1",data_lineitems!$F$3:$F$1567,"4 System services &amp; balancing")</f>
        <v/>
      </c>
      <c r="I31" s="77">
        <f>SUMIFS(data_lineitems!$I$3:$I$1567,data_lineitems!$A$3:$A$1567,"UK",data_lineitems!$B$3:$B$1567,2014,data_lineitems!$C$3:$C$1567,"medium",data_lineitems!$D$3:$D$1567,"E1",data_lineitems!$F$3:$F$1567,"4 System services &amp; balancing")</f>
        <v/>
      </c>
      <c r="J31" s="77">
        <f>SUMIFS(data_lineitems!$I$3:$I$1567,data_lineitems!$A$3:$A$1567,"UK",data_lineitems!$B$3:$B$1567,2015,data_lineitems!$C$3:$C$1567,"medium",data_lineitems!$D$3:$D$1567,"E1",data_lineitems!$F$3:$F$1567,"4 System services &amp; balancing")</f>
        <v/>
      </c>
      <c r="K31" s="77">
        <f>SUMIFS(data_lineitems!$I$3:$I$1567,data_lineitems!$A$3:$A$1567,"UK",data_lineitems!$B$3:$B$1567,2016,data_lineitems!$C$3:$C$1567,"medium",data_lineitems!$D$3:$D$1567,"E1",data_lineitems!$F$3:$F$1567,"4 System services &amp; balancing")</f>
        <v/>
      </c>
      <c r="L31" s="77">
        <f>SUMIFS(data_lineitems!$I$3:$I$1567,data_lineitems!$A$3:$A$1567,"UK",data_lineitems!$B$3:$B$1567,2017,data_lineitems!$C$3:$C$1567,"medium",data_lineitems!$D$3:$D$1567,"E1",data_lineitems!$F$3:$F$1567,"4 System services &amp; balancing")</f>
        <v/>
      </c>
      <c r="M31" s="77">
        <f>SUMIFS(data_lineitems!$I$3:$I$1567,data_lineitems!$A$3:$A$1567,"UK",data_lineitems!$B$3:$B$1567,2018,data_lineitems!$C$3:$C$1567,"medium",data_lineitems!$D$3:$D$1567,"E1",data_lineitems!$F$3:$F$1567,"4 System services &amp; balancing")</f>
        <v/>
      </c>
      <c r="N31" s="77">
        <f>SUMIFS(data_lineitems!$I$3:$I$1567,data_lineitems!$A$3:$A$1567,"UK",data_lineitems!$B$3:$B$1567,2019,data_lineitems!$C$3:$C$1567,"medium",data_lineitems!$D$3:$D$1567,"E1",data_lineitems!$F$3:$F$1567,"4 System services &amp; balancing")</f>
        <v/>
      </c>
      <c r="O31" s="77">
        <f>SUMIFS(data_lineitems!$I$3:$I$1567,data_lineitems!$A$3:$A$1567,"UK",data_lineitems!$B$3:$B$1567,2020,data_lineitems!$C$3:$C$1567,"medium",data_lineitems!$D$3:$D$1567,"E1",data_lineitems!$F$3:$F$1567,"4 System services &amp; balancing")</f>
        <v/>
      </c>
      <c r="P31" s="77">
        <f>SUMIFS(data_lineitems!$I$3:$I$1567,data_lineitems!$A$3:$A$1567,"UK",data_lineitems!$B$3:$B$1567,2021,data_lineitems!$C$3:$C$1567,"medium",data_lineitems!$D$3:$D$1567,"E1",data_lineitems!$F$3:$F$1567,"4 System services &amp; balancing")</f>
        <v/>
      </c>
      <c r="Q31" s="77">
        <f>SUMIFS(data_lineitems!$I$3:$I$1567,data_lineitems!$A$3:$A$1567,"UK",data_lineitems!$B$3:$B$1567,2022,data_lineitems!$C$3:$C$1567,"medium",data_lineitems!$D$3:$D$1567,"E1",data_lineitems!$F$3:$F$1567,"4 System services &amp; balancing")</f>
        <v/>
      </c>
      <c r="R31" s="77">
        <f>SUMIFS(data_lineitems!$I$3:$I$1567,data_lineitems!$A$3:$A$1567,"UK",data_lineitems!$B$3:$B$1567,2023,data_lineitems!$C$3:$C$1567,"medium",data_lineitems!$D$3:$D$1567,"E1",data_lineitems!$F$3:$F$1567,"4 System services &amp; balancing")</f>
        <v/>
      </c>
      <c r="S31" s="77">
        <f>SUMIFS(data_lineitems!$I$3:$I$1567,data_lineitems!$A$3:$A$1567,"UK",data_lineitems!$B$3:$B$1567,2024,data_lineitems!$C$3:$C$1567,"medium",data_lineitems!$D$3:$D$1567,"E1",data_lineitems!$F$3:$F$1567,"4 System services &amp; balancing")</f>
        <v/>
      </c>
      <c r="T31" s="77">
        <f>SUMIFS(data_lineitems!$I$3:$I$1567,data_lineitems!$A$3:$A$1567,"UK",data_lineitems!$B$3:$B$1567,2025,data_lineitems!$C$3:$C$1567,"medium",data_lineitems!$D$3:$D$1567,"E1",data_lineitems!$F$3:$F$1567,"4 System services &amp; balancing")</f>
        <v/>
      </c>
    </row>
    <row r="32" ht="15" customHeight="1" s="78">
      <c r="A32" s="77" t="inlineStr">
        <is>
          <t>UK</t>
        </is>
      </c>
      <c r="B32" s="77" t="inlineStr">
        <is>
          <t>medium</t>
        </is>
      </c>
      <c r="C32" s="77" t="inlineStr">
        <is>
          <t>E1</t>
        </is>
      </c>
      <c r="D32" s="77" t="inlineStr">
        <is>
          <t>5 General taxation &amp; levies</t>
        </is>
      </c>
      <c r="E32" s="77">
        <f>SUMIFS(data_lineitems!$I$3:$I$1567,data_lineitems!$A$3:$A$1567,"UK",data_lineitems!$B$3:$B$1567,2010,data_lineitems!$C$3:$C$1567,"medium",data_lineitems!$D$3:$D$1567,"E1",data_lineitems!$F$3:$F$1567,"5 General taxation &amp; levies")</f>
        <v/>
      </c>
      <c r="F32" s="77">
        <f>SUMIFS(data_lineitems!$I$3:$I$1567,data_lineitems!$A$3:$A$1567,"UK",data_lineitems!$B$3:$B$1567,2011,data_lineitems!$C$3:$C$1567,"medium",data_lineitems!$D$3:$D$1567,"E1",data_lineitems!$F$3:$F$1567,"5 General taxation &amp; levies")</f>
        <v/>
      </c>
      <c r="G32" s="77">
        <f>SUMIFS(data_lineitems!$I$3:$I$1567,data_lineitems!$A$3:$A$1567,"UK",data_lineitems!$B$3:$B$1567,2012,data_lineitems!$C$3:$C$1567,"medium",data_lineitems!$D$3:$D$1567,"E1",data_lineitems!$F$3:$F$1567,"5 General taxation &amp; levies")</f>
        <v/>
      </c>
      <c r="H32" s="77">
        <f>SUMIFS(data_lineitems!$I$3:$I$1567,data_lineitems!$A$3:$A$1567,"UK",data_lineitems!$B$3:$B$1567,2013,data_lineitems!$C$3:$C$1567,"medium",data_lineitems!$D$3:$D$1567,"E1",data_lineitems!$F$3:$F$1567,"5 General taxation &amp; levies")</f>
        <v/>
      </c>
      <c r="I32" s="77">
        <f>SUMIFS(data_lineitems!$I$3:$I$1567,data_lineitems!$A$3:$A$1567,"UK",data_lineitems!$B$3:$B$1567,2014,data_lineitems!$C$3:$C$1567,"medium",data_lineitems!$D$3:$D$1567,"E1",data_lineitems!$F$3:$F$1567,"5 General taxation &amp; levies")</f>
        <v/>
      </c>
      <c r="J32" s="77">
        <f>SUMIFS(data_lineitems!$I$3:$I$1567,data_lineitems!$A$3:$A$1567,"UK",data_lineitems!$B$3:$B$1567,2015,data_lineitems!$C$3:$C$1567,"medium",data_lineitems!$D$3:$D$1567,"E1",data_lineitems!$F$3:$F$1567,"5 General taxation &amp; levies")</f>
        <v/>
      </c>
      <c r="K32" s="77">
        <f>SUMIFS(data_lineitems!$I$3:$I$1567,data_lineitems!$A$3:$A$1567,"UK",data_lineitems!$B$3:$B$1567,2016,data_lineitems!$C$3:$C$1567,"medium",data_lineitems!$D$3:$D$1567,"E1",data_lineitems!$F$3:$F$1567,"5 General taxation &amp; levies")</f>
        <v/>
      </c>
      <c r="L32" s="77">
        <f>SUMIFS(data_lineitems!$I$3:$I$1567,data_lineitems!$A$3:$A$1567,"UK",data_lineitems!$B$3:$B$1567,2017,data_lineitems!$C$3:$C$1567,"medium",data_lineitems!$D$3:$D$1567,"E1",data_lineitems!$F$3:$F$1567,"5 General taxation &amp; levies")</f>
        <v/>
      </c>
      <c r="M32" s="77">
        <f>SUMIFS(data_lineitems!$I$3:$I$1567,data_lineitems!$A$3:$A$1567,"UK",data_lineitems!$B$3:$B$1567,2018,data_lineitems!$C$3:$C$1567,"medium",data_lineitems!$D$3:$D$1567,"E1",data_lineitems!$F$3:$F$1567,"5 General taxation &amp; levies")</f>
        <v/>
      </c>
      <c r="N32" s="77">
        <f>SUMIFS(data_lineitems!$I$3:$I$1567,data_lineitems!$A$3:$A$1567,"UK",data_lineitems!$B$3:$B$1567,2019,data_lineitems!$C$3:$C$1567,"medium",data_lineitems!$D$3:$D$1567,"E1",data_lineitems!$F$3:$F$1567,"5 General taxation &amp; levies")</f>
        <v/>
      </c>
      <c r="O32" s="77">
        <f>SUMIFS(data_lineitems!$I$3:$I$1567,data_lineitems!$A$3:$A$1567,"UK",data_lineitems!$B$3:$B$1567,2020,data_lineitems!$C$3:$C$1567,"medium",data_lineitems!$D$3:$D$1567,"E1",data_lineitems!$F$3:$F$1567,"5 General taxation &amp; levies")</f>
        <v/>
      </c>
      <c r="P32" s="77">
        <f>SUMIFS(data_lineitems!$I$3:$I$1567,data_lineitems!$A$3:$A$1567,"UK",data_lineitems!$B$3:$B$1567,2021,data_lineitems!$C$3:$C$1567,"medium",data_lineitems!$D$3:$D$1567,"E1",data_lineitems!$F$3:$F$1567,"5 General taxation &amp; levies")</f>
        <v/>
      </c>
      <c r="Q32" s="77">
        <f>SUMIFS(data_lineitems!$I$3:$I$1567,data_lineitems!$A$3:$A$1567,"UK",data_lineitems!$B$3:$B$1567,2022,data_lineitems!$C$3:$C$1567,"medium",data_lineitems!$D$3:$D$1567,"E1",data_lineitems!$F$3:$F$1567,"5 General taxation &amp; levies")</f>
        <v/>
      </c>
      <c r="R32" s="77">
        <f>SUMIFS(data_lineitems!$I$3:$I$1567,data_lineitems!$A$3:$A$1567,"UK",data_lineitems!$B$3:$B$1567,2023,data_lineitems!$C$3:$C$1567,"medium",data_lineitems!$D$3:$D$1567,"E1",data_lineitems!$F$3:$F$1567,"5 General taxation &amp; levies")</f>
        <v/>
      </c>
      <c r="S32" s="77">
        <f>SUMIFS(data_lineitems!$I$3:$I$1567,data_lineitems!$A$3:$A$1567,"UK",data_lineitems!$B$3:$B$1567,2024,data_lineitems!$C$3:$C$1567,"medium",data_lineitems!$D$3:$D$1567,"E1",data_lineitems!$F$3:$F$1567,"5 General taxation &amp; levies")</f>
        <v/>
      </c>
      <c r="T32" s="77">
        <f>SUMIFS(data_lineitems!$I$3:$I$1567,data_lineitems!$A$3:$A$1567,"UK",data_lineitems!$B$3:$B$1567,2025,data_lineitems!$C$3:$C$1567,"medium",data_lineitems!$D$3:$D$1567,"E1",data_lineitems!$F$3:$F$1567,"5 General taxation &amp; levies")</f>
        <v/>
      </c>
    </row>
    <row r="33" ht="15" customHeight="1" s="78">
      <c r="A33" s="77" t="inlineStr">
        <is>
          <t>UK</t>
        </is>
      </c>
      <c r="B33" s="77" t="inlineStr">
        <is>
          <t>medium</t>
        </is>
      </c>
      <c r="C33" s="77" t="inlineStr">
        <is>
          <t>E1</t>
        </is>
      </c>
      <c r="D33" s="77" t="inlineStr">
        <is>
          <t>TOTAL modelled (sum buckets)</t>
        </is>
      </c>
      <c r="E33" s="77">
        <f>SUM(E28:E32)</f>
        <v/>
      </c>
      <c r="F33" s="77">
        <f>SUM(F28:F32)</f>
        <v/>
      </c>
      <c r="G33" s="77">
        <f>SUM(G28:G32)</f>
        <v/>
      </c>
      <c r="H33" s="77">
        <f>SUM(H28:H32)</f>
        <v/>
      </c>
      <c r="I33" s="77">
        <f>SUM(I28:I32)</f>
        <v/>
      </c>
      <c r="J33" s="77">
        <f>SUM(J28:J32)</f>
        <v/>
      </c>
      <c r="K33" s="77">
        <f>SUM(K28:K32)</f>
        <v/>
      </c>
      <c r="L33" s="77">
        <f>SUM(L28:L32)</f>
        <v/>
      </c>
      <c r="M33" s="77">
        <f>SUM(M28:M32)</f>
        <v/>
      </c>
      <c r="N33" s="77">
        <f>SUM(N28:N32)</f>
        <v/>
      </c>
      <c r="O33" s="77">
        <f>SUM(O28:O32)</f>
        <v/>
      </c>
      <c r="P33" s="77">
        <f>SUM(P28:P32)</f>
        <v/>
      </c>
      <c r="Q33" s="77">
        <f>SUM(Q28:Q32)</f>
        <v/>
      </c>
      <c r="R33" s="77">
        <f>SUM(R28:R32)</f>
        <v/>
      </c>
      <c r="S33" s="77">
        <f>SUM(S28:S32)</f>
        <v/>
      </c>
      <c r="T33" s="77">
        <f>SUM(T28:T32)</f>
        <v/>
      </c>
    </row>
    <row r="34" ht="15" customHeight="1" s="78">
      <c r="A34" s="77" t="inlineStr">
        <is>
          <t>UK</t>
        </is>
      </c>
      <c r="B34" s="77" t="inlineStr">
        <is>
          <t>medium</t>
        </is>
      </c>
      <c r="C34" s="77" t="inlineStr">
        <is>
          <t>E1</t>
        </is>
      </c>
      <c r="D34" s="77" t="inlineStr">
        <is>
          <t>REFERENCE — timeseries USD r76</t>
        </is>
      </c>
      <c r="E34" s="136">
        <f>IF(ISNUMBER(timeseries!D76),timeseries!D76,"")</f>
        <v/>
      </c>
      <c r="F34" s="136">
        <f>IF(ISNUMBER(timeseries!E76),timeseries!E76,"")</f>
        <v/>
      </c>
      <c r="G34" s="136">
        <f>IF(ISNUMBER(timeseries!F76),timeseries!F76,"")</f>
        <v/>
      </c>
      <c r="H34" s="136">
        <f>IF(ISNUMBER(timeseries!G76),timeseries!G76,"")</f>
        <v/>
      </c>
      <c r="I34" s="136">
        <f>IF(ISNUMBER(timeseries!H76),timeseries!H76,"")</f>
        <v/>
      </c>
      <c r="J34" s="136">
        <f>IF(ISNUMBER(timeseries!I76),timeseries!I76,"")</f>
        <v/>
      </c>
      <c r="K34" s="136">
        <f>IF(ISNUMBER(timeseries!J76),timeseries!J76,"")</f>
        <v/>
      </c>
      <c r="L34" s="136">
        <f>IF(ISNUMBER(timeseries!K76),timeseries!K76,"")</f>
        <v/>
      </c>
      <c r="M34" s="136">
        <f>IF(ISNUMBER(timeseries!L76),timeseries!L76,"")</f>
        <v/>
      </c>
      <c r="N34" s="136">
        <f>IF(ISNUMBER(timeseries!M76),timeseries!M76,"")</f>
        <v/>
      </c>
      <c r="O34" s="136">
        <f>IF(ISNUMBER(timeseries!N76),timeseries!N76,"")</f>
        <v/>
      </c>
      <c r="P34" s="136">
        <f>IF(ISNUMBER(timeseries!O76),timeseries!O76,"")</f>
        <v/>
      </c>
      <c r="Q34" s="136">
        <f>IF(ISNUMBER(timeseries!P76),timeseries!P76,"")</f>
        <v/>
      </c>
      <c r="R34" s="136">
        <f>IF(ISNUMBER(timeseries!Q76),timeseries!Q76,"")</f>
        <v/>
      </c>
      <c r="S34" s="136">
        <f>IF(ISNUMBER(timeseries!R76),timeseries!R76,"")</f>
        <v/>
      </c>
      <c r="T34" s="136">
        <f>IF(ISNUMBER(timeseries!S76),timeseries!S76,"")</f>
        <v/>
      </c>
    </row>
    <row r="35" ht="15" customHeight="1" s="78">
      <c r="A35" s="77" t="inlineStr">
        <is>
          <t>UK</t>
        </is>
      </c>
      <c r="B35" s="77" t="inlineStr">
        <is>
          <t>medium</t>
        </is>
      </c>
      <c r="C35" s="77" t="inlineStr">
        <is>
          <t>E1</t>
        </is>
      </c>
      <c r="D35" s="77" t="inlineStr">
        <is>
          <t>RECONCILIATION (total/ref - 1)</t>
        </is>
      </c>
      <c r="E35" s="77">
        <f>IF(AND(ISNUMBER(E34),E34&lt;&gt;0,ISNUMBER(E33)),E33/E34-1,"n/a")</f>
        <v/>
      </c>
      <c r="F35" s="77">
        <f>IF(AND(ISNUMBER(F34),F34&lt;&gt;0,ISNUMBER(F33)),F33/F34-1,"n/a")</f>
        <v/>
      </c>
      <c r="G35" s="77">
        <f>IF(AND(ISNUMBER(G34),G34&lt;&gt;0,ISNUMBER(G33)),G33/G34-1,"n/a")</f>
        <v/>
      </c>
      <c r="H35" s="77">
        <f>IF(AND(ISNUMBER(H34),H34&lt;&gt;0,ISNUMBER(H33)),H33/H34-1,"n/a")</f>
        <v/>
      </c>
      <c r="I35" s="77">
        <f>IF(AND(ISNUMBER(I34),I34&lt;&gt;0,ISNUMBER(I33)),I33/I34-1,"n/a")</f>
        <v/>
      </c>
      <c r="J35" s="77">
        <f>IF(AND(ISNUMBER(J34),J34&lt;&gt;0,ISNUMBER(J33)),J33/J34-1,"n/a")</f>
        <v/>
      </c>
      <c r="K35" s="77">
        <f>IF(AND(ISNUMBER(K34),K34&lt;&gt;0,ISNUMBER(K33)),K33/K34-1,"n/a")</f>
        <v/>
      </c>
      <c r="L35" s="77">
        <f>IF(AND(ISNUMBER(L34),L34&lt;&gt;0,ISNUMBER(L33)),L33/L34-1,"n/a")</f>
        <v/>
      </c>
      <c r="M35" s="77">
        <f>IF(AND(ISNUMBER(M34),M34&lt;&gt;0,ISNUMBER(M33)),M33/M34-1,"n/a")</f>
        <v/>
      </c>
      <c r="N35" s="77">
        <f>IF(AND(ISNUMBER(N34),N34&lt;&gt;0,ISNUMBER(N33)),N33/N34-1,"n/a")</f>
        <v/>
      </c>
      <c r="O35" s="77">
        <f>IF(AND(ISNUMBER(O34),O34&lt;&gt;0,ISNUMBER(O33)),O33/O34-1,"n/a")</f>
        <v/>
      </c>
      <c r="P35" s="77">
        <f>IF(AND(ISNUMBER(P34),P34&lt;&gt;0,ISNUMBER(P33)),P33/P34-1,"n/a")</f>
        <v/>
      </c>
      <c r="Q35" s="77">
        <f>IF(AND(ISNUMBER(Q34),Q34&lt;&gt;0,ISNUMBER(Q33)),Q33/Q34-1,"n/a")</f>
        <v/>
      </c>
      <c r="R35" s="77">
        <f>IF(AND(ISNUMBER(R34),R34&lt;&gt;0,ISNUMBER(R33)),R33/R34-1,"n/a")</f>
        <v/>
      </c>
      <c r="S35" s="77">
        <f>IF(AND(ISNUMBER(S34),S34&lt;&gt;0,ISNUMBER(S33)),S33/S34-1,"n/a")</f>
        <v/>
      </c>
      <c r="T35" s="77">
        <f>IF(AND(ISNUMBER(T34),T34&lt;&gt;0,ISNUMBER(T33)),T33/T34-1,"n/a")</f>
        <v/>
      </c>
    </row>
    <row r="36" ht="15" customHeight="1" s="78">
      <c r="A36" s="77" t="inlineStr">
        <is>
          <t>UK</t>
        </is>
      </c>
      <c r="B36" s="77" t="inlineStr">
        <is>
          <t>medium</t>
        </is>
      </c>
      <c r="C36" s="77" t="inlineStr">
        <is>
          <t>E1</t>
        </is>
      </c>
      <c r="D36" s="77" t="inlineStr">
        <is>
          <t>GATE +/-2 pct</t>
        </is>
      </c>
      <c r="E36" s="77">
        <f>IF(ISNUMBER(E35),IF(ABS(E35)&lt;=0.02,"PASS","FAIL"),"n/a")</f>
        <v/>
      </c>
      <c r="F36" s="77">
        <f>IF(ISNUMBER(F35),IF(ABS(F35)&lt;=0.02,"PASS","FAIL"),"n/a")</f>
        <v/>
      </c>
      <c r="G36" s="77">
        <f>IF(ISNUMBER(G35),IF(ABS(G35)&lt;=0.02,"PASS","FAIL"),"n/a")</f>
        <v/>
      </c>
      <c r="H36" s="77">
        <f>IF(ISNUMBER(H35),IF(ABS(H35)&lt;=0.02,"PASS","FAIL"),"n/a")</f>
        <v/>
      </c>
      <c r="I36" s="77">
        <f>IF(ISNUMBER(I35),IF(ABS(I35)&lt;=0.02,"PASS","FAIL"),"n/a")</f>
        <v/>
      </c>
      <c r="J36" s="77">
        <f>IF(ISNUMBER(J35),IF(ABS(J35)&lt;=0.02,"PASS","FAIL"),"n/a")</f>
        <v/>
      </c>
      <c r="K36" s="77">
        <f>IF(ISNUMBER(K35),IF(ABS(K35)&lt;=0.02,"PASS","FAIL"),"n/a")</f>
        <v/>
      </c>
      <c r="L36" s="77">
        <f>IF(ISNUMBER(L35),IF(ABS(L35)&lt;=0.02,"PASS","FAIL"),"n/a")</f>
        <v/>
      </c>
      <c r="M36" s="77">
        <f>IF(ISNUMBER(M35),IF(ABS(M35)&lt;=0.02,"PASS","FAIL"),"n/a")</f>
        <v/>
      </c>
      <c r="N36" s="77">
        <f>IF(ISNUMBER(N35),IF(ABS(N35)&lt;=0.02,"PASS","FAIL"),"n/a")</f>
        <v/>
      </c>
      <c r="O36" s="77">
        <f>IF(ISNUMBER(O35),IF(ABS(O35)&lt;=0.02,"PASS","FAIL"),"n/a")</f>
        <v/>
      </c>
      <c r="P36" s="77">
        <f>IF(ISNUMBER(P35),IF(ABS(P35)&lt;=0.02,"PASS","FAIL"),"n/a")</f>
        <v/>
      </c>
      <c r="Q36" s="77">
        <f>IF(ISNUMBER(Q35),IF(ABS(Q35)&lt;=0.02,"PASS","FAIL"),"n/a")</f>
        <v/>
      </c>
      <c r="R36" s="77">
        <f>IF(ISNUMBER(R35),IF(ABS(R35)&lt;=0.02,"PASS","FAIL"),"n/a")</f>
        <v/>
      </c>
      <c r="S36" s="77">
        <f>IF(ISNUMBER(S35),IF(ABS(S35)&lt;=0.02,"PASS","FAIL"),"n/a")</f>
        <v/>
      </c>
      <c r="T36" s="77">
        <f>IF(ISNUMBER(T35),IF(ABS(T35)&lt;=0.02,"PASS","FAIL"),"n/a")</f>
        <v/>
      </c>
    </row>
    <row r="38" ht="15" customHeight="1" s="78">
      <c r="A38" s="77" t="inlineStr">
        <is>
          <t>UK</t>
        </is>
      </c>
      <c r="B38" s="77" t="inlineStr">
        <is>
          <t>medium</t>
        </is>
      </c>
      <c r="C38" s="77" t="inlineStr">
        <is>
          <t>E2</t>
        </is>
      </c>
      <c r="D38" s="77" t="inlineStr">
        <is>
          <t>leg header</t>
        </is>
      </c>
    </row>
    <row r="39" ht="15" customHeight="1" s="78">
      <c r="A39" s="77" t="inlineStr">
        <is>
          <t>UK</t>
        </is>
      </c>
      <c r="B39" s="77" t="inlineStr">
        <is>
          <t>medium</t>
        </is>
      </c>
      <c r="C39" s="77" t="inlineStr">
        <is>
          <t>E2</t>
        </is>
      </c>
      <c r="D39" s="77" t="inlineStr">
        <is>
          <t>1 Commodity</t>
        </is>
      </c>
      <c r="E39" s="77">
        <f>SUMIFS(data_lineitems!$I$3:$I$1567,data_lineitems!$A$3:$A$1567,"UK",data_lineitems!$B$3:$B$1567,2010,data_lineitems!$C$3:$C$1567,"medium",data_lineitems!$D$3:$D$1567,"E2",data_lineitems!$F$3:$F$1567,"1 Commodity")</f>
        <v/>
      </c>
      <c r="F39" s="77">
        <f>SUMIFS(data_lineitems!$I$3:$I$1567,data_lineitems!$A$3:$A$1567,"UK",data_lineitems!$B$3:$B$1567,2011,data_lineitems!$C$3:$C$1567,"medium",data_lineitems!$D$3:$D$1567,"E2",data_lineitems!$F$3:$F$1567,"1 Commodity")</f>
        <v/>
      </c>
      <c r="G39" s="77">
        <f>SUMIFS(data_lineitems!$I$3:$I$1567,data_lineitems!$A$3:$A$1567,"UK",data_lineitems!$B$3:$B$1567,2012,data_lineitems!$C$3:$C$1567,"medium",data_lineitems!$D$3:$D$1567,"E2",data_lineitems!$F$3:$F$1567,"1 Commodity")</f>
        <v/>
      </c>
      <c r="H39" s="77">
        <f>SUMIFS(data_lineitems!$I$3:$I$1567,data_lineitems!$A$3:$A$1567,"UK",data_lineitems!$B$3:$B$1567,2013,data_lineitems!$C$3:$C$1567,"medium",data_lineitems!$D$3:$D$1567,"E2",data_lineitems!$F$3:$F$1567,"1 Commodity")</f>
        <v/>
      </c>
      <c r="I39" s="77">
        <f>SUMIFS(data_lineitems!$I$3:$I$1567,data_lineitems!$A$3:$A$1567,"UK",data_lineitems!$B$3:$B$1567,2014,data_lineitems!$C$3:$C$1567,"medium",data_lineitems!$D$3:$D$1567,"E2",data_lineitems!$F$3:$F$1567,"1 Commodity")</f>
        <v/>
      </c>
      <c r="J39" s="77">
        <f>SUMIFS(data_lineitems!$I$3:$I$1567,data_lineitems!$A$3:$A$1567,"UK",data_lineitems!$B$3:$B$1567,2015,data_lineitems!$C$3:$C$1567,"medium",data_lineitems!$D$3:$D$1567,"E2",data_lineitems!$F$3:$F$1567,"1 Commodity")</f>
        <v/>
      </c>
      <c r="K39" s="77">
        <f>SUMIFS(data_lineitems!$I$3:$I$1567,data_lineitems!$A$3:$A$1567,"UK",data_lineitems!$B$3:$B$1567,2016,data_lineitems!$C$3:$C$1567,"medium",data_lineitems!$D$3:$D$1567,"E2",data_lineitems!$F$3:$F$1567,"1 Commodity")</f>
        <v/>
      </c>
      <c r="L39" s="77">
        <f>SUMIFS(data_lineitems!$I$3:$I$1567,data_lineitems!$A$3:$A$1567,"UK",data_lineitems!$B$3:$B$1567,2017,data_lineitems!$C$3:$C$1567,"medium",data_lineitems!$D$3:$D$1567,"E2",data_lineitems!$F$3:$F$1567,"1 Commodity")</f>
        <v/>
      </c>
      <c r="M39" s="77">
        <f>SUMIFS(data_lineitems!$I$3:$I$1567,data_lineitems!$A$3:$A$1567,"UK",data_lineitems!$B$3:$B$1567,2018,data_lineitems!$C$3:$C$1567,"medium",data_lineitems!$D$3:$D$1567,"E2",data_lineitems!$F$3:$F$1567,"1 Commodity")</f>
        <v/>
      </c>
      <c r="N39" s="77">
        <f>SUMIFS(data_lineitems!$I$3:$I$1567,data_lineitems!$A$3:$A$1567,"UK",data_lineitems!$B$3:$B$1567,2019,data_lineitems!$C$3:$C$1567,"medium",data_lineitems!$D$3:$D$1567,"E2",data_lineitems!$F$3:$F$1567,"1 Commodity")</f>
        <v/>
      </c>
      <c r="O39" s="77">
        <f>SUMIFS(data_lineitems!$I$3:$I$1567,data_lineitems!$A$3:$A$1567,"UK",data_lineitems!$B$3:$B$1567,2020,data_lineitems!$C$3:$C$1567,"medium",data_lineitems!$D$3:$D$1567,"E2",data_lineitems!$F$3:$F$1567,"1 Commodity")</f>
        <v/>
      </c>
      <c r="P39" s="77">
        <f>SUMIFS(data_lineitems!$I$3:$I$1567,data_lineitems!$A$3:$A$1567,"UK",data_lineitems!$B$3:$B$1567,2021,data_lineitems!$C$3:$C$1567,"medium",data_lineitems!$D$3:$D$1567,"E2",data_lineitems!$F$3:$F$1567,"1 Commodity")</f>
        <v/>
      </c>
      <c r="Q39" s="77">
        <f>SUMIFS(data_lineitems!$I$3:$I$1567,data_lineitems!$A$3:$A$1567,"UK",data_lineitems!$B$3:$B$1567,2022,data_lineitems!$C$3:$C$1567,"medium",data_lineitems!$D$3:$D$1567,"E2",data_lineitems!$F$3:$F$1567,"1 Commodity")</f>
        <v/>
      </c>
      <c r="R39" s="77">
        <f>SUMIFS(data_lineitems!$I$3:$I$1567,data_lineitems!$A$3:$A$1567,"UK",data_lineitems!$B$3:$B$1567,2023,data_lineitems!$C$3:$C$1567,"medium",data_lineitems!$D$3:$D$1567,"E2",data_lineitems!$F$3:$F$1567,"1 Commodity")</f>
        <v/>
      </c>
      <c r="S39" s="77">
        <f>SUMIFS(data_lineitems!$I$3:$I$1567,data_lineitems!$A$3:$A$1567,"UK",data_lineitems!$B$3:$B$1567,2024,data_lineitems!$C$3:$C$1567,"medium",data_lineitems!$D$3:$D$1567,"E2",data_lineitems!$F$3:$F$1567,"1 Commodity")</f>
        <v/>
      </c>
      <c r="T39" s="77">
        <f>SUMIFS(data_lineitems!$I$3:$I$1567,data_lineitems!$A$3:$A$1567,"UK",data_lineitems!$B$3:$B$1567,2025,data_lineitems!$C$3:$C$1567,"medium",data_lineitems!$D$3:$D$1567,"E2",data_lineitems!$F$3:$F$1567,"1 Commodity")</f>
        <v/>
      </c>
    </row>
    <row r="40" ht="15" customHeight="1" s="78">
      <c r="A40" s="77" t="inlineStr">
        <is>
          <t>UK</t>
        </is>
      </c>
      <c r="B40" s="77" t="inlineStr">
        <is>
          <t>medium</t>
        </is>
      </c>
      <c r="C40" s="77" t="inlineStr">
        <is>
          <t>E2</t>
        </is>
      </c>
      <c r="D40" s="77" t="inlineStr">
        <is>
          <t>2 Gen capital recovery</t>
        </is>
      </c>
      <c r="E40" s="77">
        <f>SUMIFS(data_lineitems!$I$3:$I$1567,data_lineitems!$A$3:$A$1567,"UK",data_lineitems!$B$3:$B$1567,2010,data_lineitems!$C$3:$C$1567,"medium",data_lineitems!$D$3:$D$1567,"E2",data_lineitems!$F$3:$F$1567,"2 Gen capital recovery")</f>
        <v/>
      </c>
      <c r="F40" s="77">
        <f>SUMIFS(data_lineitems!$I$3:$I$1567,data_lineitems!$A$3:$A$1567,"UK",data_lineitems!$B$3:$B$1567,2011,data_lineitems!$C$3:$C$1567,"medium",data_lineitems!$D$3:$D$1567,"E2",data_lineitems!$F$3:$F$1567,"2 Gen capital recovery")</f>
        <v/>
      </c>
      <c r="G40" s="77">
        <f>SUMIFS(data_lineitems!$I$3:$I$1567,data_lineitems!$A$3:$A$1567,"UK",data_lineitems!$B$3:$B$1567,2012,data_lineitems!$C$3:$C$1567,"medium",data_lineitems!$D$3:$D$1567,"E2",data_lineitems!$F$3:$F$1567,"2 Gen capital recovery")</f>
        <v/>
      </c>
      <c r="H40" s="77">
        <f>SUMIFS(data_lineitems!$I$3:$I$1567,data_lineitems!$A$3:$A$1567,"UK",data_lineitems!$B$3:$B$1567,2013,data_lineitems!$C$3:$C$1567,"medium",data_lineitems!$D$3:$D$1567,"E2",data_lineitems!$F$3:$F$1567,"2 Gen capital recovery")</f>
        <v/>
      </c>
      <c r="I40" s="77">
        <f>SUMIFS(data_lineitems!$I$3:$I$1567,data_lineitems!$A$3:$A$1567,"UK",data_lineitems!$B$3:$B$1567,2014,data_lineitems!$C$3:$C$1567,"medium",data_lineitems!$D$3:$D$1567,"E2",data_lineitems!$F$3:$F$1567,"2 Gen capital recovery")</f>
        <v/>
      </c>
      <c r="J40" s="77">
        <f>SUMIFS(data_lineitems!$I$3:$I$1567,data_lineitems!$A$3:$A$1567,"UK",data_lineitems!$B$3:$B$1567,2015,data_lineitems!$C$3:$C$1567,"medium",data_lineitems!$D$3:$D$1567,"E2",data_lineitems!$F$3:$F$1567,"2 Gen capital recovery")</f>
        <v/>
      </c>
      <c r="K40" s="77">
        <f>SUMIFS(data_lineitems!$I$3:$I$1567,data_lineitems!$A$3:$A$1567,"UK",data_lineitems!$B$3:$B$1567,2016,data_lineitems!$C$3:$C$1567,"medium",data_lineitems!$D$3:$D$1567,"E2",data_lineitems!$F$3:$F$1567,"2 Gen capital recovery")</f>
        <v/>
      </c>
      <c r="L40" s="77">
        <f>SUMIFS(data_lineitems!$I$3:$I$1567,data_lineitems!$A$3:$A$1567,"UK",data_lineitems!$B$3:$B$1567,2017,data_lineitems!$C$3:$C$1567,"medium",data_lineitems!$D$3:$D$1567,"E2",data_lineitems!$F$3:$F$1567,"2 Gen capital recovery")</f>
        <v/>
      </c>
      <c r="M40" s="77">
        <f>SUMIFS(data_lineitems!$I$3:$I$1567,data_lineitems!$A$3:$A$1567,"UK",data_lineitems!$B$3:$B$1567,2018,data_lineitems!$C$3:$C$1567,"medium",data_lineitems!$D$3:$D$1567,"E2",data_lineitems!$F$3:$F$1567,"2 Gen capital recovery")</f>
        <v/>
      </c>
      <c r="N40" s="77">
        <f>SUMIFS(data_lineitems!$I$3:$I$1567,data_lineitems!$A$3:$A$1567,"UK",data_lineitems!$B$3:$B$1567,2019,data_lineitems!$C$3:$C$1567,"medium",data_lineitems!$D$3:$D$1567,"E2",data_lineitems!$F$3:$F$1567,"2 Gen capital recovery")</f>
        <v/>
      </c>
      <c r="O40" s="77">
        <f>SUMIFS(data_lineitems!$I$3:$I$1567,data_lineitems!$A$3:$A$1567,"UK",data_lineitems!$B$3:$B$1567,2020,data_lineitems!$C$3:$C$1567,"medium",data_lineitems!$D$3:$D$1567,"E2",data_lineitems!$F$3:$F$1567,"2 Gen capital recovery")</f>
        <v/>
      </c>
      <c r="P40" s="77">
        <f>SUMIFS(data_lineitems!$I$3:$I$1567,data_lineitems!$A$3:$A$1567,"UK",data_lineitems!$B$3:$B$1567,2021,data_lineitems!$C$3:$C$1567,"medium",data_lineitems!$D$3:$D$1567,"E2",data_lineitems!$F$3:$F$1567,"2 Gen capital recovery")</f>
        <v/>
      </c>
      <c r="Q40" s="77">
        <f>SUMIFS(data_lineitems!$I$3:$I$1567,data_lineitems!$A$3:$A$1567,"UK",data_lineitems!$B$3:$B$1567,2022,data_lineitems!$C$3:$C$1567,"medium",data_lineitems!$D$3:$D$1567,"E2",data_lineitems!$F$3:$F$1567,"2 Gen capital recovery")</f>
        <v/>
      </c>
      <c r="R40" s="77">
        <f>SUMIFS(data_lineitems!$I$3:$I$1567,data_lineitems!$A$3:$A$1567,"UK",data_lineitems!$B$3:$B$1567,2023,data_lineitems!$C$3:$C$1567,"medium",data_lineitems!$D$3:$D$1567,"E2",data_lineitems!$F$3:$F$1567,"2 Gen capital recovery")</f>
        <v/>
      </c>
      <c r="S40" s="77">
        <f>SUMIFS(data_lineitems!$I$3:$I$1567,data_lineitems!$A$3:$A$1567,"UK",data_lineitems!$B$3:$B$1567,2024,data_lineitems!$C$3:$C$1567,"medium",data_lineitems!$D$3:$D$1567,"E2",data_lineitems!$F$3:$F$1567,"2 Gen capital recovery")</f>
        <v/>
      </c>
      <c r="T40" s="77">
        <f>SUMIFS(data_lineitems!$I$3:$I$1567,data_lineitems!$A$3:$A$1567,"UK",data_lineitems!$B$3:$B$1567,2025,data_lineitems!$C$3:$C$1567,"medium",data_lineitems!$D$3:$D$1567,"E2",data_lineitems!$F$3:$F$1567,"2 Gen capital recovery")</f>
        <v/>
      </c>
    </row>
    <row r="41" ht="15" customHeight="1" s="78">
      <c r="A41" s="77" t="inlineStr">
        <is>
          <t>UK</t>
        </is>
      </c>
      <c r="B41" s="77" t="inlineStr">
        <is>
          <t>medium</t>
        </is>
      </c>
      <c r="C41" s="77" t="inlineStr">
        <is>
          <t>E2</t>
        </is>
      </c>
      <c r="D41" s="77" t="inlineStr">
        <is>
          <t>3 Network</t>
        </is>
      </c>
      <c r="E41" s="77">
        <f>SUMIFS(data_lineitems!$I$3:$I$1567,data_lineitems!$A$3:$A$1567,"UK",data_lineitems!$B$3:$B$1567,2010,data_lineitems!$C$3:$C$1567,"medium",data_lineitems!$D$3:$D$1567,"E2",data_lineitems!$F$3:$F$1567,"3 Network")</f>
        <v/>
      </c>
      <c r="F41" s="77">
        <f>SUMIFS(data_lineitems!$I$3:$I$1567,data_lineitems!$A$3:$A$1567,"UK",data_lineitems!$B$3:$B$1567,2011,data_lineitems!$C$3:$C$1567,"medium",data_lineitems!$D$3:$D$1567,"E2",data_lineitems!$F$3:$F$1567,"3 Network")</f>
        <v/>
      </c>
      <c r="G41" s="77">
        <f>SUMIFS(data_lineitems!$I$3:$I$1567,data_lineitems!$A$3:$A$1567,"UK",data_lineitems!$B$3:$B$1567,2012,data_lineitems!$C$3:$C$1567,"medium",data_lineitems!$D$3:$D$1567,"E2",data_lineitems!$F$3:$F$1567,"3 Network")</f>
        <v/>
      </c>
      <c r="H41" s="77">
        <f>SUMIFS(data_lineitems!$I$3:$I$1567,data_lineitems!$A$3:$A$1567,"UK",data_lineitems!$B$3:$B$1567,2013,data_lineitems!$C$3:$C$1567,"medium",data_lineitems!$D$3:$D$1567,"E2",data_lineitems!$F$3:$F$1567,"3 Network")</f>
        <v/>
      </c>
      <c r="I41" s="77">
        <f>SUMIFS(data_lineitems!$I$3:$I$1567,data_lineitems!$A$3:$A$1567,"UK",data_lineitems!$B$3:$B$1567,2014,data_lineitems!$C$3:$C$1567,"medium",data_lineitems!$D$3:$D$1567,"E2",data_lineitems!$F$3:$F$1567,"3 Network")</f>
        <v/>
      </c>
      <c r="J41" s="77">
        <f>SUMIFS(data_lineitems!$I$3:$I$1567,data_lineitems!$A$3:$A$1567,"UK",data_lineitems!$B$3:$B$1567,2015,data_lineitems!$C$3:$C$1567,"medium",data_lineitems!$D$3:$D$1567,"E2",data_lineitems!$F$3:$F$1567,"3 Network")</f>
        <v/>
      </c>
      <c r="K41" s="77">
        <f>SUMIFS(data_lineitems!$I$3:$I$1567,data_lineitems!$A$3:$A$1567,"UK",data_lineitems!$B$3:$B$1567,2016,data_lineitems!$C$3:$C$1567,"medium",data_lineitems!$D$3:$D$1567,"E2",data_lineitems!$F$3:$F$1567,"3 Network")</f>
        <v/>
      </c>
      <c r="L41" s="77">
        <f>SUMIFS(data_lineitems!$I$3:$I$1567,data_lineitems!$A$3:$A$1567,"UK",data_lineitems!$B$3:$B$1567,2017,data_lineitems!$C$3:$C$1567,"medium",data_lineitems!$D$3:$D$1567,"E2",data_lineitems!$F$3:$F$1567,"3 Network")</f>
        <v/>
      </c>
      <c r="M41" s="77">
        <f>SUMIFS(data_lineitems!$I$3:$I$1567,data_lineitems!$A$3:$A$1567,"UK",data_lineitems!$B$3:$B$1567,2018,data_lineitems!$C$3:$C$1567,"medium",data_lineitems!$D$3:$D$1567,"E2",data_lineitems!$F$3:$F$1567,"3 Network")</f>
        <v/>
      </c>
      <c r="N41" s="77">
        <f>SUMIFS(data_lineitems!$I$3:$I$1567,data_lineitems!$A$3:$A$1567,"UK",data_lineitems!$B$3:$B$1567,2019,data_lineitems!$C$3:$C$1567,"medium",data_lineitems!$D$3:$D$1567,"E2",data_lineitems!$F$3:$F$1567,"3 Network")</f>
        <v/>
      </c>
      <c r="O41" s="77">
        <f>SUMIFS(data_lineitems!$I$3:$I$1567,data_lineitems!$A$3:$A$1567,"UK",data_lineitems!$B$3:$B$1567,2020,data_lineitems!$C$3:$C$1567,"medium",data_lineitems!$D$3:$D$1567,"E2",data_lineitems!$F$3:$F$1567,"3 Network")</f>
        <v/>
      </c>
      <c r="P41" s="77">
        <f>SUMIFS(data_lineitems!$I$3:$I$1567,data_lineitems!$A$3:$A$1567,"UK",data_lineitems!$B$3:$B$1567,2021,data_lineitems!$C$3:$C$1567,"medium",data_lineitems!$D$3:$D$1567,"E2",data_lineitems!$F$3:$F$1567,"3 Network")</f>
        <v/>
      </c>
      <c r="Q41" s="77">
        <f>SUMIFS(data_lineitems!$I$3:$I$1567,data_lineitems!$A$3:$A$1567,"UK",data_lineitems!$B$3:$B$1567,2022,data_lineitems!$C$3:$C$1567,"medium",data_lineitems!$D$3:$D$1567,"E2",data_lineitems!$F$3:$F$1567,"3 Network")</f>
        <v/>
      </c>
      <c r="R41" s="77">
        <f>SUMIFS(data_lineitems!$I$3:$I$1567,data_lineitems!$A$3:$A$1567,"UK",data_lineitems!$B$3:$B$1567,2023,data_lineitems!$C$3:$C$1567,"medium",data_lineitems!$D$3:$D$1567,"E2",data_lineitems!$F$3:$F$1567,"3 Network")</f>
        <v/>
      </c>
      <c r="S41" s="77">
        <f>SUMIFS(data_lineitems!$I$3:$I$1567,data_lineitems!$A$3:$A$1567,"UK",data_lineitems!$B$3:$B$1567,2024,data_lineitems!$C$3:$C$1567,"medium",data_lineitems!$D$3:$D$1567,"E2",data_lineitems!$F$3:$F$1567,"3 Network")</f>
        <v/>
      </c>
      <c r="T41" s="77">
        <f>SUMIFS(data_lineitems!$I$3:$I$1567,data_lineitems!$A$3:$A$1567,"UK",data_lineitems!$B$3:$B$1567,2025,data_lineitems!$C$3:$C$1567,"medium",data_lineitems!$D$3:$D$1567,"E2",data_lineitems!$F$3:$F$1567,"3 Network")</f>
        <v/>
      </c>
    </row>
    <row r="42" ht="15" customHeight="1" s="78">
      <c r="A42" s="77" t="inlineStr">
        <is>
          <t>UK</t>
        </is>
      </c>
      <c r="B42" s="77" t="inlineStr">
        <is>
          <t>medium</t>
        </is>
      </c>
      <c r="C42" s="77" t="inlineStr">
        <is>
          <t>E2</t>
        </is>
      </c>
      <c r="D42" s="77" t="inlineStr">
        <is>
          <t>4 System services &amp; balancing</t>
        </is>
      </c>
      <c r="E42" s="77">
        <f>SUMIFS(data_lineitems!$I$3:$I$1567,data_lineitems!$A$3:$A$1567,"UK",data_lineitems!$B$3:$B$1567,2010,data_lineitems!$C$3:$C$1567,"medium",data_lineitems!$D$3:$D$1567,"E2",data_lineitems!$F$3:$F$1567,"4 System services &amp; balancing")</f>
        <v/>
      </c>
      <c r="F42" s="77">
        <f>SUMIFS(data_lineitems!$I$3:$I$1567,data_lineitems!$A$3:$A$1567,"UK",data_lineitems!$B$3:$B$1567,2011,data_lineitems!$C$3:$C$1567,"medium",data_lineitems!$D$3:$D$1567,"E2",data_lineitems!$F$3:$F$1567,"4 System services &amp; balancing")</f>
        <v/>
      </c>
      <c r="G42" s="77">
        <f>SUMIFS(data_lineitems!$I$3:$I$1567,data_lineitems!$A$3:$A$1567,"UK",data_lineitems!$B$3:$B$1567,2012,data_lineitems!$C$3:$C$1567,"medium",data_lineitems!$D$3:$D$1567,"E2",data_lineitems!$F$3:$F$1567,"4 System services &amp; balancing")</f>
        <v/>
      </c>
      <c r="H42" s="77">
        <f>SUMIFS(data_lineitems!$I$3:$I$1567,data_lineitems!$A$3:$A$1567,"UK",data_lineitems!$B$3:$B$1567,2013,data_lineitems!$C$3:$C$1567,"medium",data_lineitems!$D$3:$D$1567,"E2",data_lineitems!$F$3:$F$1567,"4 System services &amp; balancing")</f>
        <v/>
      </c>
      <c r="I42" s="77">
        <f>SUMIFS(data_lineitems!$I$3:$I$1567,data_lineitems!$A$3:$A$1567,"UK",data_lineitems!$B$3:$B$1567,2014,data_lineitems!$C$3:$C$1567,"medium",data_lineitems!$D$3:$D$1567,"E2",data_lineitems!$F$3:$F$1567,"4 System services &amp; balancing")</f>
        <v/>
      </c>
      <c r="J42" s="77">
        <f>SUMIFS(data_lineitems!$I$3:$I$1567,data_lineitems!$A$3:$A$1567,"UK",data_lineitems!$B$3:$B$1567,2015,data_lineitems!$C$3:$C$1567,"medium",data_lineitems!$D$3:$D$1567,"E2",data_lineitems!$F$3:$F$1567,"4 System services &amp; balancing")</f>
        <v/>
      </c>
      <c r="K42" s="77">
        <f>SUMIFS(data_lineitems!$I$3:$I$1567,data_lineitems!$A$3:$A$1567,"UK",data_lineitems!$B$3:$B$1567,2016,data_lineitems!$C$3:$C$1567,"medium",data_lineitems!$D$3:$D$1567,"E2",data_lineitems!$F$3:$F$1567,"4 System services &amp; balancing")</f>
        <v/>
      </c>
      <c r="L42" s="77">
        <f>SUMIFS(data_lineitems!$I$3:$I$1567,data_lineitems!$A$3:$A$1567,"UK",data_lineitems!$B$3:$B$1567,2017,data_lineitems!$C$3:$C$1567,"medium",data_lineitems!$D$3:$D$1567,"E2",data_lineitems!$F$3:$F$1567,"4 System services &amp; balancing")</f>
        <v/>
      </c>
      <c r="M42" s="77">
        <f>SUMIFS(data_lineitems!$I$3:$I$1567,data_lineitems!$A$3:$A$1567,"UK",data_lineitems!$B$3:$B$1567,2018,data_lineitems!$C$3:$C$1567,"medium",data_lineitems!$D$3:$D$1567,"E2",data_lineitems!$F$3:$F$1567,"4 System services &amp; balancing")</f>
        <v/>
      </c>
      <c r="N42" s="77">
        <f>SUMIFS(data_lineitems!$I$3:$I$1567,data_lineitems!$A$3:$A$1567,"UK",data_lineitems!$B$3:$B$1567,2019,data_lineitems!$C$3:$C$1567,"medium",data_lineitems!$D$3:$D$1567,"E2",data_lineitems!$F$3:$F$1567,"4 System services &amp; balancing")</f>
        <v/>
      </c>
      <c r="O42" s="77">
        <f>SUMIFS(data_lineitems!$I$3:$I$1567,data_lineitems!$A$3:$A$1567,"UK",data_lineitems!$B$3:$B$1567,2020,data_lineitems!$C$3:$C$1567,"medium",data_lineitems!$D$3:$D$1567,"E2",data_lineitems!$F$3:$F$1567,"4 System services &amp; balancing")</f>
        <v/>
      </c>
      <c r="P42" s="77">
        <f>SUMIFS(data_lineitems!$I$3:$I$1567,data_lineitems!$A$3:$A$1567,"UK",data_lineitems!$B$3:$B$1567,2021,data_lineitems!$C$3:$C$1567,"medium",data_lineitems!$D$3:$D$1567,"E2",data_lineitems!$F$3:$F$1567,"4 System services &amp; balancing")</f>
        <v/>
      </c>
      <c r="Q42" s="77">
        <f>SUMIFS(data_lineitems!$I$3:$I$1567,data_lineitems!$A$3:$A$1567,"UK",data_lineitems!$B$3:$B$1567,2022,data_lineitems!$C$3:$C$1567,"medium",data_lineitems!$D$3:$D$1567,"E2",data_lineitems!$F$3:$F$1567,"4 System services &amp; balancing")</f>
        <v/>
      </c>
      <c r="R42" s="77">
        <f>SUMIFS(data_lineitems!$I$3:$I$1567,data_lineitems!$A$3:$A$1567,"UK",data_lineitems!$B$3:$B$1567,2023,data_lineitems!$C$3:$C$1567,"medium",data_lineitems!$D$3:$D$1567,"E2",data_lineitems!$F$3:$F$1567,"4 System services &amp; balancing")</f>
        <v/>
      </c>
      <c r="S42" s="77">
        <f>SUMIFS(data_lineitems!$I$3:$I$1567,data_lineitems!$A$3:$A$1567,"UK",data_lineitems!$B$3:$B$1567,2024,data_lineitems!$C$3:$C$1567,"medium",data_lineitems!$D$3:$D$1567,"E2",data_lineitems!$F$3:$F$1567,"4 System services &amp; balancing")</f>
        <v/>
      </c>
      <c r="T42" s="77">
        <f>SUMIFS(data_lineitems!$I$3:$I$1567,data_lineitems!$A$3:$A$1567,"UK",data_lineitems!$B$3:$B$1567,2025,data_lineitems!$C$3:$C$1567,"medium",data_lineitems!$D$3:$D$1567,"E2",data_lineitems!$F$3:$F$1567,"4 System services &amp; balancing")</f>
        <v/>
      </c>
    </row>
    <row r="43" ht="15" customHeight="1" s="78">
      <c r="A43" s="77" t="inlineStr">
        <is>
          <t>UK</t>
        </is>
      </c>
      <c r="B43" s="77" t="inlineStr">
        <is>
          <t>medium</t>
        </is>
      </c>
      <c r="C43" s="77" t="inlineStr">
        <is>
          <t>E2</t>
        </is>
      </c>
      <c r="D43" s="77" t="inlineStr">
        <is>
          <t>5 General taxation &amp; levies</t>
        </is>
      </c>
      <c r="E43" s="77">
        <f>SUMIFS(data_lineitems!$I$3:$I$1567,data_lineitems!$A$3:$A$1567,"UK",data_lineitems!$B$3:$B$1567,2010,data_lineitems!$C$3:$C$1567,"medium",data_lineitems!$D$3:$D$1567,"E2",data_lineitems!$F$3:$F$1567,"5 General taxation &amp; levies")</f>
        <v/>
      </c>
      <c r="F43" s="77">
        <f>SUMIFS(data_lineitems!$I$3:$I$1567,data_lineitems!$A$3:$A$1567,"UK",data_lineitems!$B$3:$B$1567,2011,data_lineitems!$C$3:$C$1567,"medium",data_lineitems!$D$3:$D$1567,"E2",data_lineitems!$F$3:$F$1567,"5 General taxation &amp; levies")</f>
        <v/>
      </c>
      <c r="G43" s="77">
        <f>SUMIFS(data_lineitems!$I$3:$I$1567,data_lineitems!$A$3:$A$1567,"UK",data_lineitems!$B$3:$B$1567,2012,data_lineitems!$C$3:$C$1567,"medium",data_lineitems!$D$3:$D$1567,"E2",data_lineitems!$F$3:$F$1567,"5 General taxation &amp; levies")</f>
        <v/>
      </c>
      <c r="H43" s="77">
        <f>SUMIFS(data_lineitems!$I$3:$I$1567,data_lineitems!$A$3:$A$1567,"UK",data_lineitems!$B$3:$B$1567,2013,data_lineitems!$C$3:$C$1567,"medium",data_lineitems!$D$3:$D$1567,"E2",data_lineitems!$F$3:$F$1567,"5 General taxation &amp; levies")</f>
        <v/>
      </c>
      <c r="I43" s="77">
        <f>SUMIFS(data_lineitems!$I$3:$I$1567,data_lineitems!$A$3:$A$1567,"UK",data_lineitems!$B$3:$B$1567,2014,data_lineitems!$C$3:$C$1567,"medium",data_lineitems!$D$3:$D$1567,"E2",data_lineitems!$F$3:$F$1567,"5 General taxation &amp; levies")</f>
        <v/>
      </c>
      <c r="J43" s="77">
        <f>SUMIFS(data_lineitems!$I$3:$I$1567,data_lineitems!$A$3:$A$1567,"UK",data_lineitems!$B$3:$B$1567,2015,data_lineitems!$C$3:$C$1567,"medium",data_lineitems!$D$3:$D$1567,"E2",data_lineitems!$F$3:$F$1567,"5 General taxation &amp; levies")</f>
        <v/>
      </c>
      <c r="K43" s="77">
        <f>SUMIFS(data_lineitems!$I$3:$I$1567,data_lineitems!$A$3:$A$1567,"UK",data_lineitems!$B$3:$B$1567,2016,data_lineitems!$C$3:$C$1567,"medium",data_lineitems!$D$3:$D$1567,"E2",data_lineitems!$F$3:$F$1567,"5 General taxation &amp; levies")</f>
        <v/>
      </c>
      <c r="L43" s="77">
        <f>SUMIFS(data_lineitems!$I$3:$I$1567,data_lineitems!$A$3:$A$1567,"UK",data_lineitems!$B$3:$B$1567,2017,data_lineitems!$C$3:$C$1567,"medium",data_lineitems!$D$3:$D$1567,"E2",data_lineitems!$F$3:$F$1567,"5 General taxation &amp; levies")</f>
        <v/>
      </c>
      <c r="M43" s="77">
        <f>SUMIFS(data_lineitems!$I$3:$I$1567,data_lineitems!$A$3:$A$1567,"UK",data_lineitems!$B$3:$B$1567,2018,data_lineitems!$C$3:$C$1567,"medium",data_lineitems!$D$3:$D$1567,"E2",data_lineitems!$F$3:$F$1567,"5 General taxation &amp; levies")</f>
        <v/>
      </c>
      <c r="N43" s="77">
        <f>SUMIFS(data_lineitems!$I$3:$I$1567,data_lineitems!$A$3:$A$1567,"UK",data_lineitems!$B$3:$B$1567,2019,data_lineitems!$C$3:$C$1567,"medium",data_lineitems!$D$3:$D$1567,"E2",data_lineitems!$F$3:$F$1567,"5 General taxation &amp; levies")</f>
        <v/>
      </c>
      <c r="O43" s="77">
        <f>SUMIFS(data_lineitems!$I$3:$I$1567,data_lineitems!$A$3:$A$1567,"UK",data_lineitems!$B$3:$B$1567,2020,data_lineitems!$C$3:$C$1567,"medium",data_lineitems!$D$3:$D$1567,"E2",data_lineitems!$F$3:$F$1567,"5 General taxation &amp; levies")</f>
        <v/>
      </c>
      <c r="P43" s="77">
        <f>SUMIFS(data_lineitems!$I$3:$I$1567,data_lineitems!$A$3:$A$1567,"UK",data_lineitems!$B$3:$B$1567,2021,data_lineitems!$C$3:$C$1567,"medium",data_lineitems!$D$3:$D$1567,"E2",data_lineitems!$F$3:$F$1567,"5 General taxation &amp; levies")</f>
        <v/>
      </c>
      <c r="Q43" s="77">
        <f>SUMIFS(data_lineitems!$I$3:$I$1567,data_lineitems!$A$3:$A$1567,"UK",data_lineitems!$B$3:$B$1567,2022,data_lineitems!$C$3:$C$1567,"medium",data_lineitems!$D$3:$D$1567,"E2",data_lineitems!$F$3:$F$1567,"5 General taxation &amp; levies")</f>
        <v/>
      </c>
      <c r="R43" s="77">
        <f>SUMIFS(data_lineitems!$I$3:$I$1567,data_lineitems!$A$3:$A$1567,"UK",data_lineitems!$B$3:$B$1567,2023,data_lineitems!$C$3:$C$1567,"medium",data_lineitems!$D$3:$D$1567,"E2",data_lineitems!$F$3:$F$1567,"5 General taxation &amp; levies")</f>
        <v/>
      </c>
      <c r="S43" s="77">
        <f>SUMIFS(data_lineitems!$I$3:$I$1567,data_lineitems!$A$3:$A$1567,"UK",data_lineitems!$B$3:$B$1567,2024,data_lineitems!$C$3:$C$1567,"medium",data_lineitems!$D$3:$D$1567,"E2",data_lineitems!$F$3:$F$1567,"5 General taxation &amp; levies")</f>
        <v/>
      </c>
      <c r="T43" s="77">
        <f>SUMIFS(data_lineitems!$I$3:$I$1567,data_lineitems!$A$3:$A$1567,"UK",data_lineitems!$B$3:$B$1567,2025,data_lineitems!$C$3:$C$1567,"medium",data_lineitems!$D$3:$D$1567,"E2",data_lineitems!$F$3:$F$1567,"5 General taxation &amp; levies")</f>
        <v/>
      </c>
    </row>
    <row r="44" ht="15" customHeight="1" s="78">
      <c r="A44" s="77" t="inlineStr">
        <is>
          <t>UK</t>
        </is>
      </c>
      <c r="B44" s="77" t="inlineStr">
        <is>
          <t>medium</t>
        </is>
      </c>
      <c r="C44" s="77" t="inlineStr">
        <is>
          <t>E2</t>
        </is>
      </c>
      <c r="D44" s="77" t="inlineStr">
        <is>
          <t>TOTAL modelled (sum buckets)</t>
        </is>
      </c>
      <c r="E44" s="77">
        <f>SUM(E39:E43)</f>
        <v/>
      </c>
      <c r="F44" s="77">
        <f>SUM(F39:F43)</f>
        <v/>
      </c>
      <c r="G44" s="77">
        <f>SUM(G39:G43)</f>
        <v/>
      </c>
      <c r="H44" s="77">
        <f>SUM(H39:H43)</f>
        <v/>
      </c>
      <c r="I44" s="77">
        <f>SUM(I39:I43)</f>
        <v/>
      </c>
      <c r="J44" s="77">
        <f>SUM(J39:J43)</f>
        <v/>
      </c>
      <c r="K44" s="77">
        <f>SUM(K39:K43)</f>
        <v/>
      </c>
      <c r="L44" s="77">
        <f>SUM(L39:L43)</f>
        <v/>
      </c>
      <c r="M44" s="77">
        <f>SUM(M39:M43)</f>
        <v/>
      </c>
      <c r="N44" s="77">
        <f>SUM(N39:N43)</f>
        <v/>
      </c>
      <c r="O44" s="77">
        <f>SUM(O39:O43)</f>
        <v/>
      </c>
      <c r="P44" s="77">
        <f>SUM(P39:P43)</f>
        <v/>
      </c>
      <c r="Q44" s="77">
        <f>SUM(Q39:Q43)</f>
        <v/>
      </c>
      <c r="R44" s="77">
        <f>SUM(R39:R43)</f>
        <v/>
      </c>
      <c r="S44" s="77">
        <f>SUM(S39:S43)</f>
        <v/>
      </c>
      <c r="T44" s="77">
        <f>SUM(T39:T43)</f>
        <v/>
      </c>
    </row>
    <row r="45" ht="15" customHeight="1" s="78">
      <c r="A45" s="77" t="inlineStr">
        <is>
          <t>UK</t>
        </is>
      </c>
      <c r="B45" s="77" t="inlineStr">
        <is>
          <t>medium</t>
        </is>
      </c>
      <c r="C45" s="77" t="inlineStr">
        <is>
          <t>E2</t>
        </is>
      </c>
      <c r="D45" s="77" t="inlineStr">
        <is>
          <t>REFERENCE — timeseries USD r77</t>
        </is>
      </c>
      <c r="E45" s="136">
        <f>IF(ISNUMBER(timeseries!D77),timeseries!D77,"")</f>
        <v/>
      </c>
      <c r="F45" s="136">
        <f>IF(ISNUMBER(timeseries!E77),timeseries!E77,"")</f>
        <v/>
      </c>
      <c r="G45" s="136">
        <f>IF(ISNUMBER(timeseries!F77),timeseries!F77,"")</f>
        <v/>
      </c>
      <c r="H45" s="136">
        <f>IF(ISNUMBER(timeseries!G77),timeseries!G77,"")</f>
        <v/>
      </c>
      <c r="I45" s="136">
        <f>IF(ISNUMBER(timeseries!H77),timeseries!H77,"")</f>
        <v/>
      </c>
      <c r="J45" s="136">
        <f>IF(ISNUMBER(timeseries!I77),timeseries!I77,"")</f>
        <v/>
      </c>
      <c r="K45" s="136">
        <f>IF(ISNUMBER(timeseries!J77),timeseries!J77,"")</f>
        <v/>
      </c>
      <c r="L45" s="136">
        <f>IF(ISNUMBER(timeseries!K77),timeseries!K77,"")</f>
        <v/>
      </c>
      <c r="M45" s="136">
        <f>IF(ISNUMBER(timeseries!L77),timeseries!L77,"")</f>
        <v/>
      </c>
      <c r="N45" s="136">
        <f>IF(ISNUMBER(timeseries!M77),timeseries!M77,"")</f>
        <v/>
      </c>
      <c r="O45" s="136">
        <f>IF(ISNUMBER(timeseries!N77),timeseries!N77,"")</f>
        <v/>
      </c>
      <c r="P45" s="136">
        <f>IF(ISNUMBER(timeseries!O77),timeseries!O77,"")</f>
        <v/>
      </c>
      <c r="Q45" s="136">
        <f>IF(ISNUMBER(timeseries!P77),timeseries!P77,"")</f>
        <v/>
      </c>
      <c r="R45" s="136">
        <f>IF(ISNUMBER(timeseries!Q77),timeseries!Q77,"")</f>
        <v/>
      </c>
      <c r="S45" s="136">
        <f>IF(ISNUMBER(timeseries!R77),timeseries!R77,"")</f>
        <v/>
      </c>
      <c r="T45" s="136">
        <f>IF(ISNUMBER(timeseries!S77),timeseries!S77,"")</f>
        <v/>
      </c>
    </row>
    <row r="46" ht="15" customHeight="1" s="78">
      <c r="A46" s="77" t="inlineStr">
        <is>
          <t>UK</t>
        </is>
      </c>
      <c r="B46" s="77" t="inlineStr">
        <is>
          <t>medium</t>
        </is>
      </c>
      <c r="C46" s="77" t="inlineStr">
        <is>
          <t>E2</t>
        </is>
      </c>
      <c r="D46" s="77" t="inlineStr">
        <is>
          <t>RECONCILIATION (total/ref - 1)</t>
        </is>
      </c>
      <c r="E46" s="77">
        <f>IF(AND(ISNUMBER(E45),E45&lt;&gt;0,ISNUMBER(E44)),E44/E45-1,"n/a")</f>
        <v/>
      </c>
      <c r="F46" s="77">
        <f>IF(AND(ISNUMBER(F45),F45&lt;&gt;0,ISNUMBER(F44)),F44/F45-1,"n/a")</f>
        <v/>
      </c>
      <c r="G46" s="77">
        <f>IF(AND(ISNUMBER(G45),G45&lt;&gt;0,ISNUMBER(G44)),G44/G45-1,"n/a")</f>
        <v/>
      </c>
      <c r="H46" s="77">
        <f>IF(AND(ISNUMBER(H45),H45&lt;&gt;0,ISNUMBER(H44)),H44/H45-1,"n/a")</f>
        <v/>
      </c>
      <c r="I46" s="77">
        <f>IF(AND(ISNUMBER(I45),I45&lt;&gt;0,ISNUMBER(I44)),I44/I45-1,"n/a")</f>
        <v/>
      </c>
      <c r="J46" s="77">
        <f>IF(AND(ISNUMBER(J45),J45&lt;&gt;0,ISNUMBER(J44)),J44/J45-1,"n/a")</f>
        <v/>
      </c>
      <c r="K46" s="77">
        <f>IF(AND(ISNUMBER(K45),K45&lt;&gt;0,ISNUMBER(K44)),K44/K45-1,"n/a")</f>
        <v/>
      </c>
      <c r="L46" s="77">
        <f>IF(AND(ISNUMBER(L45),L45&lt;&gt;0,ISNUMBER(L44)),L44/L45-1,"n/a")</f>
        <v/>
      </c>
      <c r="M46" s="77">
        <f>IF(AND(ISNUMBER(M45),M45&lt;&gt;0,ISNUMBER(M44)),M44/M45-1,"n/a")</f>
        <v/>
      </c>
      <c r="N46" s="77">
        <f>IF(AND(ISNUMBER(N45),N45&lt;&gt;0,ISNUMBER(N44)),N44/N45-1,"n/a")</f>
        <v/>
      </c>
      <c r="O46" s="77">
        <f>IF(AND(ISNUMBER(O45),O45&lt;&gt;0,ISNUMBER(O44)),O44/O45-1,"n/a")</f>
        <v/>
      </c>
      <c r="P46" s="77">
        <f>IF(AND(ISNUMBER(P45),P45&lt;&gt;0,ISNUMBER(P44)),P44/P45-1,"n/a")</f>
        <v/>
      </c>
      <c r="Q46" s="77">
        <f>IF(AND(ISNUMBER(Q45),Q45&lt;&gt;0,ISNUMBER(Q44)),Q44/Q45-1,"n/a")</f>
        <v/>
      </c>
      <c r="R46" s="77">
        <f>IF(AND(ISNUMBER(R45),R45&lt;&gt;0,ISNUMBER(R44)),R44/R45-1,"n/a")</f>
        <v/>
      </c>
      <c r="S46" s="77">
        <f>IF(AND(ISNUMBER(S45),S45&lt;&gt;0,ISNUMBER(S44)),S44/S45-1,"n/a")</f>
        <v/>
      </c>
      <c r="T46" s="77">
        <f>IF(AND(ISNUMBER(T45),T45&lt;&gt;0,ISNUMBER(T44)),T44/T45-1,"n/a")</f>
        <v/>
      </c>
    </row>
    <row r="47" ht="15" customHeight="1" s="78">
      <c r="A47" s="77" t="inlineStr">
        <is>
          <t>UK</t>
        </is>
      </c>
      <c r="B47" s="77" t="inlineStr">
        <is>
          <t>medium</t>
        </is>
      </c>
      <c r="C47" s="77" t="inlineStr">
        <is>
          <t>E2</t>
        </is>
      </c>
      <c r="D47" s="77" t="inlineStr">
        <is>
          <t>GATE +/-2 pct</t>
        </is>
      </c>
      <c r="E47" s="77">
        <f>IF(ISNUMBER(E46),IF(ABS(E46)&lt;=0.02,"PASS","FAIL"),"n/a")</f>
        <v/>
      </c>
      <c r="F47" s="77">
        <f>IF(ISNUMBER(F46),IF(ABS(F46)&lt;=0.02,"PASS","FAIL"),"n/a")</f>
        <v/>
      </c>
      <c r="G47" s="77">
        <f>IF(ISNUMBER(G46),IF(ABS(G46)&lt;=0.02,"PASS","FAIL"),"n/a")</f>
        <v/>
      </c>
      <c r="H47" s="77">
        <f>IF(ISNUMBER(H46),IF(ABS(H46)&lt;=0.02,"PASS","FAIL"),"n/a")</f>
        <v/>
      </c>
      <c r="I47" s="77">
        <f>IF(ISNUMBER(I46),IF(ABS(I46)&lt;=0.02,"PASS","FAIL"),"n/a")</f>
        <v/>
      </c>
      <c r="J47" s="77">
        <f>IF(ISNUMBER(J46),IF(ABS(J46)&lt;=0.02,"PASS","FAIL"),"n/a")</f>
        <v/>
      </c>
      <c r="K47" s="77">
        <f>IF(ISNUMBER(K46),IF(ABS(K46)&lt;=0.02,"PASS","FAIL"),"n/a")</f>
        <v/>
      </c>
      <c r="L47" s="77">
        <f>IF(ISNUMBER(L46),IF(ABS(L46)&lt;=0.02,"PASS","FAIL"),"n/a")</f>
        <v/>
      </c>
      <c r="M47" s="77">
        <f>IF(ISNUMBER(M46),IF(ABS(M46)&lt;=0.02,"PASS","FAIL"),"n/a")</f>
        <v/>
      </c>
      <c r="N47" s="77">
        <f>IF(ISNUMBER(N46),IF(ABS(N46)&lt;=0.02,"PASS","FAIL"),"n/a")</f>
        <v/>
      </c>
      <c r="O47" s="77">
        <f>IF(ISNUMBER(O46),IF(ABS(O46)&lt;=0.02,"PASS","FAIL"),"n/a")</f>
        <v/>
      </c>
      <c r="P47" s="77">
        <f>IF(ISNUMBER(P46),IF(ABS(P46)&lt;=0.02,"PASS","FAIL"),"n/a")</f>
        <v/>
      </c>
      <c r="Q47" s="77">
        <f>IF(ISNUMBER(Q46),IF(ABS(Q46)&lt;=0.02,"PASS","FAIL"),"n/a")</f>
        <v/>
      </c>
      <c r="R47" s="77">
        <f>IF(ISNUMBER(R46),IF(ABS(R46)&lt;=0.02,"PASS","FAIL"),"n/a")</f>
        <v/>
      </c>
      <c r="S47" s="77">
        <f>IF(ISNUMBER(S46),IF(ABS(S46)&lt;=0.02,"PASS","FAIL"),"n/a")</f>
        <v/>
      </c>
      <c r="T47" s="77">
        <f>IF(ISNUMBER(T46),IF(ABS(T46)&lt;=0.02,"PASS","FAIL"),"n/a")</f>
        <v/>
      </c>
    </row>
    <row r="49" ht="15" customHeight="1" s="78">
      <c r="A49" s="77" t="inlineStr">
        <is>
          <t>DE</t>
        </is>
      </c>
      <c r="B49" s="77" t="inlineStr">
        <is>
          <t>large</t>
        </is>
      </c>
      <c r="C49" s="77" t="inlineStr">
        <is>
          <t>E1</t>
        </is>
      </c>
      <c r="D49" s="77" t="inlineStr">
        <is>
          <t>leg header</t>
        </is>
      </c>
    </row>
    <row r="50" ht="15" customHeight="1" s="78">
      <c r="A50" s="77" t="inlineStr">
        <is>
          <t>DE</t>
        </is>
      </c>
      <c r="B50" s="77" t="inlineStr">
        <is>
          <t>large</t>
        </is>
      </c>
      <c r="C50" s="77" t="inlineStr">
        <is>
          <t>E1</t>
        </is>
      </c>
      <c r="D50" s="77" t="inlineStr">
        <is>
          <t>1 Commodity</t>
        </is>
      </c>
      <c r="E50" s="77">
        <f>SUMIFS(data_lineitems!$I$3:$I$1567,data_lineitems!$A$3:$A$1567,"DE",data_lineitems!$B$3:$B$1567,2010,data_lineitems!$C$3:$C$1567,"large",data_lineitems!$D$3:$D$1567,"E1",data_lineitems!$F$3:$F$1567,"1 Commodity")</f>
        <v/>
      </c>
      <c r="F50" s="77">
        <f>SUMIFS(data_lineitems!$I$3:$I$1567,data_lineitems!$A$3:$A$1567,"DE",data_lineitems!$B$3:$B$1567,2011,data_lineitems!$C$3:$C$1567,"large",data_lineitems!$D$3:$D$1567,"E1",data_lineitems!$F$3:$F$1567,"1 Commodity")</f>
        <v/>
      </c>
      <c r="G50" s="77">
        <f>SUMIFS(data_lineitems!$I$3:$I$1567,data_lineitems!$A$3:$A$1567,"DE",data_lineitems!$B$3:$B$1567,2012,data_lineitems!$C$3:$C$1567,"large",data_lineitems!$D$3:$D$1567,"E1",data_lineitems!$F$3:$F$1567,"1 Commodity")</f>
        <v/>
      </c>
      <c r="H50" s="77">
        <f>SUMIFS(data_lineitems!$I$3:$I$1567,data_lineitems!$A$3:$A$1567,"DE",data_lineitems!$B$3:$B$1567,2013,data_lineitems!$C$3:$C$1567,"large",data_lineitems!$D$3:$D$1567,"E1",data_lineitems!$F$3:$F$1567,"1 Commodity")</f>
        <v/>
      </c>
      <c r="I50" s="77">
        <f>SUMIFS(data_lineitems!$I$3:$I$1567,data_lineitems!$A$3:$A$1567,"DE",data_lineitems!$B$3:$B$1567,2014,data_lineitems!$C$3:$C$1567,"large",data_lineitems!$D$3:$D$1567,"E1",data_lineitems!$F$3:$F$1567,"1 Commodity")</f>
        <v/>
      </c>
      <c r="J50" s="77">
        <f>SUMIFS(data_lineitems!$I$3:$I$1567,data_lineitems!$A$3:$A$1567,"DE",data_lineitems!$B$3:$B$1567,2015,data_lineitems!$C$3:$C$1567,"large",data_lineitems!$D$3:$D$1567,"E1",data_lineitems!$F$3:$F$1567,"1 Commodity")</f>
        <v/>
      </c>
      <c r="K50" s="77">
        <f>SUMIFS(data_lineitems!$I$3:$I$1567,data_lineitems!$A$3:$A$1567,"DE",data_lineitems!$B$3:$B$1567,2016,data_lineitems!$C$3:$C$1567,"large",data_lineitems!$D$3:$D$1567,"E1",data_lineitems!$F$3:$F$1567,"1 Commodity")</f>
        <v/>
      </c>
      <c r="L50" s="77">
        <f>SUMIFS(data_lineitems!$I$3:$I$1567,data_lineitems!$A$3:$A$1567,"DE",data_lineitems!$B$3:$B$1567,2017,data_lineitems!$C$3:$C$1567,"large",data_lineitems!$D$3:$D$1567,"E1",data_lineitems!$F$3:$F$1567,"1 Commodity")</f>
        <v/>
      </c>
      <c r="M50" s="77">
        <f>SUMIFS(data_lineitems!$I$3:$I$1567,data_lineitems!$A$3:$A$1567,"DE",data_lineitems!$B$3:$B$1567,2018,data_lineitems!$C$3:$C$1567,"large",data_lineitems!$D$3:$D$1567,"E1",data_lineitems!$F$3:$F$1567,"1 Commodity")</f>
        <v/>
      </c>
      <c r="N50" s="77">
        <f>SUMIFS(data_lineitems!$I$3:$I$1567,data_lineitems!$A$3:$A$1567,"DE",data_lineitems!$B$3:$B$1567,2019,data_lineitems!$C$3:$C$1567,"large",data_lineitems!$D$3:$D$1567,"E1",data_lineitems!$F$3:$F$1567,"1 Commodity")</f>
        <v/>
      </c>
      <c r="O50" s="77">
        <f>SUMIFS(data_lineitems!$I$3:$I$1567,data_lineitems!$A$3:$A$1567,"DE",data_lineitems!$B$3:$B$1567,2020,data_lineitems!$C$3:$C$1567,"large",data_lineitems!$D$3:$D$1567,"E1",data_lineitems!$F$3:$F$1567,"1 Commodity")</f>
        <v/>
      </c>
      <c r="P50" s="77">
        <f>SUMIFS(data_lineitems!$I$3:$I$1567,data_lineitems!$A$3:$A$1567,"DE",data_lineitems!$B$3:$B$1567,2021,data_lineitems!$C$3:$C$1567,"large",data_lineitems!$D$3:$D$1567,"E1",data_lineitems!$F$3:$F$1567,"1 Commodity")</f>
        <v/>
      </c>
      <c r="Q50" s="77">
        <f>SUMIFS(data_lineitems!$I$3:$I$1567,data_lineitems!$A$3:$A$1567,"DE",data_lineitems!$B$3:$B$1567,2022,data_lineitems!$C$3:$C$1567,"large",data_lineitems!$D$3:$D$1567,"E1",data_lineitems!$F$3:$F$1567,"1 Commodity")</f>
        <v/>
      </c>
      <c r="R50" s="77">
        <f>SUMIFS(data_lineitems!$I$3:$I$1567,data_lineitems!$A$3:$A$1567,"DE",data_lineitems!$B$3:$B$1567,2023,data_lineitems!$C$3:$C$1567,"large",data_lineitems!$D$3:$D$1567,"E1",data_lineitems!$F$3:$F$1567,"1 Commodity")</f>
        <v/>
      </c>
      <c r="S50" s="77">
        <f>SUMIFS(data_lineitems!$I$3:$I$1567,data_lineitems!$A$3:$A$1567,"DE",data_lineitems!$B$3:$B$1567,2024,data_lineitems!$C$3:$C$1567,"large",data_lineitems!$D$3:$D$1567,"E1",data_lineitems!$F$3:$F$1567,"1 Commodity")</f>
        <v/>
      </c>
      <c r="T50" s="77">
        <f>SUMIFS(data_lineitems!$I$3:$I$1567,data_lineitems!$A$3:$A$1567,"DE",data_lineitems!$B$3:$B$1567,2025,data_lineitems!$C$3:$C$1567,"large",data_lineitems!$D$3:$D$1567,"E1",data_lineitems!$F$3:$F$1567,"1 Commodity")</f>
        <v/>
      </c>
    </row>
    <row r="51" ht="15" customHeight="1" s="78">
      <c r="A51" s="77" t="inlineStr">
        <is>
          <t>DE</t>
        </is>
      </c>
      <c r="B51" s="77" t="inlineStr">
        <is>
          <t>large</t>
        </is>
      </c>
      <c r="C51" s="77" t="inlineStr">
        <is>
          <t>E1</t>
        </is>
      </c>
      <c r="D51" s="77" t="inlineStr">
        <is>
          <t>2 Gen capital recovery</t>
        </is>
      </c>
      <c r="E51" s="77">
        <f>SUMIFS(data_lineitems!$I$3:$I$1567,data_lineitems!$A$3:$A$1567,"DE",data_lineitems!$B$3:$B$1567,2010,data_lineitems!$C$3:$C$1567,"large",data_lineitems!$D$3:$D$1567,"E1",data_lineitems!$F$3:$F$1567,"2 Gen capital recovery")</f>
        <v/>
      </c>
      <c r="F51" s="77">
        <f>SUMIFS(data_lineitems!$I$3:$I$1567,data_lineitems!$A$3:$A$1567,"DE",data_lineitems!$B$3:$B$1567,2011,data_lineitems!$C$3:$C$1567,"large",data_lineitems!$D$3:$D$1567,"E1",data_lineitems!$F$3:$F$1567,"2 Gen capital recovery")</f>
        <v/>
      </c>
      <c r="G51" s="77">
        <f>SUMIFS(data_lineitems!$I$3:$I$1567,data_lineitems!$A$3:$A$1567,"DE",data_lineitems!$B$3:$B$1567,2012,data_lineitems!$C$3:$C$1567,"large",data_lineitems!$D$3:$D$1567,"E1",data_lineitems!$F$3:$F$1567,"2 Gen capital recovery")</f>
        <v/>
      </c>
      <c r="H51" s="77">
        <f>SUMIFS(data_lineitems!$I$3:$I$1567,data_lineitems!$A$3:$A$1567,"DE",data_lineitems!$B$3:$B$1567,2013,data_lineitems!$C$3:$C$1567,"large",data_lineitems!$D$3:$D$1567,"E1",data_lineitems!$F$3:$F$1567,"2 Gen capital recovery")</f>
        <v/>
      </c>
      <c r="I51" s="77">
        <f>SUMIFS(data_lineitems!$I$3:$I$1567,data_lineitems!$A$3:$A$1567,"DE",data_lineitems!$B$3:$B$1567,2014,data_lineitems!$C$3:$C$1567,"large",data_lineitems!$D$3:$D$1567,"E1",data_lineitems!$F$3:$F$1567,"2 Gen capital recovery")</f>
        <v/>
      </c>
      <c r="J51" s="77">
        <f>SUMIFS(data_lineitems!$I$3:$I$1567,data_lineitems!$A$3:$A$1567,"DE",data_lineitems!$B$3:$B$1567,2015,data_lineitems!$C$3:$C$1567,"large",data_lineitems!$D$3:$D$1567,"E1",data_lineitems!$F$3:$F$1567,"2 Gen capital recovery")</f>
        <v/>
      </c>
      <c r="K51" s="77">
        <f>SUMIFS(data_lineitems!$I$3:$I$1567,data_lineitems!$A$3:$A$1567,"DE",data_lineitems!$B$3:$B$1567,2016,data_lineitems!$C$3:$C$1567,"large",data_lineitems!$D$3:$D$1567,"E1",data_lineitems!$F$3:$F$1567,"2 Gen capital recovery")</f>
        <v/>
      </c>
      <c r="L51" s="77">
        <f>SUMIFS(data_lineitems!$I$3:$I$1567,data_lineitems!$A$3:$A$1567,"DE",data_lineitems!$B$3:$B$1567,2017,data_lineitems!$C$3:$C$1567,"large",data_lineitems!$D$3:$D$1567,"E1",data_lineitems!$F$3:$F$1567,"2 Gen capital recovery")</f>
        <v/>
      </c>
      <c r="M51" s="77">
        <f>SUMIFS(data_lineitems!$I$3:$I$1567,data_lineitems!$A$3:$A$1567,"DE",data_lineitems!$B$3:$B$1567,2018,data_lineitems!$C$3:$C$1567,"large",data_lineitems!$D$3:$D$1567,"E1",data_lineitems!$F$3:$F$1567,"2 Gen capital recovery")</f>
        <v/>
      </c>
      <c r="N51" s="77">
        <f>SUMIFS(data_lineitems!$I$3:$I$1567,data_lineitems!$A$3:$A$1567,"DE",data_lineitems!$B$3:$B$1567,2019,data_lineitems!$C$3:$C$1567,"large",data_lineitems!$D$3:$D$1567,"E1",data_lineitems!$F$3:$F$1567,"2 Gen capital recovery")</f>
        <v/>
      </c>
      <c r="O51" s="77">
        <f>SUMIFS(data_lineitems!$I$3:$I$1567,data_lineitems!$A$3:$A$1567,"DE",data_lineitems!$B$3:$B$1567,2020,data_lineitems!$C$3:$C$1567,"large",data_lineitems!$D$3:$D$1567,"E1",data_lineitems!$F$3:$F$1567,"2 Gen capital recovery")</f>
        <v/>
      </c>
      <c r="P51" s="77">
        <f>SUMIFS(data_lineitems!$I$3:$I$1567,data_lineitems!$A$3:$A$1567,"DE",data_lineitems!$B$3:$B$1567,2021,data_lineitems!$C$3:$C$1567,"large",data_lineitems!$D$3:$D$1567,"E1",data_lineitems!$F$3:$F$1567,"2 Gen capital recovery")</f>
        <v/>
      </c>
      <c r="Q51" s="77">
        <f>SUMIFS(data_lineitems!$I$3:$I$1567,data_lineitems!$A$3:$A$1567,"DE",data_lineitems!$B$3:$B$1567,2022,data_lineitems!$C$3:$C$1567,"large",data_lineitems!$D$3:$D$1567,"E1",data_lineitems!$F$3:$F$1567,"2 Gen capital recovery")</f>
        <v/>
      </c>
      <c r="R51" s="77">
        <f>SUMIFS(data_lineitems!$I$3:$I$1567,data_lineitems!$A$3:$A$1567,"DE",data_lineitems!$B$3:$B$1567,2023,data_lineitems!$C$3:$C$1567,"large",data_lineitems!$D$3:$D$1567,"E1",data_lineitems!$F$3:$F$1567,"2 Gen capital recovery")</f>
        <v/>
      </c>
      <c r="S51" s="77">
        <f>SUMIFS(data_lineitems!$I$3:$I$1567,data_lineitems!$A$3:$A$1567,"DE",data_lineitems!$B$3:$B$1567,2024,data_lineitems!$C$3:$C$1567,"large",data_lineitems!$D$3:$D$1567,"E1",data_lineitems!$F$3:$F$1567,"2 Gen capital recovery")</f>
        <v/>
      </c>
      <c r="T51" s="77">
        <f>SUMIFS(data_lineitems!$I$3:$I$1567,data_lineitems!$A$3:$A$1567,"DE",data_lineitems!$B$3:$B$1567,2025,data_lineitems!$C$3:$C$1567,"large",data_lineitems!$D$3:$D$1567,"E1",data_lineitems!$F$3:$F$1567,"2 Gen capital recovery")</f>
        <v/>
      </c>
    </row>
    <row r="52" ht="15" customHeight="1" s="78">
      <c r="A52" s="77" t="inlineStr">
        <is>
          <t>DE</t>
        </is>
      </c>
      <c r="B52" s="77" t="inlineStr">
        <is>
          <t>large</t>
        </is>
      </c>
      <c r="C52" s="77" t="inlineStr">
        <is>
          <t>E1</t>
        </is>
      </c>
      <c r="D52" s="77" t="inlineStr">
        <is>
          <t>3 Network</t>
        </is>
      </c>
      <c r="E52" s="77">
        <f>SUMIFS(data_lineitems!$I$3:$I$1567,data_lineitems!$A$3:$A$1567,"DE",data_lineitems!$B$3:$B$1567,2010,data_lineitems!$C$3:$C$1567,"large",data_lineitems!$D$3:$D$1567,"E1",data_lineitems!$F$3:$F$1567,"3 Network")</f>
        <v/>
      </c>
      <c r="F52" s="77">
        <f>SUMIFS(data_lineitems!$I$3:$I$1567,data_lineitems!$A$3:$A$1567,"DE",data_lineitems!$B$3:$B$1567,2011,data_lineitems!$C$3:$C$1567,"large",data_lineitems!$D$3:$D$1567,"E1",data_lineitems!$F$3:$F$1567,"3 Network")</f>
        <v/>
      </c>
      <c r="G52" s="77">
        <f>SUMIFS(data_lineitems!$I$3:$I$1567,data_lineitems!$A$3:$A$1567,"DE",data_lineitems!$B$3:$B$1567,2012,data_lineitems!$C$3:$C$1567,"large",data_lineitems!$D$3:$D$1567,"E1",data_lineitems!$F$3:$F$1567,"3 Network")</f>
        <v/>
      </c>
      <c r="H52" s="77">
        <f>SUMIFS(data_lineitems!$I$3:$I$1567,data_lineitems!$A$3:$A$1567,"DE",data_lineitems!$B$3:$B$1567,2013,data_lineitems!$C$3:$C$1567,"large",data_lineitems!$D$3:$D$1567,"E1",data_lineitems!$F$3:$F$1567,"3 Network")</f>
        <v/>
      </c>
      <c r="I52" s="77">
        <f>SUMIFS(data_lineitems!$I$3:$I$1567,data_lineitems!$A$3:$A$1567,"DE",data_lineitems!$B$3:$B$1567,2014,data_lineitems!$C$3:$C$1567,"large",data_lineitems!$D$3:$D$1567,"E1",data_lineitems!$F$3:$F$1567,"3 Network")</f>
        <v/>
      </c>
      <c r="J52" s="77">
        <f>SUMIFS(data_lineitems!$I$3:$I$1567,data_lineitems!$A$3:$A$1567,"DE",data_lineitems!$B$3:$B$1567,2015,data_lineitems!$C$3:$C$1567,"large",data_lineitems!$D$3:$D$1567,"E1",data_lineitems!$F$3:$F$1567,"3 Network")</f>
        <v/>
      </c>
      <c r="K52" s="77">
        <f>SUMIFS(data_lineitems!$I$3:$I$1567,data_lineitems!$A$3:$A$1567,"DE",data_lineitems!$B$3:$B$1567,2016,data_lineitems!$C$3:$C$1567,"large",data_lineitems!$D$3:$D$1567,"E1",data_lineitems!$F$3:$F$1567,"3 Network")</f>
        <v/>
      </c>
      <c r="L52" s="77">
        <f>SUMIFS(data_lineitems!$I$3:$I$1567,data_lineitems!$A$3:$A$1567,"DE",data_lineitems!$B$3:$B$1567,2017,data_lineitems!$C$3:$C$1567,"large",data_lineitems!$D$3:$D$1567,"E1",data_lineitems!$F$3:$F$1567,"3 Network")</f>
        <v/>
      </c>
      <c r="M52" s="77">
        <f>SUMIFS(data_lineitems!$I$3:$I$1567,data_lineitems!$A$3:$A$1567,"DE",data_lineitems!$B$3:$B$1567,2018,data_lineitems!$C$3:$C$1567,"large",data_lineitems!$D$3:$D$1567,"E1",data_lineitems!$F$3:$F$1567,"3 Network")</f>
        <v/>
      </c>
      <c r="N52" s="77">
        <f>SUMIFS(data_lineitems!$I$3:$I$1567,data_lineitems!$A$3:$A$1567,"DE",data_lineitems!$B$3:$B$1567,2019,data_lineitems!$C$3:$C$1567,"large",data_lineitems!$D$3:$D$1567,"E1",data_lineitems!$F$3:$F$1567,"3 Network")</f>
        <v/>
      </c>
      <c r="O52" s="77">
        <f>SUMIFS(data_lineitems!$I$3:$I$1567,data_lineitems!$A$3:$A$1567,"DE",data_lineitems!$B$3:$B$1567,2020,data_lineitems!$C$3:$C$1567,"large",data_lineitems!$D$3:$D$1567,"E1",data_lineitems!$F$3:$F$1567,"3 Network")</f>
        <v/>
      </c>
      <c r="P52" s="77">
        <f>SUMIFS(data_lineitems!$I$3:$I$1567,data_lineitems!$A$3:$A$1567,"DE",data_lineitems!$B$3:$B$1567,2021,data_lineitems!$C$3:$C$1567,"large",data_lineitems!$D$3:$D$1567,"E1",data_lineitems!$F$3:$F$1567,"3 Network")</f>
        <v/>
      </c>
      <c r="Q52" s="77">
        <f>SUMIFS(data_lineitems!$I$3:$I$1567,data_lineitems!$A$3:$A$1567,"DE",data_lineitems!$B$3:$B$1567,2022,data_lineitems!$C$3:$C$1567,"large",data_lineitems!$D$3:$D$1567,"E1",data_lineitems!$F$3:$F$1567,"3 Network")</f>
        <v/>
      </c>
      <c r="R52" s="77">
        <f>SUMIFS(data_lineitems!$I$3:$I$1567,data_lineitems!$A$3:$A$1567,"DE",data_lineitems!$B$3:$B$1567,2023,data_lineitems!$C$3:$C$1567,"large",data_lineitems!$D$3:$D$1567,"E1",data_lineitems!$F$3:$F$1567,"3 Network")</f>
        <v/>
      </c>
      <c r="S52" s="77">
        <f>SUMIFS(data_lineitems!$I$3:$I$1567,data_lineitems!$A$3:$A$1567,"DE",data_lineitems!$B$3:$B$1567,2024,data_lineitems!$C$3:$C$1567,"large",data_lineitems!$D$3:$D$1567,"E1",data_lineitems!$F$3:$F$1567,"3 Network")</f>
        <v/>
      </c>
      <c r="T52" s="77">
        <f>SUMIFS(data_lineitems!$I$3:$I$1567,data_lineitems!$A$3:$A$1567,"DE",data_lineitems!$B$3:$B$1567,2025,data_lineitems!$C$3:$C$1567,"large",data_lineitems!$D$3:$D$1567,"E1",data_lineitems!$F$3:$F$1567,"3 Network")</f>
        <v/>
      </c>
    </row>
    <row r="53" ht="15" customHeight="1" s="78">
      <c r="A53" s="77" t="inlineStr">
        <is>
          <t>DE</t>
        </is>
      </c>
      <c r="B53" s="77" t="inlineStr">
        <is>
          <t>large</t>
        </is>
      </c>
      <c r="C53" s="77" t="inlineStr">
        <is>
          <t>E1</t>
        </is>
      </c>
      <c r="D53" s="77" t="inlineStr">
        <is>
          <t>4 System services &amp; balancing</t>
        </is>
      </c>
      <c r="E53" s="77">
        <f>SUMIFS(data_lineitems!$I$3:$I$1567,data_lineitems!$A$3:$A$1567,"DE",data_lineitems!$B$3:$B$1567,2010,data_lineitems!$C$3:$C$1567,"large",data_lineitems!$D$3:$D$1567,"E1",data_lineitems!$F$3:$F$1567,"4 System services &amp; balancing")</f>
        <v/>
      </c>
      <c r="F53" s="77">
        <f>SUMIFS(data_lineitems!$I$3:$I$1567,data_lineitems!$A$3:$A$1567,"DE",data_lineitems!$B$3:$B$1567,2011,data_lineitems!$C$3:$C$1567,"large",data_lineitems!$D$3:$D$1567,"E1",data_lineitems!$F$3:$F$1567,"4 System services &amp; balancing")</f>
        <v/>
      </c>
      <c r="G53" s="77">
        <f>SUMIFS(data_lineitems!$I$3:$I$1567,data_lineitems!$A$3:$A$1567,"DE",data_lineitems!$B$3:$B$1567,2012,data_lineitems!$C$3:$C$1567,"large",data_lineitems!$D$3:$D$1567,"E1",data_lineitems!$F$3:$F$1567,"4 System services &amp; balancing")</f>
        <v/>
      </c>
      <c r="H53" s="77">
        <f>SUMIFS(data_lineitems!$I$3:$I$1567,data_lineitems!$A$3:$A$1567,"DE",data_lineitems!$B$3:$B$1567,2013,data_lineitems!$C$3:$C$1567,"large",data_lineitems!$D$3:$D$1567,"E1",data_lineitems!$F$3:$F$1567,"4 System services &amp; balancing")</f>
        <v/>
      </c>
      <c r="I53" s="77">
        <f>SUMIFS(data_lineitems!$I$3:$I$1567,data_lineitems!$A$3:$A$1567,"DE",data_lineitems!$B$3:$B$1567,2014,data_lineitems!$C$3:$C$1567,"large",data_lineitems!$D$3:$D$1567,"E1",data_lineitems!$F$3:$F$1567,"4 System services &amp; balancing")</f>
        <v/>
      </c>
      <c r="J53" s="77">
        <f>SUMIFS(data_lineitems!$I$3:$I$1567,data_lineitems!$A$3:$A$1567,"DE",data_lineitems!$B$3:$B$1567,2015,data_lineitems!$C$3:$C$1567,"large",data_lineitems!$D$3:$D$1567,"E1",data_lineitems!$F$3:$F$1567,"4 System services &amp; balancing")</f>
        <v/>
      </c>
      <c r="K53" s="77">
        <f>SUMIFS(data_lineitems!$I$3:$I$1567,data_lineitems!$A$3:$A$1567,"DE",data_lineitems!$B$3:$B$1567,2016,data_lineitems!$C$3:$C$1567,"large",data_lineitems!$D$3:$D$1567,"E1",data_lineitems!$F$3:$F$1567,"4 System services &amp; balancing")</f>
        <v/>
      </c>
      <c r="L53" s="77">
        <f>SUMIFS(data_lineitems!$I$3:$I$1567,data_lineitems!$A$3:$A$1567,"DE",data_lineitems!$B$3:$B$1567,2017,data_lineitems!$C$3:$C$1567,"large",data_lineitems!$D$3:$D$1567,"E1",data_lineitems!$F$3:$F$1567,"4 System services &amp; balancing")</f>
        <v/>
      </c>
      <c r="M53" s="77">
        <f>SUMIFS(data_lineitems!$I$3:$I$1567,data_lineitems!$A$3:$A$1567,"DE",data_lineitems!$B$3:$B$1567,2018,data_lineitems!$C$3:$C$1567,"large",data_lineitems!$D$3:$D$1567,"E1",data_lineitems!$F$3:$F$1567,"4 System services &amp; balancing")</f>
        <v/>
      </c>
      <c r="N53" s="77">
        <f>SUMIFS(data_lineitems!$I$3:$I$1567,data_lineitems!$A$3:$A$1567,"DE",data_lineitems!$B$3:$B$1567,2019,data_lineitems!$C$3:$C$1567,"large",data_lineitems!$D$3:$D$1567,"E1",data_lineitems!$F$3:$F$1567,"4 System services &amp; balancing")</f>
        <v/>
      </c>
      <c r="O53" s="77">
        <f>SUMIFS(data_lineitems!$I$3:$I$1567,data_lineitems!$A$3:$A$1567,"DE",data_lineitems!$B$3:$B$1567,2020,data_lineitems!$C$3:$C$1567,"large",data_lineitems!$D$3:$D$1567,"E1",data_lineitems!$F$3:$F$1567,"4 System services &amp; balancing")</f>
        <v/>
      </c>
      <c r="P53" s="77">
        <f>SUMIFS(data_lineitems!$I$3:$I$1567,data_lineitems!$A$3:$A$1567,"DE",data_lineitems!$B$3:$B$1567,2021,data_lineitems!$C$3:$C$1567,"large",data_lineitems!$D$3:$D$1567,"E1",data_lineitems!$F$3:$F$1567,"4 System services &amp; balancing")</f>
        <v/>
      </c>
      <c r="Q53" s="77">
        <f>SUMIFS(data_lineitems!$I$3:$I$1567,data_lineitems!$A$3:$A$1567,"DE",data_lineitems!$B$3:$B$1567,2022,data_lineitems!$C$3:$C$1567,"large",data_lineitems!$D$3:$D$1567,"E1",data_lineitems!$F$3:$F$1567,"4 System services &amp; balancing")</f>
        <v/>
      </c>
      <c r="R53" s="77">
        <f>SUMIFS(data_lineitems!$I$3:$I$1567,data_lineitems!$A$3:$A$1567,"DE",data_lineitems!$B$3:$B$1567,2023,data_lineitems!$C$3:$C$1567,"large",data_lineitems!$D$3:$D$1567,"E1",data_lineitems!$F$3:$F$1567,"4 System services &amp; balancing")</f>
        <v/>
      </c>
      <c r="S53" s="77">
        <f>SUMIFS(data_lineitems!$I$3:$I$1567,data_lineitems!$A$3:$A$1567,"DE",data_lineitems!$B$3:$B$1567,2024,data_lineitems!$C$3:$C$1567,"large",data_lineitems!$D$3:$D$1567,"E1",data_lineitems!$F$3:$F$1567,"4 System services &amp; balancing")</f>
        <v/>
      </c>
      <c r="T53" s="77">
        <f>SUMIFS(data_lineitems!$I$3:$I$1567,data_lineitems!$A$3:$A$1567,"DE",data_lineitems!$B$3:$B$1567,2025,data_lineitems!$C$3:$C$1567,"large",data_lineitems!$D$3:$D$1567,"E1",data_lineitems!$F$3:$F$1567,"4 System services &amp; balancing")</f>
        <v/>
      </c>
    </row>
    <row r="54" ht="15" customHeight="1" s="78">
      <c r="A54" s="77" t="inlineStr">
        <is>
          <t>DE</t>
        </is>
      </c>
      <c r="B54" s="77" t="inlineStr">
        <is>
          <t>large</t>
        </is>
      </c>
      <c r="C54" s="77" t="inlineStr">
        <is>
          <t>E1</t>
        </is>
      </c>
      <c r="D54" s="77" t="inlineStr">
        <is>
          <t>5 General taxation &amp; levies</t>
        </is>
      </c>
      <c r="E54" s="77">
        <f>SUMIFS(data_lineitems!$I$3:$I$1567,data_lineitems!$A$3:$A$1567,"DE",data_lineitems!$B$3:$B$1567,2010,data_lineitems!$C$3:$C$1567,"large",data_lineitems!$D$3:$D$1567,"E1",data_lineitems!$F$3:$F$1567,"5 General taxation &amp; levies")</f>
        <v/>
      </c>
      <c r="F54" s="77">
        <f>SUMIFS(data_lineitems!$I$3:$I$1567,data_lineitems!$A$3:$A$1567,"DE",data_lineitems!$B$3:$B$1567,2011,data_lineitems!$C$3:$C$1567,"large",data_lineitems!$D$3:$D$1567,"E1",data_lineitems!$F$3:$F$1567,"5 General taxation &amp; levies")</f>
        <v/>
      </c>
      <c r="G54" s="77">
        <f>SUMIFS(data_lineitems!$I$3:$I$1567,data_lineitems!$A$3:$A$1567,"DE",data_lineitems!$B$3:$B$1567,2012,data_lineitems!$C$3:$C$1567,"large",data_lineitems!$D$3:$D$1567,"E1",data_lineitems!$F$3:$F$1567,"5 General taxation &amp; levies")</f>
        <v/>
      </c>
      <c r="H54" s="77">
        <f>SUMIFS(data_lineitems!$I$3:$I$1567,data_lineitems!$A$3:$A$1567,"DE",data_lineitems!$B$3:$B$1567,2013,data_lineitems!$C$3:$C$1567,"large",data_lineitems!$D$3:$D$1567,"E1",data_lineitems!$F$3:$F$1567,"5 General taxation &amp; levies")</f>
        <v/>
      </c>
      <c r="I54" s="77">
        <f>SUMIFS(data_lineitems!$I$3:$I$1567,data_lineitems!$A$3:$A$1567,"DE",data_lineitems!$B$3:$B$1567,2014,data_lineitems!$C$3:$C$1567,"large",data_lineitems!$D$3:$D$1567,"E1",data_lineitems!$F$3:$F$1567,"5 General taxation &amp; levies")</f>
        <v/>
      </c>
      <c r="J54" s="77">
        <f>SUMIFS(data_lineitems!$I$3:$I$1567,data_lineitems!$A$3:$A$1567,"DE",data_lineitems!$B$3:$B$1567,2015,data_lineitems!$C$3:$C$1567,"large",data_lineitems!$D$3:$D$1567,"E1",data_lineitems!$F$3:$F$1567,"5 General taxation &amp; levies")</f>
        <v/>
      </c>
      <c r="K54" s="77">
        <f>SUMIFS(data_lineitems!$I$3:$I$1567,data_lineitems!$A$3:$A$1567,"DE",data_lineitems!$B$3:$B$1567,2016,data_lineitems!$C$3:$C$1567,"large",data_lineitems!$D$3:$D$1567,"E1",data_lineitems!$F$3:$F$1567,"5 General taxation &amp; levies")</f>
        <v/>
      </c>
      <c r="L54" s="77">
        <f>SUMIFS(data_lineitems!$I$3:$I$1567,data_lineitems!$A$3:$A$1567,"DE",data_lineitems!$B$3:$B$1567,2017,data_lineitems!$C$3:$C$1567,"large",data_lineitems!$D$3:$D$1567,"E1",data_lineitems!$F$3:$F$1567,"5 General taxation &amp; levies")</f>
        <v/>
      </c>
      <c r="M54" s="77">
        <f>SUMIFS(data_lineitems!$I$3:$I$1567,data_lineitems!$A$3:$A$1567,"DE",data_lineitems!$B$3:$B$1567,2018,data_lineitems!$C$3:$C$1567,"large",data_lineitems!$D$3:$D$1567,"E1",data_lineitems!$F$3:$F$1567,"5 General taxation &amp; levies")</f>
        <v/>
      </c>
      <c r="N54" s="77">
        <f>SUMIFS(data_lineitems!$I$3:$I$1567,data_lineitems!$A$3:$A$1567,"DE",data_lineitems!$B$3:$B$1567,2019,data_lineitems!$C$3:$C$1567,"large",data_lineitems!$D$3:$D$1567,"E1",data_lineitems!$F$3:$F$1567,"5 General taxation &amp; levies")</f>
        <v/>
      </c>
      <c r="O54" s="77">
        <f>SUMIFS(data_lineitems!$I$3:$I$1567,data_lineitems!$A$3:$A$1567,"DE",data_lineitems!$B$3:$B$1567,2020,data_lineitems!$C$3:$C$1567,"large",data_lineitems!$D$3:$D$1567,"E1",data_lineitems!$F$3:$F$1567,"5 General taxation &amp; levies")</f>
        <v/>
      </c>
      <c r="P54" s="77">
        <f>SUMIFS(data_lineitems!$I$3:$I$1567,data_lineitems!$A$3:$A$1567,"DE",data_lineitems!$B$3:$B$1567,2021,data_lineitems!$C$3:$C$1567,"large",data_lineitems!$D$3:$D$1567,"E1",data_lineitems!$F$3:$F$1567,"5 General taxation &amp; levies")</f>
        <v/>
      </c>
      <c r="Q54" s="77">
        <f>SUMIFS(data_lineitems!$I$3:$I$1567,data_lineitems!$A$3:$A$1567,"DE",data_lineitems!$B$3:$B$1567,2022,data_lineitems!$C$3:$C$1567,"large",data_lineitems!$D$3:$D$1567,"E1",data_lineitems!$F$3:$F$1567,"5 General taxation &amp; levies")</f>
        <v/>
      </c>
      <c r="R54" s="77">
        <f>SUMIFS(data_lineitems!$I$3:$I$1567,data_lineitems!$A$3:$A$1567,"DE",data_lineitems!$B$3:$B$1567,2023,data_lineitems!$C$3:$C$1567,"large",data_lineitems!$D$3:$D$1567,"E1",data_lineitems!$F$3:$F$1567,"5 General taxation &amp; levies")</f>
        <v/>
      </c>
      <c r="S54" s="77">
        <f>SUMIFS(data_lineitems!$I$3:$I$1567,data_lineitems!$A$3:$A$1567,"DE",data_lineitems!$B$3:$B$1567,2024,data_lineitems!$C$3:$C$1567,"large",data_lineitems!$D$3:$D$1567,"E1",data_lineitems!$F$3:$F$1567,"5 General taxation &amp; levies")</f>
        <v/>
      </c>
      <c r="T54" s="77">
        <f>SUMIFS(data_lineitems!$I$3:$I$1567,data_lineitems!$A$3:$A$1567,"DE",data_lineitems!$B$3:$B$1567,2025,data_lineitems!$C$3:$C$1567,"large",data_lineitems!$D$3:$D$1567,"E1",data_lineitems!$F$3:$F$1567,"5 General taxation &amp; levies")</f>
        <v/>
      </c>
    </row>
    <row r="55" ht="15" customHeight="1" s="78">
      <c r="A55" s="77" t="inlineStr">
        <is>
          <t>DE</t>
        </is>
      </c>
      <c r="B55" s="77" t="inlineStr">
        <is>
          <t>large</t>
        </is>
      </c>
      <c r="C55" s="77" t="inlineStr">
        <is>
          <t>E1</t>
        </is>
      </c>
      <c r="D55" s="77" t="inlineStr">
        <is>
          <t>TOTAL modelled (sum buckets)</t>
        </is>
      </c>
      <c r="E55" s="77">
        <f>SUM(E50:E54)</f>
        <v/>
      </c>
      <c r="F55" s="77">
        <f>SUM(F50:F54)</f>
        <v/>
      </c>
      <c r="G55" s="77">
        <f>SUM(G50:G54)</f>
        <v/>
      </c>
      <c r="H55" s="77">
        <f>SUM(H50:H54)</f>
        <v/>
      </c>
      <c r="I55" s="77">
        <f>SUM(I50:I54)</f>
        <v/>
      </c>
      <c r="J55" s="77">
        <f>SUM(J50:J54)</f>
        <v/>
      </c>
      <c r="K55" s="77">
        <f>SUM(K50:K54)</f>
        <v/>
      </c>
      <c r="L55" s="77">
        <f>SUM(L50:L54)</f>
        <v/>
      </c>
      <c r="M55" s="77">
        <f>SUM(M50:M54)</f>
        <v/>
      </c>
      <c r="N55" s="77">
        <f>SUM(N50:N54)</f>
        <v/>
      </c>
      <c r="O55" s="77">
        <f>SUM(O50:O54)</f>
        <v/>
      </c>
      <c r="P55" s="77">
        <f>SUM(P50:P54)</f>
        <v/>
      </c>
      <c r="Q55" s="77">
        <f>SUM(Q50:Q54)</f>
        <v/>
      </c>
      <c r="R55" s="77">
        <f>SUM(R50:R54)</f>
        <v/>
      </c>
      <c r="S55" s="77">
        <f>SUM(S50:S54)</f>
        <v/>
      </c>
      <c r="T55" s="77">
        <f>SUM(T50:T54)</f>
        <v/>
      </c>
    </row>
    <row r="56" ht="15" customHeight="1" s="78">
      <c r="A56" s="77" t="inlineStr">
        <is>
          <t>DE</t>
        </is>
      </c>
      <c r="B56" s="77" t="inlineStr">
        <is>
          <t>large</t>
        </is>
      </c>
      <c r="C56" s="77" t="inlineStr">
        <is>
          <t>E1</t>
        </is>
      </c>
      <c r="D56" s="77" t="inlineStr">
        <is>
          <t>REFERENCE — timeseries USD r80</t>
        </is>
      </c>
      <c r="E56" s="77">
        <f>IF(ISNUMBER(timeseries!D80),timeseries!D80,"")</f>
        <v/>
      </c>
      <c r="F56" s="136">
        <f>IF(ISNUMBER(timeseries!E80),timeseries!E80,"")</f>
        <v/>
      </c>
      <c r="G56" s="136">
        <f>IF(ISNUMBER(timeseries!F80),timeseries!F80,"")</f>
        <v/>
      </c>
      <c r="H56" s="136">
        <f>IF(ISNUMBER(timeseries!G80),timeseries!G80,"")</f>
        <v/>
      </c>
      <c r="I56" s="136">
        <f>IF(ISNUMBER(timeseries!H80),timeseries!H80,"")</f>
        <v/>
      </c>
      <c r="J56" s="136">
        <f>IF(ISNUMBER(timeseries!I80),timeseries!I80,"")</f>
        <v/>
      </c>
      <c r="K56" s="136">
        <f>IF(ISNUMBER(timeseries!J80),timeseries!J80,"")</f>
        <v/>
      </c>
      <c r="L56" s="136">
        <f>IF(ISNUMBER(timeseries!K80),timeseries!K80,"")</f>
        <v/>
      </c>
      <c r="M56" s="136">
        <f>IF(ISNUMBER(timeseries!L80),timeseries!L80,"")</f>
        <v/>
      </c>
      <c r="N56" s="136">
        <f>IF(ISNUMBER(timeseries!M80),timeseries!M80,"")</f>
        <v/>
      </c>
      <c r="O56" s="136">
        <f>IF(ISNUMBER(timeseries!N80),timeseries!N80,"")</f>
        <v/>
      </c>
      <c r="P56" s="136">
        <f>IF(ISNUMBER(timeseries!O80),timeseries!O80,"")</f>
        <v/>
      </c>
      <c r="Q56" s="136">
        <f>IF(ISNUMBER(timeseries!P80),timeseries!P80,"")</f>
        <v/>
      </c>
      <c r="R56" s="136">
        <f>IF(ISNUMBER(timeseries!Q80),timeseries!Q80,"")</f>
        <v/>
      </c>
      <c r="S56" s="136">
        <f>IF(ISNUMBER(timeseries!R80),timeseries!R80,"")</f>
        <v/>
      </c>
      <c r="T56" s="136">
        <f>IF(ISNUMBER(timeseries!S80),timeseries!S80,"")</f>
        <v/>
      </c>
    </row>
    <row r="57" ht="15" customHeight="1" s="78">
      <c r="A57" s="77" t="inlineStr">
        <is>
          <t>DE</t>
        </is>
      </c>
      <c r="B57" s="77" t="inlineStr">
        <is>
          <t>large</t>
        </is>
      </c>
      <c r="C57" s="77" t="inlineStr">
        <is>
          <t>E1</t>
        </is>
      </c>
      <c r="D57" s="77" t="inlineStr">
        <is>
          <t>RECONCILIATION (total/ref - 1)</t>
        </is>
      </c>
      <c r="E57" s="77">
        <f>IF(AND(ISNUMBER(E56),E56&lt;&gt;0,ISNUMBER(E55)),E55/E56-1,"n/a")</f>
        <v/>
      </c>
      <c r="F57" s="77">
        <f>IF(AND(ISNUMBER(F56),F56&lt;&gt;0,ISNUMBER(F55)),F55/F56-1,"n/a")</f>
        <v/>
      </c>
      <c r="G57" s="77">
        <f>IF(AND(ISNUMBER(G56),G56&lt;&gt;0,ISNUMBER(G55)),G55/G56-1,"n/a")</f>
        <v/>
      </c>
      <c r="H57" s="77">
        <f>IF(AND(ISNUMBER(H56),H56&lt;&gt;0,ISNUMBER(H55)),H55/H56-1,"n/a")</f>
        <v/>
      </c>
      <c r="I57" s="77">
        <f>IF(AND(ISNUMBER(I56),I56&lt;&gt;0,ISNUMBER(I55)),I55/I56-1,"n/a")</f>
        <v/>
      </c>
      <c r="J57" s="77">
        <f>IF(AND(ISNUMBER(J56),J56&lt;&gt;0,ISNUMBER(J55)),J55/J56-1,"n/a")</f>
        <v/>
      </c>
      <c r="K57" s="77">
        <f>IF(AND(ISNUMBER(K56),K56&lt;&gt;0,ISNUMBER(K55)),K55/K56-1,"n/a")</f>
        <v/>
      </c>
      <c r="L57" s="77">
        <f>IF(AND(ISNUMBER(L56),L56&lt;&gt;0,ISNUMBER(L55)),L55/L56-1,"n/a")</f>
        <v/>
      </c>
      <c r="M57" s="77">
        <f>IF(AND(ISNUMBER(M56),M56&lt;&gt;0,ISNUMBER(M55)),M55/M56-1,"n/a")</f>
        <v/>
      </c>
      <c r="N57" s="77">
        <f>IF(AND(ISNUMBER(N56),N56&lt;&gt;0,ISNUMBER(N55)),N55/N56-1,"n/a")</f>
        <v/>
      </c>
      <c r="O57" s="77">
        <f>IF(AND(ISNUMBER(O56),O56&lt;&gt;0,ISNUMBER(O55)),O55/O56-1,"n/a")</f>
        <v/>
      </c>
      <c r="P57" s="77">
        <f>IF(AND(ISNUMBER(P56),P56&lt;&gt;0,ISNUMBER(P55)),P55/P56-1,"n/a")</f>
        <v/>
      </c>
      <c r="Q57" s="77">
        <f>IF(AND(ISNUMBER(Q56),Q56&lt;&gt;0,ISNUMBER(Q55)),Q55/Q56-1,"n/a")</f>
        <v/>
      </c>
      <c r="R57" s="77">
        <f>IF(AND(ISNUMBER(R56),R56&lt;&gt;0,ISNUMBER(R55)),R55/R56-1,"n/a")</f>
        <v/>
      </c>
      <c r="S57" s="77">
        <f>IF(AND(ISNUMBER(S56),S56&lt;&gt;0,ISNUMBER(S55)),S55/S56-1,"n/a")</f>
        <v/>
      </c>
      <c r="T57" s="77">
        <f>IF(AND(ISNUMBER(T56),T56&lt;&gt;0,ISNUMBER(T55)),T55/T56-1,"n/a")</f>
        <v/>
      </c>
    </row>
    <row r="58" ht="15" customHeight="1" s="78">
      <c r="A58" s="77" t="inlineStr">
        <is>
          <t>DE</t>
        </is>
      </c>
      <c r="B58" s="77" t="inlineStr">
        <is>
          <t>large</t>
        </is>
      </c>
      <c r="C58" s="77" t="inlineStr">
        <is>
          <t>E1</t>
        </is>
      </c>
      <c r="D58" s="77" t="inlineStr">
        <is>
          <t>GATE +/-2 pct</t>
        </is>
      </c>
      <c r="E58" s="77">
        <f>IF(ISNUMBER(E57),IF(ABS(E57)&lt;=0.02,"PASS","FAIL"),"n/a")</f>
        <v/>
      </c>
      <c r="F58" s="77">
        <f>IF(ISNUMBER(F57),IF(ABS(F57)&lt;=0.02,"PASS","FAIL"),"n/a")</f>
        <v/>
      </c>
      <c r="G58" s="77">
        <f>IF(ISNUMBER(G57),IF(ABS(G57)&lt;=0.02,"PASS","FAIL"),"n/a")</f>
        <v/>
      </c>
      <c r="H58" s="77">
        <f>IF(ISNUMBER(H57),IF(ABS(H57)&lt;=0.02,"PASS","FAIL"),"n/a")</f>
        <v/>
      </c>
      <c r="I58" s="77">
        <f>IF(ISNUMBER(I57),IF(ABS(I57)&lt;=0.02,"PASS","FAIL"),"n/a")</f>
        <v/>
      </c>
      <c r="J58" s="77">
        <f>IF(ISNUMBER(J57),IF(ABS(J57)&lt;=0.02,"PASS","FAIL"),"n/a")</f>
        <v/>
      </c>
      <c r="K58" s="77">
        <f>IF(ISNUMBER(K57),IF(ABS(K57)&lt;=0.02,"PASS","FAIL"),"n/a")</f>
        <v/>
      </c>
      <c r="L58" s="77">
        <f>IF(ISNUMBER(L57),IF(ABS(L57)&lt;=0.02,"PASS","FAIL"),"n/a")</f>
        <v/>
      </c>
      <c r="M58" s="77">
        <f>IF(ISNUMBER(M57),IF(ABS(M57)&lt;=0.02,"PASS","FAIL"),"n/a")</f>
        <v/>
      </c>
      <c r="N58" s="77">
        <f>IF(ISNUMBER(N57),IF(ABS(N57)&lt;=0.02,"PASS","FAIL"),"n/a")</f>
        <v/>
      </c>
      <c r="O58" s="77">
        <f>IF(ISNUMBER(O57),IF(ABS(O57)&lt;=0.02,"PASS","FAIL"),"n/a")</f>
        <v/>
      </c>
      <c r="P58" s="77">
        <f>IF(ISNUMBER(P57),IF(ABS(P57)&lt;=0.02,"PASS","FAIL"),"n/a")</f>
        <v/>
      </c>
      <c r="Q58" s="77">
        <f>IF(ISNUMBER(Q57),IF(ABS(Q57)&lt;=0.02,"PASS","FAIL"),"n/a")</f>
        <v/>
      </c>
      <c r="R58" s="77">
        <f>IF(ISNUMBER(R57),IF(ABS(R57)&lt;=0.02,"PASS","FAIL"),"n/a")</f>
        <v/>
      </c>
      <c r="S58" s="77">
        <f>IF(ISNUMBER(S57),IF(ABS(S57)&lt;=0.02,"PASS","FAIL"),"n/a")</f>
        <v/>
      </c>
      <c r="T58" s="77">
        <f>IF(ISNUMBER(T57),IF(ABS(T57)&lt;=0.02,"PASS","FAIL"),"n/a")</f>
        <v/>
      </c>
    </row>
    <row r="60" ht="15" customHeight="1" s="78">
      <c r="A60" s="77" t="inlineStr">
        <is>
          <t>DE</t>
        </is>
      </c>
      <c r="B60" s="77" t="inlineStr">
        <is>
          <t>large</t>
        </is>
      </c>
      <c r="C60" s="77" t="inlineStr">
        <is>
          <t>E2</t>
        </is>
      </c>
      <c r="D60" s="77" t="inlineStr">
        <is>
          <t>leg header</t>
        </is>
      </c>
    </row>
    <row r="61" ht="15" customHeight="1" s="78">
      <c r="A61" s="77" t="inlineStr">
        <is>
          <t>DE</t>
        </is>
      </c>
      <c r="B61" s="77" t="inlineStr">
        <is>
          <t>large</t>
        </is>
      </c>
      <c r="C61" s="77" t="inlineStr">
        <is>
          <t>E2</t>
        </is>
      </c>
      <c r="D61" s="77" t="inlineStr">
        <is>
          <t>1 Commodity</t>
        </is>
      </c>
      <c r="E61" s="77">
        <f>SUMIFS(data_lineitems!$I$3:$I$1567,data_lineitems!$A$3:$A$1567,"DE",data_lineitems!$B$3:$B$1567,2010,data_lineitems!$C$3:$C$1567,"large",data_lineitems!$D$3:$D$1567,"E2",data_lineitems!$F$3:$F$1567,"1 Commodity")</f>
        <v/>
      </c>
      <c r="F61" s="77">
        <f>SUMIFS(data_lineitems!$I$3:$I$1567,data_lineitems!$A$3:$A$1567,"DE",data_lineitems!$B$3:$B$1567,2011,data_lineitems!$C$3:$C$1567,"large",data_lineitems!$D$3:$D$1567,"E2",data_lineitems!$F$3:$F$1567,"1 Commodity")</f>
        <v/>
      </c>
      <c r="G61" s="77">
        <f>SUMIFS(data_lineitems!$I$3:$I$1567,data_lineitems!$A$3:$A$1567,"DE",data_lineitems!$B$3:$B$1567,2012,data_lineitems!$C$3:$C$1567,"large",data_lineitems!$D$3:$D$1567,"E2",data_lineitems!$F$3:$F$1567,"1 Commodity")</f>
        <v/>
      </c>
      <c r="H61" s="77">
        <f>SUMIFS(data_lineitems!$I$3:$I$1567,data_lineitems!$A$3:$A$1567,"DE",data_lineitems!$B$3:$B$1567,2013,data_lineitems!$C$3:$C$1567,"large",data_lineitems!$D$3:$D$1567,"E2",data_lineitems!$F$3:$F$1567,"1 Commodity")</f>
        <v/>
      </c>
      <c r="I61" s="77">
        <f>SUMIFS(data_lineitems!$I$3:$I$1567,data_lineitems!$A$3:$A$1567,"DE",data_lineitems!$B$3:$B$1567,2014,data_lineitems!$C$3:$C$1567,"large",data_lineitems!$D$3:$D$1567,"E2",data_lineitems!$F$3:$F$1567,"1 Commodity")</f>
        <v/>
      </c>
      <c r="J61" s="77">
        <f>SUMIFS(data_lineitems!$I$3:$I$1567,data_lineitems!$A$3:$A$1567,"DE",data_lineitems!$B$3:$B$1567,2015,data_lineitems!$C$3:$C$1567,"large",data_lineitems!$D$3:$D$1567,"E2",data_lineitems!$F$3:$F$1567,"1 Commodity")</f>
        <v/>
      </c>
      <c r="K61" s="77">
        <f>SUMIFS(data_lineitems!$I$3:$I$1567,data_lineitems!$A$3:$A$1567,"DE",data_lineitems!$B$3:$B$1567,2016,data_lineitems!$C$3:$C$1567,"large",data_lineitems!$D$3:$D$1567,"E2",data_lineitems!$F$3:$F$1567,"1 Commodity")</f>
        <v/>
      </c>
      <c r="L61" s="77">
        <f>SUMIFS(data_lineitems!$I$3:$I$1567,data_lineitems!$A$3:$A$1567,"DE",data_lineitems!$B$3:$B$1567,2017,data_lineitems!$C$3:$C$1567,"large",data_lineitems!$D$3:$D$1567,"E2",data_lineitems!$F$3:$F$1567,"1 Commodity")</f>
        <v/>
      </c>
      <c r="M61" s="77">
        <f>SUMIFS(data_lineitems!$I$3:$I$1567,data_lineitems!$A$3:$A$1567,"DE",data_lineitems!$B$3:$B$1567,2018,data_lineitems!$C$3:$C$1567,"large",data_lineitems!$D$3:$D$1567,"E2",data_lineitems!$F$3:$F$1567,"1 Commodity")</f>
        <v/>
      </c>
      <c r="N61" s="77">
        <f>SUMIFS(data_lineitems!$I$3:$I$1567,data_lineitems!$A$3:$A$1567,"DE",data_lineitems!$B$3:$B$1567,2019,data_lineitems!$C$3:$C$1567,"large",data_lineitems!$D$3:$D$1567,"E2",data_lineitems!$F$3:$F$1567,"1 Commodity")</f>
        <v/>
      </c>
      <c r="O61" s="77">
        <f>SUMIFS(data_lineitems!$I$3:$I$1567,data_lineitems!$A$3:$A$1567,"DE",data_lineitems!$B$3:$B$1567,2020,data_lineitems!$C$3:$C$1567,"large",data_lineitems!$D$3:$D$1567,"E2",data_lineitems!$F$3:$F$1567,"1 Commodity")</f>
        <v/>
      </c>
      <c r="P61" s="77">
        <f>SUMIFS(data_lineitems!$I$3:$I$1567,data_lineitems!$A$3:$A$1567,"DE",data_lineitems!$B$3:$B$1567,2021,data_lineitems!$C$3:$C$1567,"large",data_lineitems!$D$3:$D$1567,"E2",data_lineitems!$F$3:$F$1567,"1 Commodity")</f>
        <v/>
      </c>
      <c r="Q61" s="77">
        <f>SUMIFS(data_lineitems!$I$3:$I$1567,data_lineitems!$A$3:$A$1567,"DE",data_lineitems!$B$3:$B$1567,2022,data_lineitems!$C$3:$C$1567,"large",data_lineitems!$D$3:$D$1567,"E2",data_lineitems!$F$3:$F$1567,"1 Commodity")</f>
        <v/>
      </c>
      <c r="R61" s="77">
        <f>SUMIFS(data_lineitems!$I$3:$I$1567,data_lineitems!$A$3:$A$1567,"DE",data_lineitems!$B$3:$B$1567,2023,data_lineitems!$C$3:$C$1567,"large",data_lineitems!$D$3:$D$1567,"E2",data_lineitems!$F$3:$F$1567,"1 Commodity")</f>
        <v/>
      </c>
      <c r="S61" s="77">
        <f>SUMIFS(data_lineitems!$I$3:$I$1567,data_lineitems!$A$3:$A$1567,"DE",data_lineitems!$B$3:$B$1567,2024,data_lineitems!$C$3:$C$1567,"large",data_lineitems!$D$3:$D$1567,"E2",data_lineitems!$F$3:$F$1567,"1 Commodity")</f>
        <v/>
      </c>
      <c r="T61" s="77">
        <f>SUMIFS(data_lineitems!$I$3:$I$1567,data_lineitems!$A$3:$A$1567,"DE",data_lineitems!$B$3:$B$1567,2025,data_lineitems!$C$3:$C$1567,"large",data_lineitems!$D$3:$D$1567,"E2",data_lineitems!$F$3:$F$1567,"1 Commodity")</f>
        <v/>
      </c>
    </row>
    <row r="62" ht="15" customHeight="1" s="78">
      <c r="A62" s="77" t="inlineStr">
        <is>
          <t>DE</t>
        </is>
      </c>
      <c r="B62" s="77" t="inlineStr">
        <is>
          <t>large</t>
        </is>
      </c>
      <c r="C62" s="77" t="inlineStr">
        <is>
          <t>E2</t>
        </is>
      </c>
      <c r="D62" s="77" t="inlineStr">
        <is>
          <t>2 Gen capital recovery</t>
        </is>
      </c>
      <c r="E62" s="77">
        <f>SUMIFS(data_lineitems!$I$3:$I$1567,data_lineitems!$A$3:$A$1567,"DE",data_lineitems!$B$3:$B$1567,2010,data_lineitems!$C$3:$C$1567,"large",data_lineitems!$D$3:$D$1567,"E2",data_lineitems!$F$3:$F$1567,"2 Gen capital recovery")</f>
        <v/>
      </c>
      <c r="F62" s="77">
        <f>SUMIFS(data_lineitems!$I$3:$I$1567,data_lineitems!$A$3:$A$1567,"DE",data_lineitems!$B$3:$B$1567,2011,data_lineitems!$C$3:$C$1567,"large",data_lineitems!$D$3:$D$1567,"E2",data_lineitems!$F$3:$F$1567,"2 Gen capital recovery")</f>
        <v/>
      </c>
      <c r="G62" s="77">
        <f>SUMIFS(data_lineitems!$I$3:$I$1567,data_lineitems!$A$3:$A$1567,"DE",data_lineitems!$B$3:$B$1567,2012,data_lineitems!$C$3:$C$1567,"large",data_lineitems!$D$3:$D$1567,"E2",data_lineitems!$F$3:$F$1567,"2 Gen capital recovery")</f>
        <v/>
      </c>
      <c r="H62" s="77">
        <f>SUMIFS(data_lineitems!$I$3:$I$1567,data_lineitems!$A$3:$A$1567,"DE",data_lineitems!$B$3:$B$1567,2013,data_lineitems!$C$3:$C$1567,"large",data_lineitems!$D$3:$D$1567,"E2",data_lineitems!$F$3:$F$1567,"2 Gen capital recovery")</f>
        <v/>
      </c>
      <c r="I62" s="77">
        <f>SUMIFS(data_lineitems!$I$3:$I$1567,data_lineitems!$A$3:$A$1567,"DE",data_lineitems!$B$3:$B$1567,2014,data_lineitems!$C$3:$C$1567,"large",data_lineitems!$D$3:$D$1567,"E2",data_lineitems!$F$3:$F$1567,"2 Gen capital recovery")</f>
        <v/>
      </c>
      <c r="J62" s="77">
        <f>SUMIFS(data_lineitems!$I$3:$I$1567,data_lineitems!$A$3:$A$1567,"DE",data_lineitems!$B$3:$B$1567,2015,data_lineitems!$C$3:$C$1567,"large",data_lineitems!$D$3:$D$1567,"E2",data_lineitems!$F$3:$F$1567,"2 Gen capital recovery")</f>
        <v/>
      </c>
      <c r="K62" s="77">
        <f>SUMIFS(data_lineitems!$I$3:$I$1567,data_lineitems!$A$3:$A$1567,"DE",data_lineitems!$B$3:$B$1567,2016,data_lineitems!$C$3:$C$1567,"large",data_lineitems!$D$3:$D$1567,"E2",data_lineitems!$F$3:$F$1567,"2 Gen capital recovery")</f>
        <v/>
      </c>
      <c r="L62" s="77">
        <f>SUMIFS(data_lineitems!$I$3:$I$1567,data_lineitems!$A$3:$A$1567,"DE",data_lineitems!$B$3:$B$1567,2017,data_lineitems!$C$3:$C$1567,"large",data_lineitems!$D$3:$D$1567,"E2",data_lineitems!$F$3:$F$1567,"2 Gen capital recovery")</f>
        <v/>
      </c>
      <c r="M62" s="77">
        <f>SUMIFS(data_lineitems!$I$3:$I$1567,data_lineitems!$A$3:$A$1567,"DE",data_lineitems!$B$3:$B$1567,2018,data_lineitems!$C$3:$C$1567,"large",data_lineitems!$D$3:$D$1567,"E2",data_lineitems!$F$3:$F$1567,"2 Gen capital recovery")</f>
        <v/>
      </c>
      <c r="N62" s="77">
        <f>SUMIFS(data_lineitems!$I$3:$I$1567,data_lineitems!$A$3:$A$1567,"DE",data_lineitems!$B$3:$B$1567,2019,data_lineitems!$C$3:$C$1567,"large",data_lineitems!$D$3:$D$1567,"E2",data_lineitems!$F$3:$F$1567,"2 Gen capital recovery")</f>
        <v/>
      </c>
      <c r="O62" s="77">
        <f>SUMIFS(data_lineitems!$I$3:$I$1567,data_lineitems!$A$3:$A$1567,"DE",data_lineitems!$B$3:$B$1567,2020,data_lineitems!$C$3:$C$1567,"large",data_lineitems!$D$3:$D$1567,"E2",data_lineitems!$F$3:$F$1567,"2 Gen capital recovery")</f>
        <v/>
      </c>
      <c r="P62" s="77">
        <f>SUMIFS(data_lineitems!$I$3:$I$1567,data_lineitems!$A$3:$A$1567,"DE",data_lineitems!$B$3:$B$1567,2021,data_lineitems!$C$3:$C$1567,"large",data_lineitems!$D$3:$D$1567,"E2",data_lineitems!$F$3:$F$1567,"2 Gen capital recovery")</f>
        <v/>
      </c>
      <c r="Q62" s="77">
        <f>SUMIFS(data_lineitems!$I$3:$I$1567,data_lineitems!$A$3:$A$1567,"DE",data_lineitems!$B$3:$B$1567,2022,data_lineitems!$C$3:$C$1567,"large",data_lineitems!$D$3:$D$1567,"E2",data_lineitems!$F$3:$F$1567,"2 Gen capital recovery")</f>
        <v/>
      </c>
      <c r="R62" s="77">
        <f>SUMIFS(data_lineitems!$I$3:$I$1567,data_lineitems!$A$3:$A$1567,"DE",data_lineitems!$B$3:$B$1567,2023,data_lineitems!$C$3:$C$1567,"large",data_lineitems!$D$3:$D$1567,"E2",data_lineitems!$F$3:$F$1567,"2 Gen capital recovery")</f>
        <v/>
      </c>
      <c r="S62" s="77">
        <f>SUMIFS(data_lineitems!$I$3:$I$1567,data_lineitems!$A$3:$A$1567,"DE",data_lineitems!$B$3:$B$1567,2024,data_lineitems!$C$3:$C$1567,"large",data_lineitems!$D$3:$D$1567,"E2",data_lineitems!$F$3:$F$1567,"2 Gen capital recovery")</f>
        <v/>
      </c>
      <c r="T62" s="77">
        <f>SUMIFS(data_lineitems!$I$3:$I$1567,data_lineitems!$A$3:$A$1567,"DE",data_lineitems!$B$3:$B$1567,2025,data_lineitems!$C$3:$C$1567,"large",data_lineitems!$D$3:$D$1567,"E2",data_lineitems!$F$3:$F$1567,"2 Gen capital recovery")</f>
        <v/>
      </c>
    </row>
    <row r="63" ht="15" customHeight="1" s="78">
      <c r="A63" s="77" t="inlineStr">
        <is>
          <t>DE</t>
        </is>
      </c>
      <c r="B63" s="77" t="inlineStr">
        <is>
          <t>large</t>
        </is>
      </c>
      <c r="C63" s="77" t="inlineStr">
        <is>
          <t>E2</t>
        </is>
      </c>
      <c r="D63" s="77" t="inlineStr">
        <is>
          <t>3 Network</t>
        </is>
      </c>
      <c r="E63" s="77">
        <f>SUMIFS(data_lineitems!$I$3:$I$1567,data_lineitems!$A$3:$A$1567,"DE",data_lineitems!$B$3:$B$1567,2010,data_lineitems!$C$3:$C$1567,"large",data_lineitems!$D$3:$D$1567,"E2",data_lineitems!$F$3:$F$1567,"3 Network")</f>
        <v/>
      </c>
      <c r="F63" s="77">
        <f>SUMIFS(data_lineitems!$I$3:$I$1567,data_lineitems!$A$3:$A$1567,"DE",data_lineitems!$B$3:$B$1567,2011,data_lineitems!$C$3:$C$1567,"large",data_lineitems!$D$3:$D$1567,"E2",data_lineitems!$F$3:$F$1567,"3 Network")</f>
        <v/>
      </c>
      <c r="G63" s="77">
        <f>SUMIFS(data_lineitems!$I$3:$I$1567,data_lineitems!$A$3:$A$1567,"DE",data_lineitems!$B$3:$B$1567,2012,data_lineitems!$C$3:$C$1567,"large",data_lineitems!$D$3:$D$1567,"E2",data_lineitems!$F$3:$F$1567,"3 Network")</f>
        <v/>
      </c>
      <c r="H63" s="77">
        <f>SUMIFS(data_lineitems!$I$3:$I$1567,data_lineitems!$A$3:$A$1567,"DE",data_lineitems!$B$3:$B$1567,2013,data_lineitems!$C$3:$C$1567,"large",data_lineitems!$D$3:$D$1567,"E2",data_lineitems!$F$3:$F$1567,"3 Network")</f>
        <v/>
      </c>
      <c r="I63" s="77">
        <f>SUMIFS(data_lineitems!$I$3:$I$1567,data_lineitems!$A$3:$A$1567,"DE",data_lineitems!$B$3:$B$1567,2014,data_lineitems!$C$3:$C$1567,"large",data_lineitems!$D$3:$D$1567,"E2",data_lineitems!$F$3:$F$1567,"3 Network")</f>
        <v/>
      </c>
      <c r="J63" s="77">
        <f>SUMIFS(data_lineitems!$I$3:$I$1567,data_lineitems!$A$3:$A$1567,"DE",data_lineitems!$B$3:$B$1567,2015,data_lineitems!$C$3:$C$1567,"large",data_lineitems!$D$3:$D$1567,"E2",data_lineitems!$F$3:$F$1567,"3 Network")</f>
        <v/>
      </c>
      <c r="K63" s="77">
        <f>SUMIFS(data_lineitems!$I$3:$I$1567,data_lineitems!$A$3:$A$1567,"DE",data_lineitems!$B$3:$B$1567,2016,data_lineitems!$C$3:$C$1567,"large",data_lineitems!$D$3:$D$1567,"E2",data_lineitems!$F$3:$F$1567,"3 Network")</f>
        <v/>
      </c>
      <c r="L63" s="77">
        <f>SUMIFS(data_lineitems!$I$3:$I$1567,data_lineitems!$A$3:$A$1567,"DE",data_lineitems!$B$3:$B$1567,2017,data_lineitems!$C$3:$C$1567,"large",data_lineitems!$D$3:$D$1567,"E2",data_lineitems!$F$3:$F$1567,"3 Network")</f>
        <v/>
      </c>
      <c r="M63" s="77">
        <f>SUMIFS(data_lineitems!$I$3:$I$1567,data_lineitems!$A$3:$A$1567,"DE",data_lineitems!$B$3:$B$1567,2018,data_lineitems!$C$3:$C$1567,"large",data_lineitems!$D$3:$D$1567,"E2",data_lineitems!$F$3:$F$1567,"3 Network")</f>
        <v/>
      </c>
      <c r="N63" s="77">
        <f>SUMIFS(data_lineitems!$I$3:$I$1567,data_lineitems!$A$3:$A$1567,"DE",data_lineitems!$B$3:$B$1567,2019,data_lineitems!$C$3:$C$1567,"large",data_lineitems!$D$3:$D$1567,"E2",data_lineitems!$F$3:$F$1567,"3 Network")</f>
        <v/>
      </c>
      <c r="O63" s="77">
        <f>SUMIFS(data_lineitems!$I$3:$I$1567,data_lineitems!$A$3:$A$1567,"DE",data_lineitems!$B$3:$B$1567,2020,data_lineitems!$C$3:$C$1567,"large",data_lineitems!$D$3:$D$1567,"E2",data_lineitems!$F$3:$F$1567,"3 Network")</f>
        <v/>
      </c>
      <c r="P63" s="77">
        <f>SUMIFS(data_lineitems!$I$3:$I$1567,data_lineitems!$A$3:$A$1567,"DE",data_lineitems!$B$3:$B$1567,2021,data_lineitems!$C$3:$C$1567,"large",data_lineitems!$D$3:$D$1567,"E2",data_lineitems!$F$3:$F$1567,"3 Network")</f>
        <v/>
      </c>
      <c r="Q63" s="77">
        <f>SUMIFS(data_lineitems!$I$3:$I$1567,data_lineitems!$A$3:$A$1567,"DE",data_lineitems!$B$3:$B$1567,2022,data_lineitems!$C$3:$C$1567,"large",data_lineitems!$D$3:$D$1567,"E2",data_lineitems!$F$3:$F$1567,"3 Network")</f>
        <v/>
      </c>
      <c r="R63" s="77">
        <f>SUMIFS(data_lineitems!$I$3:$I$1567,data_lineitems!$A$3:$A$1567,"DE",data_lineitems!$B$3:$B$1567,2023,data_lineitems!$C$3:$C$1567,"large",data_lineitems!$D$3:$D$1567,"E2",data_lineitems!$F$3:$F$1567,"3 Network")</f>
        <v/>
      </c>
      <c r="S63" s="77">
        <f>SUMIFS(data_lineitems!$I$3:$I$1567,data_lineitems!$A$3:$A$1567,"DE",data_lineitems!$B$3:$B$1567,2024,data_lineitems!$C$3:$C$1567,"large",data_lineitems!$D$3:$D$1567,"E2",data_lineitems!$F$3:$F$1567,"3 Network")</f>
        <v/>
      </c>
      <c r="T63" s="77">
        <f>SUMIFS(data_lineitems!$I$3:$I$1567,data_lineitems!$A$3:$A$1567,"DE",data_lineitems!$B$3:$B$1567,2025,data_lineitems!$C$3:$C$1567,"large",data_lineitems!$D$3:$D$1567,"E2",data_lineitems!$F$3:$F$1567,"3 Network")</f>
        <v/>
      </c>
    </row>
    <row r="64" ht="15" customHeight="1" s="78">
      <c r="A64" s="77" t="inlineStr">
        <is>
          <t>DE</t>
        </is>
      </c>
      <c r="B64" s="77" t="inlineStr">
        <is>
          <t>large</t>
        </is>
      </c>
      <c r="C64" s="77" t="inlineStr">
        <is>
          <t>E2</t>
        </is>
      </c>
      <c r="D64" s="77" t="inlineStr">
        <is>
          <t>4 System services &amp; balancing</t>
        </is>
      </c>
      <c r="E64" s="77">
        <f>SUMIFS(data_lineitems!$I$3:$I$1567,data_lineitems!$A$3:$A$1567,"DE",data_lineitems!$B$3:$B$1567,2010,data_lineitems!$C$3:$C$1567,"large",data_lineitems!$D$3:$D$1567,"E2",data_lineitems!$F$3:$F$1567,"4 System services &amp; balancing")</f>
        <v/>
      </c>
      <c r="F64" s="77">
        <f>SUMIFS(data_lineitems!$I$3:$I$1567,data_lineitems!$A$3:$A$1567,"DE",data_lineitems!$B$3:$B$1567,2011,data_lineitems!$C$3:$C$1567,"large",data_lineitems!$D$3:$D$1567,"E2",data_lineitems!$F$3:$F$1567,"4 System services &amp; balancing")</f>
        <v/>
      </c>
      <c r="G64" s="77">
        <f>SUMIFS(data_lineitems!$I$3:$I$1567,data_lineitems!$A$3:$A$1567,"DE",data_lineitems!$B$3:$B$1567,2012,data_lineitems!$C$3:$C$1567,"large",data_lineitems!$D$3:$D$1567,"E2",data_lineitems!$F$3:$F$1567,"4 System services &amp; balancing")</f>
        <v/>
      </c>
      <c r="H64" s="77">
        <f>SUMIFS(data_lineitems!$I$3:$I$1567,data_lineitems!$A$3:$A$1567,"DE",data_lineitems!$B$3:$B$1567,2013,data_lineitems!$C$3:$C$1567,"large",data_lineitems!$D$3:$D$1567,"E2",data_lineitems!$F$3:$F$1567,"4 System services &amp; balancing")</f>
        <v/>
      </c>
      <c r="I64" s="77">
        <f>SUMIFS(data_lineitems!$I$3:$I$1567,data_lineitems!$A$3:$A$1567,"DE",data_lineitems!$B$3:$B$1567,2014,data_lineitems!$C$3:$C$1567,"large",data_lineitems!$D$3:$D$1567,"E2",data_lineitems!$F$3:$F$1567,"4 System services &amp; balancing")</f>
        <v/>
      </c>
      <c r="J64" s="77">
        <f>SUMIFS(data_lineitems!$I$3:$I$1567,data_lineitems!$A$3:$A$1567,"DE",data_lineitems!$B$3:$B$1567,2015,data_lineitems!$C$3:$C$1567,"large",data_lineitems!$D$3:$D$1567,"E2",data_lineitems!$F$3:$F$1567,"4 System services &amp; balancing")</f>
        <v/>
      </c>
      <c r="K64" s="77">
        <f>SUMIFS(data_lineitems!$I$3:$I$1567,data_lineitems!$A$3:$A$1567,"DE",data_lineitems!$B$3:$B$1567,2016,data_lineitems!$C$3:$C$1567,"large",data_lineitems!$D$3:$D$1567,"E2",data_lineitems!$F$3:$F$1567,"4 System services &amp; balancing")</f>
        <v/>
      </c>
      <c r="L64" s="77">
        <f>SUMIFS(data_lineitems!$I$3:$I$1567,data_lineitems!$A$3:$A$1567,"DE",data_lineitems!$B$3:$B$1567,2017,data_lineitems!$C$3:$C$1567,"large",data_lineitems!$D$3:$D$1567,"E2",data_lineitems!$F$3:$F$1567,"4 System services &amp; balancing")</f>
        <v/>
      </c>
      <c r="M64" s="77">
        <f>SUMIFS(data_lineitems!$I$3:$I$1567,data_lineitems!$A$3:$A$1567,"DE",data_lineitems!$B$3:$B$1567,2018,data_lineitems!$C$3:$C$1567,"large",data_lineitems!$D$3:$D$1567,"E2",data_lineitems!$F$3:$F$1567,"4 System services &amp; balancing")</f>
        <v/>
      </c>
      <c r="N64" s="77">
        <f>SUMIFS(data_lineitems!$I$3:$I$1567,data_lineitems!$A$3:$A$1567,"DE",data_lineitems!$B$3:$B$1567,2019,data_lineitems!$C$3:$C$1567,"large",data_lineitems!$D$3:$D$1567,"E2",data_lineitems!$F$3:$F$1567,"4 System services &amp; balancing")</f>
        <v/>
      </c>
      <c r="O64" s="77">
        <f>SUMIFS(data_lineitems!$I$3:$I$1567,data_lineitems!$A$3:$A$1567,"DE",data_lineitems!$B$3:$B$1567,2020,data_lineitems!$C$3:$C$1567,"large",data_lineitems!$D$3:$D$1567,"E2",data_lineitems!$F$3:$F$1567,"4 System services &amp; balancing")</f>
        <v/>
      </c>
      <c r="P64" s="77">
        <f>SUMIFS(data_lineitems!$I$3:$I$1567,data_lineitems!$A$3:$A$1567,"DE",data_lineitems!$B$3:$B$1567,2021,data_lineitems!$C$3:$C$1567,"large",data_lineitems!$D$3:$D$1567,"E2",data_lineitems!$F$3:$F$1567,"4 System services &amp; balancing")</f>
        <v/>
      </c>
      <c r="Q64" s="77">
        <f>SUMIFS(data_lineitems!$I$3:$I$1567,data_lineitems!$A$3:$A$1567,"DE",data_lineitems!$B$3:$B$1567,2022,data_lineitems!$C$3:$C$1567,"large",data_lineitems!$D$3:$D$1567,"E2",data_lineitems!$F$3:$F$1567,"4 System services &amp; balancing")</f>
        <v/>
      </c>
      <c r="R64" s="77">
        <f>SUMIFS(data_lineitems!$I$3:$I$1567,data_lineitems!$A$3:$A$1567,"DE",data_lineitems!$B$3:$B$1567,2023,data_lineitems!$C$3:$C$1567,"large",data_lineitems!$D$3:$D$1567,"E2",data_lineitems!$F$3:$F$1567,"4 System services &amp; balancing")</f>
        <v/>
      </c>
      <c r="S64" s="77">
        <f>SUMIFS(data_lineitems!$I$3:$I$1567,data_lineitems!$A$3:$A$1567,"DE",data_lineitems!$B$3:$B$1567,2024,data_lineitems!$C$3:$C$1567,"large",data_lineitems!$D$3:$D$1567,"E2",data_lineitems!$F$3:$F$1567,"4 System services &amp; balancing")</f>
        <v/>
      </c>
      <c r="T64" s="77">
        <f>SUMIFS(data_lineitems!$I$3:$I$1567,data_lineitems!$A$3:$A$1567,"DE",data_lineitems!$B$3:$B$1567,2025,data_lineitems!$C$3:$C$1567,"large",data_lineitems!$D$3:$D$1567,"E2",data_lineitems!$F$3:$F$1567,"4 System services &amp; balancing")</f>
        <v/>
      </c>
    </row>
    <row r="65" ht="15" customHeight="1" s="78">
      <c r="A65" s="77" t="inlineStr">
        <is>
          <t>DE</t>
        </is>
      </c>
      <c r="B65" s="77" t="inlineStr">
        <is>
          <t>large</t>
        </is>
      </c>
      <c r="C65" s="77" t="inlineStr">
        <is>
          <t>E2</t>
        </is>
      </c>
      <c r="D65" s="77" t="inlineStr">
        <is>
          <t>5 General taxation &amp; levies</t>
        </is>
      </c>
      <c r="E65" s="77">
        <f>SUMIFS(data_lineitems!$I$3:$I$1567,data_lineitems!$A$3:$A$1567,"DE",data_lineitems!$B$3:$B$1567,2010,data_lineitems!$C$3:$C$1567,"large",data_lineitems!$D$3:$D$1567,"E2",data_lineitems!$F$3:$F$1567,"5 General taxation &amp; levies")</f>
        <v/>
      </c>
      <c r="F65" s="77">
        <f>SUMIFS(data_lineitems!$I$3:$I$1567,data_lineitems!$A$3:$A$1567,"DE",data_lineitems!$B$3:$B$1567,2011,data_lineitems!$C$3:$C$1567,"large",data_lineitems!$D$3:$D$1567,"E2",data_lineitems!$F$3:$F$1567,"5 General taxation &amp; levies")</f>
        <v/>
      </c>
      <c r="G65" s="77">
        <f>SUMIFS(data_lineitems!$I$3:$I$1567,data_lineitems!$A$3:$A$1567,"DE",data_lineitems!$B$3:$B$1567,2012,data_lineitems!$C$3:$C$1567,"large",data_lineitems!$D$3:$D$1567,"E2",data_lineitems!$F$3:$F$1567,"5 General taxation &amp; levies")</f>
        <v/>
      </c>
      <c r="H65" s="77">
        <f>SUMIFS(data_lineitems!$I$3:$I$1567,data_lineitems!$A$3:$A$1567,"DE",data_lineitems!$B$3:$B$1567,2013,data_lineitems!$C$3:$C$1567,"large",data_lineitems!$D$3:$D$1567,"E2",data_lineitems!$F$3:$F$1567,"5 General taxation &amp; levies")</f>
        <v/>
      </c>
      <c r="I65" s="77">
        <f>SUMIFS(data_lineitems!$I$3:$I$1567,data_lineitems!$A$3:$A$1567,"DE",data_lineitems!$B$3:$B$1567,2014,data_lineitems!$C$3:$C$1567,"large",data_lineitems!$D$3:$D$1567,"E2",data_lineitems!$F$3:$F$1567,"5 General taxation &amp; levies")</f>
        <v/>
      </c>
      <c r="J65" s="77">
        <f>SUMIFS(data_lineitems!$I$3:$I$1567,data_lineitems!$A$3:$A$1567,"DE",data_lineitems!$B$3:$B$1567,2015,data_lineitems!$C$3:$C$1567,"large",data_lineitems!$D$3:$D$1567,"E2",data_lineitems!$F$3:$F$1567,"5 General taxation &amp; levies")</f>
        <v/>
      </c>
      <c r="K65" s="77">
        <f>SUMIFS(data_lineitems!$I$3:$I$1567,data_lineitems!$A$3:$A$1567,"DE",data_lineitems!$B$3:$B$1567,2016,data_lineitems!$C$3:$C$1567,"large",data_lineitems!$D$3:$D$1567,"E2",data_lineitems!$F$3:$F$1567,"5 General taxation &amp; levies")</f>
        <v/>
      </c>
      <c r="L65" s="77">
        <f>SUMIFS(data_lineitems!$I$3:$I$1567,data_lineitems!$A$3:$A$1567,"DE",data_lineitems!$B$3:$B$1567,2017,data_lineitems!$C$3:$C$1567,"large",data_lineitems!$D$3:$D$1567,"E2",data_lineitems!$F$3:$F$1567,"5 General taxation &amp; levies")</f>
        <v/>
      </c>
      <c r="M65" s="77">
        <f>SUMIFS(data_lineitems!$I$3:$I$1567,data_lineitems!$A$3:$A$1567,"DE",data_lineitems!$B$3:$B$1567,2018,data_lineitems!$C$3:$C$1567,"large",data_lineitems!$D$3:$D$1567,"E2",data_lineitems!$F$3:$F$1567,"5 General taxation &amp; levies")</f>
        <v/>
      </c>
      <c r="N65" s="77">
        <f>SUMIFS(data_lineitems!$I$3:$I$1567,data_lineitems!$A$3:$A$1567,"DE",data_lineitems!$B$3:$B$1567,2019,data_lineitems!$C$3:$C$1567,"large",data_lineitems!$D$3:$D$1567,"E2",data_lineitems!$F$3:$F$1567,"5 General taxation &amp; levies")</f>
        <v/>
      </c>
      <c r="O65" s="77">
        <f>SUMIFS(data_lineitems!$I$3:$I$1567,data_lineitems!$A$3:$A$1567,"DE",data_lineitems!$B$3:$B$1567,2020,data_lineitems!$C$3:$C$1567,"large",data_lineitems!$D$3:$D$1567,"E2",data_lineitems!$F$3:$F$1567,"5 General taxation &amp; levies")</f>
        <v/>
      </c>
      <c r="P65" s="77">
        <f>SUMIFS(data_lineitems!$I$3:$I$1567,data_lineitems!$A$3:$A$1567,"DE",data_lineitems!$B$3:$B$1567,2021,data_lineitems!$C$3:$C$1567,"large",data_lineitems!$D$3:$D$1567,"E2",data_lineitems!$F$3:$F$1567,"5 General taxation &amp; levies")</f>
        <v/>
      </c>
      <c r="Q65" s="77">
        <f>SUMIFS(data_lineitems!$I$3:$I$1567,data_lineitems!$A$3:$A$1567,"DE",data_lineitems!$B$3:$B$1567,2022,data_lineitems!$C$3:$C$1567,"large",data_lineitems!$D$3:$D$1567,"E2",data_lineitems!$F$3:$F$1567,"5 General taxation &amp; levies")</f>
        <v/>
      </c>
      <c r="R65" s="77">
        <f>SUMIFS(data_lineitems!$I$3:$I$1567,data_lineitems!$A$3:$A$1567,"DE",data_lineitems!$B$3:$B$1567,2023,data_lineitems!$C$3:$C$1567,"large",data_lineitems!$D$3:$D$1567,"E2",data_lineitems!$F$3:$F$1567,"5 General taxation &amp; levies")</f>
        <v/>
      </c>
      <c r="S65" s="77">
        <f>SUMIFS(data_lineitems!$I$3:$I$1567,data_lineitems!$A$3:$A$1567,"DE",data_lineitems!$B$3:$B$1567,2024,data_lineitems!$C$3:$C$1567,"large",data_lineitems!$D$3:$D$1567,"E2",data_lineitems!$F$3:$F$1567,"5 General taxation &amp; levies")</f>
        <v/>
      </c>
      <c r="T65" s="77">
        <f>SUMIFS(data_lineitems!$I$3:$I$1567,data_lineitems!$A$3:$A$1567,"DE",data_lineitems!$B$3:$B$1567,2025,data_lineitems!$C$3:$C$1567,"large",data_lineitems!$D$3:$D$1567,"E2",data_lineitems!$F$3:$F$1567,"5 General taxation &amp; levies")</f>
        <v/>
      </c>
    </row>
    <row r="66" ht="15" customHeight="1" s="78">
      <c r="A66" s="77" t="inlineStr">
        <is>
          <t>DE</t>
        </is>
      </c>
      <c r="B66" s="77" t="inlineStr">
        <is>
          <t>large</t>
        </is>
      </c>
      <c r="C66" s="77" t="inlineStr">
        <is>
          <t>E2</t>
        </is>
      </c>
      <c r="D66" s="77" t="inlineStr">
        <is>
          <t>TOTAL modelled (sum buckets)</t>
        </is>
      </c>
      <c r="E66" s="77">
        <f>SUM(E61:E65)</f>
        <v/>
      </c>
      <c r="F66" s="77">
        <f>SUM(F61:F65)</f>
        <v/>
      </c>
      <c r="G66" s="77">
        <f>SUM(G61:G65)</f>
        <v/>
      </c>
      <c r="H66" s="77">
        <f>SUM(H61:H65)</f>
        <v/>
      </c>
      <c r="I66" s="77">
        <f>SUM(I61:I65)</f>
        <v/>
      </c>
      <c r="J66" s="77">
        <f>SUM(J61:J65)</f>
        <v/>
      </c>
      <c r="K66" s="77">
        <f>SUM(K61:K65)</f>
        <v/>
      </c>
      <c r="L66" s="77">
        <f>SUM(L61:L65)</f>
        <v/>
      </c>
      <c r="M66" s="77">
        <f>SUM(M61:M65)</f>
        <v/>
      </c>
      <c r="N66" s="77">
        <f>SUM(N61:N65)</f>
        <v/>
      </c>
      <c r="O66" s="77">
        <f>SUM(O61:O65)</f>
        <v/>
      </c>
      <c r="P66" s="77">
        <f>SUM(P61:P65)</f>
        <v/>
      </c>
      <c r="Q66" s="77">
        <f>SUM(Q61:Q65)</f>
        <v/>
      </c>
      <c r="R66" s="77">
        <f>SUM(R61:R65)</f>
        <v/>
      </c>
      <c r="S66" s="77">
        <f>SUM(S61:S65)</f>
        <v/>
      </c>
      <c r="T66" s="77">
        <f>SUM(T61:T65)</f>
        <v/>
      </c>
    </row>
    <row r="67" ht="15" customHeight="1" s="78">
      <c r="A67" s="77" t="inlineStr">
        <is>
          <t>DE</t>
        </is>
      </c>
      <c r="B67" s="77" t="inlineStr">
        <is>
          <t>large</t>
        </is>
      </c>
      <c r="C67" s="77" t="inlineStr">
        <is>
          <t>E2</t>
        </is>
      </c>
      <c r="D67" s="77" t="inlineStr">
        <is>
          <t>REFERENCE — timeseries USD r81</t>
        </is>
      </c>
      <c r="E67" s="77">
        <f>IF(ISNUMBER(timeseries!D81),timeseries!D81,"")</f>
        <v/>
      </c>
      <c r="F67" s="136">
        <f>IF(ISNUMBER(timeseries!E81),timeseries!E81,"")</f>
        <v/>
      </c>
      <c r="G67" s="136">
        <f>IF(ISNUMBER(timeseries!F81),timeseries!F81,"")</f>
        <v/>
      </c>
      <c r="H67" s="136">
        <f>IF(ISNUMBER(timeseries!G81),timeseries!G81,"")</f>
        <v/>
      </c>
      <c r="I67" s="136">
        <f>IF(ISNUMBER(timeseries!H81),timeseries!H81,"")</f>
        <v/>
      </c>
      <c r="J67" s="136">
        <f>IF(ISNUMBER(timeseries!I81),timeseries!I81,"")</f>
        <v/>
      </c>
      <c r="K67" s="136">
        <f>IF(ISNUMBER(timeseries!J81),timeseries!J81,"")</f>
        <v/>
      </c>
      <c r="L67" s="136">
        <f>IF(ISNUMBER(timeseries!K81),timeseries!K81,"")</f>
        <v/>
      </c>
      <c r="M67" s="136">
        <f>IF(ISNUMBER(timeseries!L81),timeseries!L81,"")</f>
        <v/>
      </c>
      <c r="N67" s="136">
        <f>IF(ISNUMBER(timeseries!M81),timeseries!M81,"")</f>
        <v/>
      </c>
      <c r="O67" s="136">
        <f>IF(ISNUMBER(timeseries!N81),timeseries!N81,"")</f>
        <v/>
      </c>
      <c r="P67" s="136">
        <f>IF(ISNUMBER(timeseries!O81),timeseries!O81,"")</f>
        <v/>
      </c>
      <c r="Q67" s="136">
        <f>IF(ISNUMBER(timeseries!P81),timeseries!P81,"")</f>
        <v/>
      </c>
      <c r="R67" s="136">
        <f>IF(ISNUMBER(timeseries!Q81),timeseries!Q81,"")</f>
        <v/>
      </c>
      <c r="S67" s="136">
        <f>IF(ISNUMBER(timeseries!R81),timeseries!R81,"")</f>
        <v/>
      </c>
      <c r="T67" s="136">
        <f>IF(ISNUMBER(timeseries!S81),timeseries!S81,"")</f>
        <v/>
      </c>
    </row>
    <row r="68" ht="15" customHeight="1" s="78">
      <c r="A68" s="77" t="inlineStr">
        <is>
          <t>DE</t>
        </is>
      </c>
      <c r="B68" s="77" t="inlineStr">
        <is>
          <t>large</t>
        </is>
      </c>
      <c r="C68" s="77" t="inlineStr">
        <is>
          <t>E2</t>
        </is>
      </c>
      <c r="D68" s="77" t="inlineStr">
        <is>
          <t>RECONCILIATION (total/ref - 1)</t>
        </is>
      </c>
      <c r="E68" s="77">
        <f>IF(AND(ISNUMBER(E67),E67&lt;&gt;0,ISNUMBER(E66)),E66/E67-1,"n/a")</f>
        <v/>
      </c>
      <c r="F68" s="77">
        <f>IF(AND(ISNUMBER(F67),F67&lt;&gt;0,ISNUMBER(F66)),F66/F67-1,"n/a")</f>
        <v/>
      </c>
      <c r="G68" s="77">
        <f>IF(AND(ISNUMBER(G67),G67&lt;&gt;0,ISNUMBER(G66)),G66/G67-1,"n/a")</f>
        <v/>
      </c>
      <c r="H68" s="77">
        <f>IF(AND(ISNUMBER(H67),H67&lt;&gt;0,ISNUMBER(H66)),H66/H67-1,"n/a")</f>
        <v/>
      </c>
      <c r="I68" s="77">
        <f>IF(AND(ISNUMBER(I67),I67&lt;&gt;0,ISNUMBER(I66)),I66/I67-1,"n/a")</f>
        <v/>
      </c>
      <c r="J68" s="77">
        <f>IF(AND(ISNUMBER(J67),J67&lt;&gt;0,ISNUMBER(J66)),J66/J67-1,"n/a")</f>
        <v/>
      </c>
      <c r="K68" s="77">
        <f>IF(AND(ISNUMBER(K67),K67&lt;&gt;0,ISNUMBER(K66)),K66/K67-1,"n/a")</f>
        <v/>
      </c>
      <c r="L68" s="77">
        <f>IF(AND(ISNUMBER(L67),L67&lt;&gt;0,ISNUMBER(L66)),L66/L67-1,"n/a")</f>
        <v/>
      </c>
      <c r="M68" s="77">
        <f>IF(AND(ISNUMBER(M67),M67&lt;&gt;0,ISNUMBER(M66)),M66/M67-1,"n/a")</f>
        <v/>
      </c>
      <c r="N68" s="77">
        <f>IF(AND(ISNUMBER(N67),N67&lt;&gt;0,ISNUMBER(N66)),N66/N67-1,"n/a")</f>
        <v/>
      </c>
      <c r="O68" s="77">
        <f>IF(AND(ISNUMBER(O67),O67&lt;&gt;0,ISNUMBER(O66)),O66/O67-1,"n/a")</f>
        <v/>
      </c>
      <c r="P68" s="77">
        <f>IF(AND(ISNUMBER(P67),P67&lt;&gt;0,ISNUMBER(P66)),P66/P67-1,"n/a")</f>
        <v/>
      </c>
      <c r="Q68" s="77">
        <f>IF(AND(ISNUMBER(Q67),Q67&lt;&gt;0,ISNUMBER(Q66)),Q66/Q67-1,"n/a")</f>
        <v/>
      </c>
      <c r="R68" s="77">
        <f>IF(AND(ISNUMBER(R67),R67&lt;&gt;0,ISNUMBER(R66)),R66/R67-1,"n/a")</f>
        <v/>
      </c>
      <c r="S68" s="77">
        <f>IF(AND(ISNUMBER(S67),S67&lt;&gt;0,ISNUMBER(S66)),S66/S67-1,"n/a")</f>
        <v/>
      </c>
      <c r="T68" s="77">
        <f>IF(AND(ISNUMBER(T67),T67&lt;&gt;0,ISNUMBER(T66)),T66/T67-1,"n/a")</f>
        <v/>
      </c>
    </row>
    <row r="69" ht="15" customHeight="1" s="78">
      <c r="A69" s="77" t="inlineStr">
        <is>
          <t>DE</t>
        </is>
      </c>
      <c r="B69" s="77" t="inlineStr">
        <is>
          <t>large</t>
        </is>
      </c>
      <c r="C69" s="77" t="inlineStr">
        <is>
          <t>E2</t>
        </is>
      </c>
      <c r="D69" s="77" t="inlineStr">
        <is>
          <t>GATE +/-2 pct</t>
        </is>
      </c>
      <c r="E69" s="77">
        <f>IF(ISNUMBER(E68),IF(ABS(E68)&lt;=0.02,"PASS","FAIL"),"n/a")</f>
        <v/>
      </c>
      <c r="F69" s="77">
        <f>IF(ISNUMBER(F68),IF(ABS(F68)&lt;=0.02,"PASS","FAIL"),"n/a")</f>
        <v/>
      </c>
      <c r="G69" s="77">
        <f>IF(ISNUMBER(G68),IF(ABS(G68)&lt;=0.02,"PASS","FAIL"),"n/a")</f>
        <v/>
      </c>
      <c r="H69" s="77">
        <f>IF(ISNUMBER(H68),IF(ABS(H68)&lt;=0.02,"PASS","FAIL"),"n/a")</f>
        <v/>
      </c>
      <c r="I69" s="77">
        <f>IF(ISNUMBER(I68),IF(ABS(I68)&lt;=0.02,"PASS","FAIL"),"n/a")</f>
        <v/>
      </c>
      <c r="J69" s="77">
        <f>IF(ISNUMBER(J68),IF(ABS(J68)&lt;=0.02,"PASS","FAIL"),"n/a")</f>
        <v/>
      </c>
      <c r="K69" s="77">
        <f>IF(ISNUMBER(K68),IF(ABS(K68)&lt;=0.02,"PASS","FAIL"),"n/a")</f>
        <v/>
      </c>
      <c r="L69" s="77">
        <f>IF(ISNUMBER(L68),IF(ABS(L68)&lt;=0.02,"PASS","FAIL"),"n/a")</f>
        <v/>
      </c>
      <c r="M69" s="77">
        <f>IF(ISNUMBER(M68),IF(ABS(M68)&lt;=0.02,"PASS","FAIL"),"n/a")</f>
        <v/>
      </c>
      <c r="N69" s="77">
        <f>IF(ISNUMBER(N68),IF(ABS(N68)&lt;=0.02,"PASS","FAIL"),"n/a")</f>
        <v/>
      </c>
      <c r="O69" s="77">
        <f>IF(ISNUMBER(O68),IF(ABS(O68)&lt;=0.02,"PASS","FAIL"),"n/a")</f>
        <v/>
      </c>
      <c r="P69" s="77">
        <f>IF(ISNUMBER(P68),IF(ABS(P68)&lt;=0.02,"PASS","FAIL"),"n/a")</f>
        <v/>
      </c>
      <c r="Q69" s="77">
        <f>IF(ISNUMBER(Q68),IF(ABS(Q68)&lt;=0.02,"PASS","FAIL"),"n/a")</f>
        <v/>
      </c>
      <c r="R69" s="77">
        <f>IF(ISNUMBER(R68),IF(ABS(R68)&lt;=0.02,"PASS","FAIL"),"n/a")</f>
        <v/>
      </c>
      <c r="S69" s="77">
        <f>IF(ISNUMBER(S68),IF(ABS(S68)&lt;=0.02,"PASS","FAIL"),"n/a")</f>
        <v/>
      </c>
      <c r="T69" s="77">
        <f>IF(ISNUMBER(T68),IF(ABS(T68)&lt;=0.02,"PASS","FAIL"),"n/a")</f>
        <v/>
      </c>
    </row>
    <row r="71" ht="15" customHeight="1" s="78">
      <c r="A71" s="77" t="inlineStr">
        <is>
          <t>DE</t>
        </is>
      </c>
      <c r="B71" s="77" t="inlineStr">
        <is>
          <t>medium</t>
        </is>
      </c>
      <c r="C71" s="77" t="inlineStr">
        <is>
          <t>E1</t>
        </is>
      </c>
      <c r="D71" s="77" t="inlineStr">
        <is>
          <t>leg header</t>
        </is>
      </c>
    </row>
    <row r="72" ht="15" customHeight="1" s="78">
      <c r="A72" s="77" t="inlineStr">
        <is>
          <t>DE</t>
        </is>
      </c>
      <c r="B72" s="77" t="inlineStr">
        <is>
          <t>medium</t>
        </is>
      </c>
      <c r="C72" s="77" t="inlineStr">
        <is>
          <t>E1</t>
        </is>
      </c>
      <c r="D72" s="77" t="inlineStr">
        <is>
          <t>1 Commodity</t>
        </is>
      </c>
      <c r="E72" s="77">
        <f>SUMIFS(data_lineitems!$I$3:$I$1567,data_lineitems!$A$3:$A$1567,"DE",data_lineitems!$B$3:$B$1567,2010,data_lineitems!$C$3:$C$1567,"medium",data_lineitems!$D$3:$D$1567,"E1",data_lineitems!$F$3:$F$1567,"1 Commodity")</f>
        <v/>
      </c>
      <c r="F72" s="77">
        <f>SUMIFS(data_lineitems!$I$3:$I$1567,data_lineitems!$A$3:$A$1567,"DE",data_lineitems!$B$3:$B$1567,2011,data_lineitems!$C$3:$C$1567,"medium",data_lineitems!$D$3:$D$1567,"E1",data_lineitems!$F$3:$F$1567,"1 Commodity")</f>
        <v/>
      </c>
      <c r="G72" s="77">
        <f>SUMIFS(data_lineitems!$I$3:$I$1567,data_lineitems!$A$3:$A$1567,"DE",data_lineitems!$B$3:$B$1567,2012,data_lineitems!$C$3:$C$1567,"medium",data_lineitems!$D$3:$D$1567,"E1",data_lineitems!$F$3:$F$1567,"1 Commodity")</f>
        <v/>
      </c>
      <c r="H72" s="77">
        <f>SUMIFS(data_lineitems!$I$3:$I$1567,data_lineitems!$A$3:$A$1567,"DE",data_lineitems!$B$3:$B$1567,2013,data_lineitems!$C$3:$C$1567,"medium",data_lineitems!$D$3:$D$1567,"E1",data_lineitems!$F$3:$F$1567,"1 Commodity")</f>
        <v/>
      </c>
      <c r="I72" s="77">
        <f>SUMIFS(data_lineitems!$I$3:$I$1567,data_lineitems!$A$3:$A$1567,"DE",data_lineitems!$B$3:$B$1567,2014,data_lineitems!$C$3:$C$1567,"medium",data_lineitems!$D$3:$D$1567,"E1",data_lineitems!$F$3:$F$1567,"1 Commodity")</f>
        <v/>
      </c>
      <c r="J72" s="77">
        <f>SUMIFS(data_lineitems!$I$3:$I$1567,data_lineitems!$A$3:$A$1567,"DE",data_lineitems!$B$3:$B$1567,2015,data_lineitems!$C$3:$C$1567,"medium",data_lineitems!$D$3:$D$1567,"E1",data_lineitems!$F$3:$F$1567,"1 Commodity")</f>
        <v/>
      </c>
      <c r="K72" s="77">
        <f>SUMIFS(data_lineitems!$I$3:$I$1567,data_lineitems!$A$3:$A$1567,"DE",data_lineitems!$B$3:$B$1567,2016,data_lineitems!$C$3:$C$1567,"medium",data_lineitems!$D$3:$D$1567,"E1",data_lineitems!$F$3:$F$1567,"1 Commodity")</f>
        <v/>
      </c>
      <c r="L72" s="77">
        <f>SUMIFS(data_lineitems!$I$3:$I$1567,data_lineitems!$A$3:$A$1567,"DE",data_lineitems!$B$3:$B$1567,2017,data_lineitems!$C$3:$C$1567,"medium",data_lineitems!$D$3:$D$1567,"E1",data_lineitems!$F$3:$F$1567,"1 Commodity")</f>
        <v/>
      </c>
      <c r="M72" s="77">
        <f>SUMIFS(data_lineitems!$I$3:$I$1567,data_lineitems!$A$3:$A$1567,"DE",data_lineitems!$B$3:$B$1567,2018,data_lineitems!$C$3:$C$1567,"medium",data_lineitems!$D$3:$D$1567,"E1",data_lineitems!$F$3:$F$1567,"1 Commodity")</f>
        <v/>
      </c>
      <c r="N72" s="77">
        <f>SUMIFS(data_lineitems!$I$3:$I$1567,data_lineitems!$A$3:$A$1567,"DE",data_lineitems!$B$3:$B$1567,2019,data_lineitems!$C$3:$C$1567,"medium",data_lineitems!$D$3:$D$1567,"E1",data_lineitems!$F$3:$F$1567,"1 Commodity")</f>
        <v/>
      </c>
      <c r="O72" s="77">
        <f>SUMIFS(data_lineitems!$I$3:$I$1567,data_lineitems!$A$3:$A$1567,"DE",data_lineitems!$B$3:$B$1567,2020,data_lineitems!$C$3:$C$1567,"medium",data_lineitems!$D$3:$D$1567,"E1",data_lineitems!$F$3:$F$1567,"1 Commodity")</f>
        <v/>
      </c>
      <c r="P72" s="77">
        <f>SUMIFS(data_lineitems!$I$3:$I$1567,data_lineitems!$A$3:$A$1567,"DE",data_lineitems!$B$3:$B$1567,2021,data_lineitems!$C$3:$C$1567,"medium",data_lineitems!$D$3:$D$1567,"E1",data_lineitems!$F$3:$F$1567,"1 Commodity")</f>
        <v/>
      </c>
      <c r="Q72" s="77">
        <f>SUMIFS(data_lineitems!$I$3:$I$1567,data_lineitems!$A$3:$A$1567,"DE",data_lineitems!$B$3:$B$1567,2022,data_lineitems!$C$3:$C$1567,"medium",data_lineitems!$D$3:$D$1567,"E1",data_lineitems!$F$3:$F$1567,"1 Commodity")</f>
        <v/>
      </c>
      <c r="R72" s="77">
        <f>SUMIFS(data_lineitems!$I$3:$I$1567,data_lineitems!$A$3:$A$1567,"DE",data_lineitems!$B$3:$B$1567,2023,data_lineitems!$C$3:$C$1567,"medium",data_lineitems!$D$3:$D$1567,"E1",data_lineitems!$F$3:$F$1567,"1 Commodity")</f>
        <v/>
      </c>
      <c r="S72" s="77">
        <f>SUMIFS(data_lineitems!$I$3:$I$1567,data_lineitems!$A$3:$A$1567,"DE",data_lineitems!$B$3:$B$1567,2024,data_lineitems!$C$3:$C$1567,"medium",data_lineitems!$D$3:$D$1567,"E1",data_lineitems!$F$3:$F$1567,"1 Commodity")</f>
        <v/>
      </c>
      <c r="T72" s="77">
        <f>SUMIFS(data_lineitems!$I$3:$I$1567,data_lineitems!$A$3:$A$1567,"DE",data_lineitems!$B$3:$B$1567,2025,data_lineitems!$C$3:$C$1567,"medium",data_lineitems!$D$3:$D$1567,"E1",data_lineitems!$F$3:$F$1567,"1 Commodity")</f>
        <v/>
      </c>
    </row>
    <row r="73" ht="15" customHeight="1" s="78">
      <c r="A73" s="77" t="inlineStr">
        <is>
          <t>DE</t>
        </is>
      </c>
      <c r="B73" s="77" t="inlineStr">
        <is>
          <t>medium</t>
        </is>
      </c>
      <c r="C73" s="77" t="inlineStr">
        <is>
          <t>E1</t>
        </is>
      </c>
      <c r="D73" s="77" t="inlineStr">
        <is>
          <t>2 Gen capital recovery</t>
        </is>
      </c>
      <c r="E73" s="77">
        <f>SUMIFS(data_lineitems!$I$3:$I$1567,data_lineitems!$A$3:$A$1567,"DE",data_lineitems!$B$3:$B$1567,2010,data_lineitems!$C$3:$C$1567,"medium",data_lineitems!$D$3:$D$1567,"E1",data_lineitems!$F$3:$F$1567,"2 Gen capital recovery")</f>
        <v/>
      </c>
      <c r="F73" s="77">
        <f>SUMIFS(data_lineitems!$I$3:$I$1567,data_lineitems!$A$3:$A$1567,"DE",data_lineitems!$B$3:$B$1567,2011,data_lineitems!$C$3:$C$1567,"medium",data_lineitems!$D$3:$D$1567,"E1",data_lineitems!$F$3:$F$1567,"2 Gen capital recovery")</f>
        <v/>
      </c>
      <c r="G73" s="77">
        <f>SUMIFS(data_lineitems!$I$3:$I$1567,data_lineitems!$A$3:$A$1567,"DE",data_lineitems!$B$3:$B$1567,2012,data_lineitems!$C$3:$C$1567,"medium",data_lineitems!$D$3:$D$1567,"E1",data_lineitems!$F$3:$F$1567,"2 Gen capital recovery")</f>
        <v/>
      </c>
      <c r="H73" s="77">
        <f>SUMIFS(data_lineitems!$I$3:$I$1567,data_lineitems!$A$3:$A$1567,"DE",data_lineitems!$B$3:$B$1567,2013,data_lineitems!$C$3:$C$1567,"medium",data_lineitems!$D$3:$D$1567,"E1",data_lineitems!$F$3:$F$1567,"2 Gen capital recovery")</f>
        <v/>
      </c>
      <c r="I73" s="77">
        <f>SUMIFS(data_lineitems!$I$3:$I$1567,data_lineitems!$A$3:$A$1567,"DE",data_lineitems!$B$3:$B$1567,2014,data_lineitems!$C$3:$C$1567,"medium",data_lineitems!$D$3:$D$1567,"E1",data_lineitems!$F$3:$F$1567,"2 Gen capital recovery")</f>
        <v/>
      </c>
      <c r="J73" s="77">
        <f>SUMIFS(data_lineitems!$I$3:$I$1567,data_lineitems!$A$3:$A$1567,"DE",data_lineitems!$B$3:$B$1567,2015,data_lineitems!$C$3:$C$1567,"medium",data_lineitems!$D$3:$D$1567,"E1",data_lineitems!$F$3:$F$1567,"2 Gen capital recovery")</f>
        <v/>
      </c>
      <c r="K73" s="77">
        <f>SUMIFS(data_lineitems!$I$3:$I$1567,data_lineitems!$A$3:$A$1567,"DE",data_lineitems!$B$3:$B$1567,2016,data_lineitems!$C$3:$C$1567,"medium",data_lineitems!$D$3:$D$1567,"E1",data_lineitems!$F$3:$F$1567,"2 Gen capital recovery")</f>
        <v/>
      </c>
      <c r="L73" s="77">
        <f>SUMIFS(data_lineitems!$I$3:$I$1567,data_lineitems!$A$3:$A$1567,"DE",data_lineitems!$B$3:$B$1567,2017,data_lineitems!$C$3:$C$1567,"medium",data_lineitems!$D$3:$D$1567,"E1",data_lineitems!$F$3:$F$1567,"2 Gen capital recovery")</f>
        <v/>
      </c>
      <c r="M73" s="77">
        <f>SUMIFS(data_lineitems!$I$3:$I$1567,data_lineitems!$A$3:$A$1567,"DE",data_lineitems!$B$3:$B$1567,2018,data_lineitems!$C$3:$C$1567,"medium",data_lineitems!$D$3:$D$1567,"E1",data_lineitems!$F$3:$F$1567,"2 Gen capital recovery")</f>
        <v/>
      </c>
      <c r="N73" s="77">
        <f>SUMIFS(data_lineitems!$I$3:$I$1567,data_lineitems!$A$3:$A$1567,"DE",data_lineitems!$B$3:$B$1567,2019,data_lineitems!$C$3:$C$1567,"medium",data_lineitems!$D$3:$D$1567,"E1",data_lineitems!$F$3:$F$1567,"2 Gen capital recovery")</f>
        <v/>
      </c>
      <c r="O73" s="77">
        <f>SUMIFS(data_lineitems!$I$3:$I$1567,data_lineitems!$A$3:$A$1567,"DE",data_lineitems!$B$3:$B$1567,2020,data_lineitems!$C$3:$C$1567,"medium",data_lineitems!$D$3:$D$1567,"E1",data_lineitems!$F$3:$F$1567,"2 Gen capital recovery")</f>
        <v/>
      </c>
      <c r="P73" s="77">
        <f>SUMIFS(data_lineitems!$I$3:$I$1567,data_lineitems!$A$3:$A$1567,"DE",data_lineitems!$B$3:$B$1567,2021,data_lineitems!$C$3:$C$1567,"medium",data_lineitems!$D$3:$D$1567,"E1",data_lineitems!$F$3:$F$1567,"2 Gen capital recovery")</f>
        <v/>
      </c>
      <c r="Q73" s="77">
        <f>SUMIFS(data_lineitems!$I$3:$I$1567,data_lineitems!$A$3:$A$1567,"DE",data_lineitems!$B$3:$B$1567,2022,data_lineitems!$C$3:$C$1567,"medium",data_lineitems!$D$3:$D$1567,"E1",data_lineitems!$F$3:$F$1567,"2 Gen capital recovery")</f>
        <v/>
      </c>
      <c r="R73" s="77">
        <f>SUMIFS(data_lineitems!$I$3:$I$1567,data_lineitems!$A$3:$A$1567,"DE",data_lineitems!$B$3:$B$1567,2023,data_lineitems!$C$3:$C$1567,"medium",data_lineitems!$D$3:$D$1567,"E1",data_lineitems!$F$3:$F$1567,"2 Gen capital recovery")</f>
        <v/>
      </c>
      <c r="S73" s="77">
        <f>SUMIFS(data_lineitems!$I$3:$I$1567,data_lineitems!$A$3:$A$1567,"DE",data_lineitems!$B$3:$B$1567,2024,data_lineitems!$C$3:$C$1567,"medium",data_lineitems!$D$3:$D$1567,"E1",data_lineitems!$F$3:$F$1567,"2 Gen capital recovery")</f>
        <v/>
      </c>
      <c r="T73" s="77">
        <f>SUMIFS(data_lineitems!$I$3:$I$1567,data_lineitems!$A$3:$A$1567,"DE",data_lineitems!$B$3:$B$1567,2025,data_lineitems!$C$3:$C$1567,"medium",data_lineitems!$D$3:$D$1567,"E1",data_lineitems!$F$3:$F$1567,"2 Gen capital recovery")</f>
        <v/>
      </c>
    </row>
    <row r="74" ht="15" customHeight="1" s="78">
      <c r="A74" s="77" t="inlineStr">
        <is>
          <t>DE</t>
        </is>
      </c>
      <c r="B74" s="77" t="inlineStr">
        <is>
          <t>medium</t>
        </is>
      </c>
      <c r="C74" s="77" t="inlineStr">
        <is>
          <t>E1</t>
        </is>
      </c>
      <c r="D74" s="77" t="inlineStr">
        <is>
          <t>3 Network</t>
        </is>
      </c>
      <c r="E74" s="77">
        <f>SUMIFS(data_lineitems!$I$3:$I$1567,data_lineitems!$A$3:$A$1567,"DE",data_lineitems!$B$3:$B$1567,2010,data_lineitems!$C$3:$C$1567,"medium",data_lineitems!$D$3:$D$1567,"E1",data_lineitems!$F$3:$F$1567,"3 Network")</f>
        <v/>
      </c>
      <c r="F74" s="77">
        <f>SUMIFS(data_lineitems!$I$3:$I$1567,data_lineitems!$A$3:$A$1567,"DE",data_lineitems!$B$3:$B$1567,2011,data_lineitems!$C$3:$C$1567,"medium",data_lineitems!$D$3:$D$1567,"E1",data_lineitems!$F$3:$F$1567,"3 Network")</f>
        <v/>
      </c>
      <c r="G74" s="77">
        <f>SUMIFS(data_lineitems!$I$3:$I$1567,data_lineitems!$A$3:$A$1567,"DE",data_lineitems!$B$3:$B$1567,2012,data_lineitems!$C$3:$C$1567,"medium",data_lineitems!$D$3:$D$1567,"E1",data_lineitems!$F$3:$F$1567,"3 Network")</f>
        <v/>
      </c>
      <c r="H74" s="77">
        <f>SUMIFS(data_lineitems!$I$3:$I$1567,data_lineitems!$A$3:$A$1567,"DE",data_lineitems!$B$3:$B$1567,2013,data_lineitems!$C$3:$C$1567,"medium",data_lineitems!$D$3:$D$1567,"E1",data_lineitems!$F$3:$F$1567,"3 Network")</f>
        <v/>
      </c>
      <c r="I74" s="77">
        <f>SUMIFS(data_lineitems!$I$3:$I$1567,data_lineitems!$A$3:$A$1567,"DE",data_lineitems!$B$3:$B$1567,2014,data_lineitems!$C$3:$C$1567,"medium",data_lineitems!$D$3:$D$1567,"E1",data_lineitems!$F$3:$F$1567,"3 Network")</f>
        <v/>
      </c>
      <c r="J74" s="77">
        <f>SUMIFS(data_lineitems!$I$3:$I$1567,data_lineitems!$A$3:$A$1567,"DE",data_lineitems!$B$3:$B$1567,2015,data_lineitems!$C$3:$C$1567,"medium",data_lineitems!$D$3:$D$1567,"E1",data_lineitems!$F$3:$F$1567,"3 Network")</f>
        <v/>
      </c>
      <c r="K74" s="77">
        <f>SUMIFS(data_lineitems!$I$3:$I$1567,data_lineitems!$A$3:$A$1567,"DE",data_lineitems!$B$3:$B$1567,2016,data_lineitems!$C$3:$C$1567,"medium",data_lineitems!$D$3:$D$1567,"E1",data_lineitems!$F$3:$F$1567,"3 Network")</f>
        <v/>
      </c>
      <c r="L74" s="77">
        <f>SUMIFS(data_lineitems!$I$3:$I$1567,data_lineitems!$A$3:$A$1567,"DE",data_lineitems!$B$3:$B$1567,2017,data_lineitems!$C$3:$C$1567,"medium",data_lineitems!$D$3:$D$1567,"E1",data_lineitems!$F$3:$F$1567,"3 Network")</f>
        <v/>
      </c>
      <c r="M74" s="77">
        <f>SUMIFS(data_lineitems!$I$3:$I$1567,data_lineitems!$A$3:$A$1567,"DE",data_lineitems!$B$3:$B$1567,2018,data_lineitems!$C$3:$C$1567,"medium",data_lineitems!$D$3:$D$1567,"E1",data_lineitems!$F$3:$F$1567,"3 Network")</f>
        <v/>
      </c>
      <c r="N74" s="77">
        <f>SUMIFS(data_lineitems!$I$3:$I$1567,data_lineitems!$A$3:$A$1567,"DE",data_lineitems!$B$3:$B$1567,2019,data_lineitems!$C$3:$C$1567,"medium",data_lineitems!$D$3:$D$1567,"E1",data_lineitems!$F$3:$F$1567,"3 Network")</f>
        <v/>
      </c>
      <c r="O74" s="77">
        <f>SUMIFS(data_lineitems!$I$3:$I$1567,data_lineitems!$A$3:$A$1567,"DE",data_lineitems!$B$3:$B$1567,2020,data_lineitems!$C$3:$C$1567,"medium",data_lineitems!$D$3:$D$1567,"E1",data_lineitems!$F$3:$F$1567,"3 Network")</f>
        <v/>
      </c>
      <c r="P74" s="77">
        <f>SUMIFS(data_lineitems!$I$3:$I$1567,data_lineitems!$A$3:$A$1567,"DE",data_lineitems!$B$3:$B$1567,2021,data_lineitems!$C$3:$C$1567,"medium",data_lineitems!$D$3:$D$1567,"E1",data_lineitems!$F$3:$F$1567,"3 Network")</f>
        <v/>
      </c>
      <c r="Q74" s="77">
        <f>SUMIFS(data_lineitems!$I$3:$I$1567,data_lineitems!$A$3:$A$1567,"DE",data_lineitems!$B$3:$B$1567,2022,data_lineitems!$C$3:$C$1567,"medium",data_lineitems!$D$3:$D$1567,"E1",data_lineitems!$F$3:$F$1567,"3 Network")</f>
        <v/>
      </c>
      <c r="R74" s="77">
        <f>SUMIFS(data_lineitems!$I$3:$I$1567,data_lineitems!$A$3:$A$1567,"DE",data_lineitems!$B$3:$B$1567,2023,data_lineitems!$C$3:$C$1567,"medium",data_lineitems!$D$3:$D$1567,"E1",data_lineitems!$F$3:$F$1567,"3 Network")</f>
        <v/>
      </c>
      <c r="S74" s="77">
        <f>SUMIFS(data_lineitems!$I$3:$I$1567,data_lineitems!$A$3:$A$1567,"DE",data_lineitems!$B$3:$B$1567,2024,data_lineitems!$C$3:$C$1567,"medium",data_lineitems!$D$3:$D$1567,"E1",data_lineitems!$F$3:$F$1567,"3 Network")</f>
        <v/>
      </c>
      <c r="T74" s="77">
        <f>SUMIFS(data_lineitems!$I$3:$I$1567,data_lineitems!$A$3:$A$1567,"DE",data_lineitems!$B$3:$B$1567,2025,data_lineitems!$C$3:$C$1567,"medium",data_lineitems!$D$3:$D$1567,"E1",data_lineitems!$F$3:$F$1567,"3 Network")</f>
        <v/>
      </c>
    </row>
    <row r="75" ht="15" customHeight="1" s="78">
      <c r="A75" s="77" t="inlineStr">
        <is>
          <t>DE</t>
        </is>
      </c>
      <c r="B75" s="77" t="inlineStr">
        <is>
          <t>medium</t>
        </is>
      </c>
      <c r="C75" s="77" t="inlineStr">
        <is>
          <t>E1</t>
        </is>
      </c>
      <c r="D75" s="77" t="inlineStr">
        <is>
          <t>4 System services &amp; balancing</t>
        </is>
      </c>
      <c r="E75" s="77">
        <f>SUMIFS(data_lineitems!$I$3:$I$1567,data_lineitems!$A$3:$A$1567,"DE",data_lineitems!$B$3:$B$1567,2010,data_lineitems!$C$3:$C$1567,"medium",data_lineitems!$D$3:$D$1567,"E1",data_lineitems!$F$3:$F$1567,"4 System services &amp; balancing")</f>
        <v/>
      </c>
      <c r="F75" s="77">
        <f>SUMIFS(data_lineitems!$I$3:$I$1567,data_lineitems!$A$3:$A$1567,"DE",data_lineitems!$B$3:$B$1567,2011,data_lineitems!$C$3:$C$1567,"medium",data_lineitems!$D$3:$D$1567,"E1",data_lineitems!$F$3:$F$1567,"4 System services &amp; balancing")</f>
        <v/>
      </c>
      <c r="G75" s="77">
        <f>SUMIFS(data_lineitems!$I$3:$I$1567,data_lineitems!$A$3:$A$1567,"DE",data_lineitems!$B$3:$B$1567,2012,data_lineitems!$C$3:$C$1567,"medium",data_lineitems!$D$3:$D$1567,"E1",data_lineitems!$F$3:$F$1567,"4 System services &amp; balancing")</f>
        <v/>
      </c>
      <c r="H75" s="77">
        <f>SUMIFS(data_lineitems!$I$3:$I$1567,data_lineitems!$A$3:$A$1567,"DE",data_lineitems!$B$3:$B$1567,2013,data_lineitems!$C$3:$C$1567,"medium",data_lineitems!$D$3:$D$1567,"E1",data_lineitems!$F$3:$F$1567,"4 System services &amp; balancing")</f>
        <v/>
      </c>
      <c r="I75" s="77">
        <f>SUMIFS(data_lineitems!$I$3:$I$1567,data_lineitems!$A$3:$A$1567,"DE",data_lineitems!$B$3:$B$1567,2014,data_lineitems!$C$3:$C$1567,"medium",data_lineitems!$D$3:$D$1567,"E1",data_lineitems!$F$3:$F$1567,"4 System services &amp; balancing")</f>
        <v/>
      </c>
      <c r="J75" s="77">
        <f>SUMIFS(data_lineitems!$I$3:$I$1567,data_lineitems!$A$3:$A$1567,"DE",data_lineitems!$B$3:$B$1567,2015,data_lineitems!$C$3:$C$1567,"medium",data_lineitems!$D$3:$D$1567,"E1",data_lineitems!$F$3:$F$1567,"4 System services &amp; balancing")</f>
        <v/>
      </c>
      <c r="K75" s="77">
        <f>SUMIFS(data_lineitems!$I$3:$I$1567,data_lineitems!$A$3:$A$1567,"DE",data_lineitems!$B$3:$B$1567,2016,data_lineitems!$C$3:$C$1567,"medium",data_lineitems!$D$3:$D$1567,"E1",data_lineitems!$F$3:$F$1567,"4 System services &amp; balancing")</f>
        <v/>
      </c>
      <c r="L75" s="77">
        <f>SUMIFS(data_lineitems!$I$3:$I$1567,data_lineitems!$A$3:$A$1567,"DE",data_lineitems!$B$3:$B$1567,2017,data_lineitems!$C$3:$C$1567,"medium",data_lineitems!$D$3:$D$1567,"E1",data_lineitems!$F$3:$F$1567,"4 System services &amp; balancing")</f>
        <v/>
      </c>
      <c r="M75" s="77">
        <f>SUMIFS(data_lineitems!$I$3:$I$1567,data_lineitems!$A$3:$A$1567,"DE",data_lineitems!$B$3:$B$1567,2018,data_lineitems!$C$3:$C$1567,"medium",data_lineitems!$D$3:$D$1567,"E1",data_lineitems!$F$3:$F$1567,"4 System services &amp; balancing")</f>
        <v/>
      </c>
      <c r="N75" s="77">
        <f>SUMIFS(data_lineitems!$I$3:$I$1567,data_lineitems!$A$3:$A$1567,"DE",data_lineitems!$B$3:$B$1567,2019,data_lineitems!$C$3:$C$1567,"medium",data_lineitems!$D$3:$D$1567,"E1",data_lineitems!$F$3:$F$1567,"4 System services &amp; balancing")</f>
        <v/>
      </c>
      <c r="O75" s="77">
        <f>SUMIFS(data_lineitems!$I$3:$I$1567,data_lineitems!$A$3:$A$1567,"DE",data_lineitems!$B$3:$B$1567,2020,data_lineitems!$C$3:$C$1567,"medium",data_lineitems!$D$3:$D$1567,"E1",data_lineitems!$F$3:$F$1567,"4 System services &amp; balancing")</f>
        <v/>
      </c>
      <c r="P75" s="77">
        <f>SUMIFS(data_lineitems!$I$3:$I$1567,data_lineitems!$A$3:$A$1567,"DE",data_lineitems!$B$3:$B$1567,2021,data_lineitems!$C$3:$C$1567,"medium",data_lineitems!$D$3:$D$1567,"E1",data_lineitems!$F$3:$F$1567,"4 System services &amp; balancing")</f>
        <v/>
      </c>
      <c r="Q75" s="77">
        <f>SUMIFS(data_lineitems!$I$3:$I$1567,data_lineitems!$A$3:$A$1567,"DE",data_lineitems!$B$3:$B$1567,2022,data_lineitems!$C$3:$C$1567,"medium",data_lineitems!$D$3:$D$1567,"E1",data_lineitems!$F$3:$F$1567,"4 System services &amp; balancing")</f>
        <v/>
      </c>
      <c r="R75" s="77">
        <f>SUMIFS(data_lineitems!$I$3:$I$1567,data_lineitems!$A$3:$A$1567,"DE",data_lineitems!$B$3:$B$1567,2023,data_lineitems!$C$3:$C$1567,"medium",data_lineitems!$D$3:$D$1567,"E1",data_lineitems!$F$3:$F$1567,"4 System services &amp; balancing")</f>
        <v/>
      </c>
      <c r="S75" s="77">
        <f>SUMIFS(data_lineitems!$I$3:$I$1567,data_lineitems!$A$3:$A$1567,"DE",data_lineitems!$B$3:$B$1567,2024,data_lineitems!$C$3:$C$1567,"medium",data_lineitems!$D$3:$D$1567,"E1",data_lineitems!$F$3:$F$1567,"4 System services &amp; balancing")</f>
        <v/>
      </c>
      <c r="T75" s="77">
        <f>SUMIFS(data_lineitems!$I$3:$I$1567,data_lineitems!$A$3:$A$1567,"DE",data_lineitems!$B$3:$B$1567,2025,data_lineitems!$C$3:$C$1567,"medium",data_lineitems!$D$3:$D$1567,"E1",data_lineitems!$F$3:$F$1567,"4 System services &amp; balancing")</f>
        <v/>
      </c>
    </row>
    <row r="76" ht="15" customHeight="1" s="78">
      <c r="A76" s="77" t="inlineStr">
        <is>
          <t>DE</t>
        </is>
      </c>
      <c r="B76" s="77" t="inlineStr">
        <is>
          <t>medium</t>
        </is>
      </c>
      <c r="C76" s="77" t="inlineStr">
        <is>
          <t>E1</t>
        </is>
      </c>
      <c r="D76" s="77" t="inlineStr">
        <is>
          <t>5 General taxation &amp; levies</t>
        </is>
      </c>
      <c r="E76" s="77">
        <f>SUMIFS(data_lineitems!$I$3:$I$1567,data_lineitems!$A$3:$A$1567,"DE",data_lineitems!$B$3:$B$1567,2010,data_lineitems!$C$3:$C$1567,"medium",data_lineitems!$D$3:$D$1567,"E1",data_lineitems!$F$3:$F$1567,"5 General taxation &amp; levies")</f>
        <v/>
      </c>
      <c r="F76" s="77">
        <f>SUMIFS(data_lineitems!$I$3:$I$1567,data_lineitems!$A$3:$A$1567,"DE",data_lineitems!$B$3:$B$1567,2011,data_lineitems!$C$3:$C$1567,"medium",data_lineitems!$D$3:$D$1567,"E1",data_lineitems!$F$3:$F$1567,"5 General taxation &amp; levies")</f>
        <v/>
      </c>
      <c r="G76" s="77">
        <f>SUMIFS(data_lineitems!$I$3:$I$1567,data_lineitems!$A$3:$A$1567,"DE",data_lineitems!$B$3:$B$1567,2012,data_lineitems!$C$3:$C$1567,"medium",data_lineitems!$D$3:$D$1567,"E1",data_lineitems!$F$3:$F$1567,"5 General taxation &amp; levies")</f>
        <v/>
      </c>
      <c r="H76" s="77">
        <f>SUMIFS(data_lineitems!$I$3:$I$1567,data_lineitems!$A$3:$A$1567,"DE",data_lineitems!$B$3:$B$1567,2013,data_lineitems!$C$3:$C$1567,"medium",data_lineitems!$D$3:$D$1567,"E1",data_lineitems!$F$3:$F$1567,"5 General taxation &amp; levies")</f>
        <v/>
      </c>
      <c r="I76" s="77">
        <f>SUMIFS(data_lineitems!$I$3:$I$1567,data_lineitems!$A$3:$A$1567,"DE",data_lineitems!$B$3:$B$1567,2014,data_lineitems!$C$3:$C$1567,"medium",data_lineitems!$D$3:$D$1567,"E1",data_lineitems!$F$3:$F$1567,"5 General taxation &amp; levies")</f>
        <v/>
      </c>
      <c r="J76" s="77">
        <f>SUMIFS(data_lineitems!$I$3:$I$1567,data_lineitems!$A$3:$A$1567,"DE",data_lineitems!$B$3:$B$1567,2015,data_lineitems!$C$3:$C$1567,"medium",data_lineitems!$D$3:$D$1567,"E1",data_lineitems!$F$3:$F$1567,"5 General taxation &amp; levies")</f>
        <v/>
      </c>
      <c r="K76" s="77">
        <f>SUMIFS(data_lineitems!$I$3:$I$1567,data_lineitems!$A$3:$A$1567,"DE",data_lineitems!$B$3:$B$1567,2016,data_lineitems!$C$3:$C$1567,"medium",data_lineitems!$D$3:$D$1567,"E1",data_lineitems!$F$3:$F$1567,"5 General taxation &amp; levies")</f>
        <v/>
      </c>
      <c r="L76" s="77">
        <f>SUMIFS(data_lineitems!$I$3:$I$1567,data_lineitems!$A$3:$A$1567,"DE",data_lineitems!$B$3:$B$1567,2017,data_lineitems!$C$3:$C$1567,"medium",data_lineitems!$D$3:$D$1567,"E1",data_lineitems!$F$3:$F$1567,"5 General taxation &amp; levies")</f>
        <v/>
      </c>
      <c r="M76" s="77">
        <f>SUMIFS(data_lineitems!$I$3:$I$1567,data_lineitems!$A$3:$A$1567,"DE",data_lineitems!$B$3:$B$1567,2018,data_lineitems!$C$3:$C$1567,"medium",data_lineitems!$D$3:$D$1567,"E1",data_lineitems!$F$3:$F$1567,"5 General taxation &amp; levies")</f>
        <v/>
      </c>
      <c r="N76" s="77">
        <f>SUMIFS(data_lineitems!$I$3:$I$1567,data_lineitems!$A$3:$A$1567,"DE",data_lineitems!$B$3:$B$1567,2019,data_lineitems!$C$3:$C$1567,"medium",data_lineitems!$D$3:$D$1567,"E1",data_lineitems!$F$3:$F$1567,"5 General taxation &amp; levies")</f>
        <v/>
      </c>
      <c r="O76" s="77">
        <f>SUMIFS(data_lineitems!$I$3:$I$1567,data_lineitems!$A$3:$A$1567,"DE",data_lineitems!$B$3:$B$1567,2020,data_lineitems!$C$3:$C$1567,"medium",data_lineitems!$D$3:$D$1567,"E1",data_lineitems!$F$3:$F$1567,"5 General taxation &amp; levies")</f>
        <v/>
      </c>
      <c r="P76" s="77">
        <f>SUMIFS(data_lineitems!$I$3:$I$1567,data_lineitems!$A$3:$A$1567,"DE",data_lineitems!$B$3:$B$1567,2021,data_lineitems!$C$3:$C$1567,"medium",data_lineitems!$D$3:$D$1567,"E1",data_lineitems!$F$3:$F$1567,"5 General taxation &amp; levies")</f>
        <v/>
      </c>
      <c r="Q76" s="77">
        <f>SUMIFS(data_lineitems!$I$3:$I$1567,data_lineitems!$A$3:$A$1567,"DE",data_lineitems!$B$3:$B$1567,2022,data_lineitems!$C$3:$C$1567,"medium",data_lineitems!$D$3:$D$1567,"E1",data_lineitems!$F$3:$F$1567,"5 General taxation &amp; levies")</f>
        <v/>
      </c>
      <c r="R76" s="77">
        <f>SUMIFS(data_lineitems!$I$3:$I$1567,data_lineitems!$A$3:$A$1567,"DE",data_lineitems!$B$3:$B$1567,2023,data_lineitems!$C$3:$C$1567,"medium",data_lineitems!$D$3:$D$1567,"E1",data_lineitems!$F$3:$F$1567,"5 General taxation &amp; levies")</f>
        <v/>
      </c>
      <c r="S76" s="77">
        <f>SUMIFS(data_lineitems!$I$3:$I$1567,data_lineitems!$A$3:$A$1567,"DE",data_lineitems!$B$3:$B$1567,2024,data_lineitems!$C$3:$C$1567,"medium",data_lineitems!$D$3:$D$1567,"E1",data_lineitems!$F$3:$F$1567,"5 General taxation &amp; levies")</f>
        <v/>
      </c>
      <c r="T76" s="77">
        <f>SUMIFS(data_lineitems!$I$3:$I$1567,data_lineitems!$A$3:$A$1567,"DE",data_lineitems!$B$3:$B$1567,2025,data_lineitems!$C$3:$C$1567,"medium",data_lineitems!$D$3:$D$1567,"E1",data_lineitems!$F$3:$F$1567,"5 General taxation &amp; levies")</f>
        <v/>
      </c>
    </row>
    <row r="77" ht="15" customHeight="1" s="78">
      <c r="A77" s="77" t="inlineStr">
        <is>
          <t>DE</t>
        </is>
      </c>
      <c r="B77" s="77" t="inlineStr">
        <is>
          <t>medium</t>
        </is>
      </c>
      <c r="C77" s="77" t="inlineStr">
        <is>
          <t>E1</t>
        </is>
      </c>
      <c r="D77" s="77" t="inlineStr">
        <is>
          <t>TOTAL modelled (sum buckets)</t>
        </is>
      </c>
      <c r="E77" s="77">
        <f>SUM(E72:E76)</f>
        <v/>
      </c>
      <c r="F77" s="77">
        <f>SUM(F72:F76)</f>
        <v/>
      </c>
      <c r="G77" s="77">
        <f>SUM(G72:G76)</f>
        <v/>
      </c>
      <c r="H77" s="77">
        <f>SUM(H72:H76)</f>
        <v/>
      </c>
      <c r="I77" s="77">
        <f>SUM(I72:I76)</f>
        <v/>
      </c>
      <c r="J77" s="77">
        <f>SUM(J72:J76)</f>
        <v/>
      </c>
      <c r="K77" s="77">
        <f>SUM(K72:K76)</f>
        <v/>
      </c>
      <c r="L77" s="77">
        <f>SUM(L72:L76)</f>
        <v/>
      </c>
      <c r="M77" s="77">
        <f>SUM(M72:M76)</f>
        <v/>
      </c>
      <c r="N77" s="77">
        <f>SUM(N72:N76)</f>
        <v/>
      </c>
      <c r="O77" s="77">
        <f>SUM(O72:O76)</f>
        <v/>
      </c>
      <c r="P77" s="77">
        <f>SUM(P72:P76)</f>
        <v/>
      </c>
      <c r="Q77" s="77">
        <f>SUM(Q72:Q76)</f>
        <v/>
      </c>
      <c r="R77" s="77">
        <f>SUM(R72:R76)</f>
        <v/>
      </c>
      <c r="S77" s="77">
        <f>SUM(S72:S76)</f>
        <v/>
      </c>
      <c r="T77" s="77">
        <f>SUM(T72:T76)</f>
        <v/>
      </c>
    </row>
    <row r="78" ht="15" customHeight="1" s="78">
      <c r="A78" s="77" t="inlineStr">
        <is>
          <t>DE</t>
        </is>
      </c>
      <c r="B78" s="77" t="inlineStr">
        <is>
          <t>medium</t>
        </is>
      </c>
      <c r="C78" s="77" t="inlineStr">
        <is>
          <t>E1</t>
        </is>
      </c>
      <c r="D78" s="77" t="inlineStr">
        <is>
          <t>REFERENCE — timeseries USD r84</t>
        </is>
      </c>
      <c r="E78" s="77">
        <f>IF(ISNUMBER(timeseries!D84),timeseries!D84,"")</f>
        <v/>
      </c>
      <c r="F78" s="136">
        <f>IF(ISNUMBER(timeseries!E84),timeseries!E84,"")</f>
        <v/>
      </c>
      <c r="G78" s="136">
        <f>IF(ISNUMBER(timeseries!F84),timeseries!F84,"")</f>
        <v/>
      </c>
      <c r="H78" s="136">
        <f>IF(ISNUMBER(timeseries!G84),timeseries!G84,"")</f>
        <v/>
      </c>
      <c r="I78" s="136">
        <f>IF(ISNUMBER(timeseries!H84),timeseries!H84,"")</f>
        <v/>
      </c>
      <c r="J78" s="136">
        <f>IF(ISNUMBER(timeseries!I84),timeseries!I84,"")</f>
        <v/>
      </c>
      <c r="K78" s="136">
        <f>IF(ISNUMBER(timeseries!J84),timeseries!J84,"")</f>
        <v/>
      </c>
      <c r="L78" s="136">
        <f>IF(ISNUMBER(timeseries!K84),timeseries!K84,"")</f>
        <v/>
      </c>
      <c r="M78" s="136">
        <f>IF(ISNUMBER(timeseries!L84),timeseries!L84,"")</f>
        <v/>
      </c>
      <c r="N78" s="136">
        <f>IF(ISNUMBER(timeseries!M84),timeseries!M84,"")</f>
        <v/>
      </c>
      <c r="O78" s="136">
        <f>IF(ISNUMBER(timeseries!N84),timeseries!N84,"")</f>
        <v/>
      </c>
      <c r="P78" s="136">
        <f>IF(ISNUMBER(timeseries!O84),timeseries!O84,"")</f>
        <v/>
      </c>
      <c r="Q78" s="136">
        <f>IF(ISNUMBER(timeseries!P84),timeseries!P84,"")</f>
        <v/>
      </c>
      <c r="R78" s="136">
        <f>IF(ISNUMBER(timeseries!Q84),timeseries!Q84,"")</f>
        <v/>
      </c>
      <c r="S78" s="136">
        <f>IF(ISNUMBER(timeseries!R84),timeseries!R84,"")</f>
        <v/>
      </c>
      <c r="T78" s="136">
        <f>IF(ISNUMBER(timeseries!S84),timeseries!S84,"")</f>
        <v/>
      </c>
    </row>
    <row r="79" ht="15" customHeight="1" s="78">
      <c r="A79" s="77" t="inlineStr">
        <is>
          <t>DE</t>
        </is>
      </c>
      <c r="B79" s="77" t="inlineStr">
        <is>
          <t>medium</t>
        </is>
      </c>
      <c r="C79" s="77" t="inlineStr">
        <is>
          <t>E1</t>
        </is>
      </c>
      <c r="D79" s="77" t="inlineStr">
        <is>
          <t>RECONCILIATION (total/ref - 1)</t>
        </is>
      </c>
      <c r="E79" s="77">
        <f>IF(AND(ISNUMBER(E78),E78&lt;&gt;0,ISNUMBER(E77)),E77/E78-1,"n/a")</f>
        <v/>
      </c>
      <c r="F79" s="77">
        <f>IF(AND(ISNUMBER(F78),F78&lt;&gt;0,ISNUMBER(F77)),F77/F78-1,"n/a")</f>
        <v/>
      </c>
      <c r="G79" s="77">
        <f>IF(AND(ISNUMBER(G78),G78&lt;&gt;0,ISNUMBER(G77)),G77/G78-1,"n/a")</f>
        <v/>
      </c>
      <c r="H79" s="77">
        <f>IF(AND(ISNUMBER(H78),H78&lt;&gt;0,ISNUMBER(H77)),H77/H78-1,"n/a")</f>
        <v/>
      </c>
      <c r="I79" s="77">
        <f>IF(AND(ISNUMBER(I78),I78&lt;&gt;0,ISNUMBER(I77)),I77/I78-1,"n/a")</f>
        <v/>
      </c>
      <c r="J79" s="77">
        <f>IF(AND(ISNUMBER(J78),J78&lt;&gt;0,ISNUMBER(J77)),J77/J78-1,"n/a")</f>
        <v/>
      </c>
      <c r="K79" s="77">
        <f>IF(AND(ISNUMBER(K78),K78&lt;&gt;0,ISNUMBER(K77)),K77/K78-1,"n/a")</f>
        <v/>
      </c>
      <c r="L79" s="77">
        <f>IF(AND(ISNUMBER(L78),L78&lt;&gt;0,ISNUMBER(L77)),L77/L78-1,"n/a")</f>
        <v/>
      </c>
      <c r="M79" s="77">
        <f>IF(AND(ISNUMBER(M78),M78&lt;&gt;0,ISNUMBER(M77)),M77/M78-1,"n/a")</f>
        <v/>
      </c>
      <c r="N79" s="77">
        <f>IF(AND(ISNUMBER(N78),N78&lt;&gt;0,ISNUMBER(N77)),N77/N78-1,"n/a")</f>
        <v/>
      </c>
      <c r="O79" s="77">
        <f>IF(AND(ISNUMBER(O78),O78&lt;&gt;0,ISNUMBER(O77)),O77/O78-1,"n/a")</f>
        <v/>
      </c>
      <c r="P79" s="77">
        <f>IF(AND(ISNUMBER(P78),P78&lt;&gt;0,ISNUMBER(P77)),P77/P78-1,"n/a")</f>
        <v/>
      </c>
      <c r="Q79" s="77">
        <f>IF(AND(ISNUMBER(Q78),Q78&lt;&gt;0,ISNUMBER(Q77)),Q77/Q78-1,"n/a")</f>
        <v/>
      </c>
      <c r="R79" s="77">
        <f>IF(AND(ISNUMBER(R78),R78&lt;&gt;0,ISNUMBER(R77)),R77/R78-1,"n/a")</f>
        <v/>
      </c>
      <c r="S79" s="77">
        <f>IF(AND(ISNUMBER(S78),S78&lt;&gt;0,ISNUMBER(S77)),S77/S78-1,"n/a")</f>
        <v/>
      </c>
      <c r="T79" s="77">
        <f>IF(AND(ISNUMBER(T78),T78&lt;&gt;0,ISNUMBER(T77)),T77/T78-1,"n/a")</f>
        <v/>
      </c>
    </row>
    <row r="80" ht="15" customHeight="1" s="78">
      <c r="A80" s="77" t="inlineStr">
        <is>
          <t>DE</t>
        </is>
      </c>
      <c r="B80" s="77" t="inlineStr">
        <is>
          <t>medium</t>
        </is>
      </c>
      <c r="C80" s="77" t="inlineStr">
        <is>
          <t>E1</t>
        </is>
      </c>
      <c r="D80" s="77" t="inlineStr">
        <is>
          <t>GATE +/-2 pct</t>
        </is>
      </c>
      <c r="E80" s="77">
        <f>IF(ISNUMBER(E79),IF(ABS(E79)&lt;=0.02,"PASS","FAIL"),"n/a")</f>
        <v/>
      </c>
      <c r="F80" s="77">
        <f>IF(ISNUMBER(F79),IF(ABS(F79)&lt;=0.02,"PASS","FAIL"),"n/a")</f>
        <v/>
      </c>
      <c r="G80" s="77">
        <f>IF(ISNUMBER(G79),IF(ABS(G79)&lt;=0.02,"PASS","FAIL"),"n/a")</f>
        <v/>
      </c>
      <c r="H80" s="77">
        <f>IF(ISNUMBER(H79),IF(ABS(H79)&lt;=0.02,"PASS","FAIL"),"n/a")</f>
        <v/>
      </c>
      <c r="I80" s="77">
        <f>IF(ISNUMBER(I79),IF(ABS(I79)&lt;=0.02,"PASS","FAIL"),"n/a")</f>
        <v/>
      </c>
      <c r="J80" s="77">
        <f>IF(ISNUMBER(J79),IF(ABS(J79)&lt;=0.02,"PASS","FAIL"),"n/a")</f>
        <v/>
      </c>
      <c r="K80" s="77">
        <f>IF(ISNUMBER(K79),IF(ABS(K79)&lt;=0.02,"PASS","FAIL"),"n/a")</f>
        <v/>
      </c>
      <c r="L80" s="77">
        <f>IF(ISNUMBER(L79),IF(ABS(L79)&lt;=0.02,"PASS","FAIL"),"n/a")</f>
        <v/>
      </c>
      <c r="M80" s="77">
        <f>IF(ISNUMBER(M79),IF(ABS(M79)&lt;=0.02,"PASS","FAIL"),"n/a")</f>
        <v/>
      </c>
      <c r="N80" s="77">
        <f>IF(ISNUMBER(N79),IF(ABS(N79)&lt;=0.02,"PASS","FAIL"),"n/a")</f>
        <v/>
      </c>
      <c r="O80" s="77">
        <f>IF(ISNUMBER(O79),IF(ABS(O79)&lt;=0.02,"PASS","FAIL"),"n/a")</f>
        <v/>
      </c>
      <c r="P80" s="77">
        <f>IF(ISNUMBER(P79),IF(ABS(P79)&lt;=0.02,"PASS","FAIL"),"n/a")</f>
        <v/>
      </c>
      <c r="Q80" s="77">
        <f>IF(ISNUMBER(Q79),IF(ABS(Q79)&lt;=0.02,"PASS","FAIL"),"n/a")</f>
        <v/>
      </c>
      <c r="R80" s="77">
        <f>IF(ISNUMBER(R79),IF(ABS(R79)&lt;=0.02,"PASS","FAIL"),"n/a")</f>
        <v/>
      </c>
      <c r="S80" s="77">
        <f>IF(ISNUMBER(S79),IF(ABS(S79)&lt;=0.02,"PASS","FAIL"),"n/a")</f>
        <v/>
      </c>
      <c r="T80" s="77">
        <f>IF(ISNUMBER(T79),IF(ABS(T79)&lt;=0.02,"PASS","FAIL"),"n/a")</f>
        <v/>
      </c>
    </row>
    <row r="82" ht="15" customHeight="1" s="78">
      <c r="A82" s="77" t="inlineStr">
        <is>
          <t>DE</t>
        </is>
      </c>
      <c r="B82" s="77" t="inlineStr">
        <is>
          <t>medium</t>
        </is>
      </c>
      <c r="C82" s="77" t="inlineStr">
        <is>
          <t>E2</t>
        </is>
      </c>
      <c r="D82" s="77" t="inlineStr">
        <is>
          <t>leg header</t>
        </is>
      </c>
    </row>
    <row r="83" ht="15" customHeight="1" s="78">
      <c r="A83" s="77" t="inlineStr">
        <is>
          <t>DE</t>
        </is>
      </c>
      <c r="B83" s="77" t="inlineStr">
        <is>
          <t>medium</t>
        </is>
      </c>
      <c r="C83" s="77" t="inlineStr">
        <is>
          <t>E2</t>
        </is>
      </c>
      <c r="D83" s="77" t="inlineStr">
        <is>
          <t>1 Commodity</t>
        </is>
      </c>
      <c r="E83" s="77">
        <f>SUMIFS(data_lineitems!$I$3:$I$1567,data_lineitems!$A$3:$A$1567,"DE",data_lineitems!$B$3:$B$1567,2010,data_lineitems!$C$3:$C$1567,"medium",data_lineitems!$D$3:$D$1567,"E2",data_lineitems!$F$3:$F$1567,"1 Commodity")</f>
        <v/>
      </c>
      <c r="F83" s="77">
        <f>SUMIFS(data_lineitems!$I$3:$I$1567,data_lineitems!$A$3:$A$1567,"DE",data_lineitems!$B$3:$B$1567,2011,data_lineitems!$C$3:$C$1567,"medium",data_lineitems!$D$3:$D$1567,"E2",data_lineitems!$F$3:$F$1567,"1 Commodity")</f>
        <v/>
      </c>
      <c r="G83" s="77">
        <f>SUMIFS(data_lineitems!$I$3:$I$1567,data_lineitems!$A$3:$A$1567,"DE",data_lineitems!$B$3:$B$1567,2012,data_lineitems!$C$3:$C$1567,"medium",data_lineitems!$D$3:$D$1567,"E2",data_lineitems!$F$3:$F$1567,"1 Commodity")</f>
        <v/>
      </c>
      <c r="H83" s="77">
        <f>SUMIFS(data_lineitems!$I$3:$I$1567,data_lineitems!$A$3:$A$1567,"DE",data_lineitems!$B$3:$B$1567,2013,data_lineitems!$C$3:$C$1567,"medium",data_lineitems!$D$3:$D$1567,"E2",data_lineitems!$F$3:$F$1567,"1 Commodity")</f>
        <v/>
      </c>
      <c r="I83" s="77">
        <f>SUMIFS(data_lineitems!$I$3:$I$1567,data_lineitems!$A$3:$A$1567,"DE",data_lineitems!$B$3:$B$1567,2014,data_lineitems!$C$3:$C$1567,"medium",data_lineitems!$D$3:$D$1567,"E2",data_lineitems!$F$3:$F$1567,"1 Commodity")</f>
        <v/>
      </c>
      <c r="J83" s="77">
        <f>SUMIFS(data_lineitems!$I$3:$I$1567,data_lineitems!$A$3:$A$1567,"DE",data_lineitems!$B$3:$B$1567,2015,data_lineitems!$C$3:$C$1567,"medium",data_lineitems!$D$3:$D$1567,"E2",data_lineitems!$F$3:$F$1567,"1 Commodity")</f>
        <v/>
      </c>
      <c r="K83" s="77">
        <f>SUMIFS(data_lineitems!$I$3:$I$1567,data_lineitems!$A$3:$A$1567,"DE",data_lineitems!$B$3:$B$1567,2016,data_lineitems!$C$3:$C$1567,"medium",data_lineitems!$D$3:$D$1567,"E2",data_lineitems!$F$3:$F$1567,"1 Commodity")</f>
        <v/>
      </c>
      <c r="L83" s="77">
        <f>SUMIFS(data_lineitems!$I$3:$I$1567,data_lineitems!$A$3:$A$1567,"DE",data_lineitems!$B$3:$B$1567,2017,data_lineitems!$C$3:$C$1567,"medium",data_lineitems!$D$3:$D$1567,"E2",data_lineitems!$F$3:$F$1567,"1 Commodity")</f>
        <v/>
      </c>
      <c r="M83" s="77">
        <f>SUMIFS(data_lineitems!$I$3:$I$1567,data_lineitems!$A$3:$A$1567,"DE",data_lineitems!$B$3:$B$1567,2018,data_lineitems!$C$3:$C$1567,"medium",data_lineitems!$D$3:$D$1567,"E2",data_lineitems!$F$3:$F$1567,"1 Commodity")</f>
        <v/>
      </c>
      <c r="N83" s="77">
        <f>SUMIFS(data_lineitems!$I$3:$I$1567,data_lineitems!$A$3:$A$1567,"DE",data_lineitems!$B$3:$B$1567,2019,data_lineitems!$C$3:$C$1567,"medium",data_lineitems!$D$3:$D$1567,"E2",data_lineitems!$F$3:$F$1567,"1 Commodity")</f>
        <v/>
      </c>
      <c r="O83" s="77">
        <f>SUMIFS(data_lineitems!$I$3:$I$1567,data_lineitems!$A$3:$A$1567,"DE",data_lineitems!$B$3:$B$1567,2020,data_lineitems!$C$3:$C$1567,"medium",data_lineitems!$D$3:$D$1567,"E2",data_lineitems!$F$3:$F$1567,"1 Commodity")</f>
        <v/>
      </c>
      <c r="P83" s="77">
        <f>SUMIFS(data_lineitems!$I$3:$I$1567,data_lineitems!$A$3:$A$1567,"DE",data_lineitems!$B$3:$B$1567,2021,data_lineitems!$C$3:$C$1567,"medium",data_lineitems!$D$3:$D$1567,"E2",data_lineitems!$F$3:$F$1567,"1 Commodity")</f>
        <v/>
      </c>
      <c r="Q83" s="77">
        <f>SUMIFS(data_lineitems!$I$3:$I$1567,data_lineitems!$A$3:$A$1567,"DE",data_lineitems!$B$3:$B$1567,2022,data_lineitems!$C$3:$C$1567,"medium",data_lineitems!$D$3:$D$1567,"E2",data_lineitems!$F$3:$F$1567,"1 Commodity")</f>
        <v/>
      </c>
      <c r="R83" s="77">
        <f>SUMIFS(data_lineitems!$I$3:$I$1567,data_lineitems!$A$3:$A$1567,"DE",data_lineitems!$B$3:$B$1567,2023,data_lineitems!$C$3:$C$1567,"medium",data_lineitems!$D$3:$D$1567,"E2",data_lineitems!$F$3:$F$1567,"1 Commodity")</f>
        <v/>
      </c>
      <c r="S83" s="77">
        <f>SUMIFS(data_lineitems!$I$3:$I$1567,data_lineitems!$A$3:$A$1567,"DE",data_lineitems!$B$3:$B$1567,2024,data_lineitems!$C$3:$C$1567,"medium",data_lineitems!$D$3:$D$1567,"E2",data_lineitems!$F$3:$F$1567,"1 Commodity")</f>
        <v/>
      </c>
      <c r="T83" s="77">
        <f>SUMIFS(data_lineitems!$I$3:$I$1567,data_lineitems!$A$3:$A$1567,"DE",data_lineitems!$B$3:$B$1567,2025,data_lineitems!$C$3:$C$1567,"medium",data_lineitems!$D$3:$D$1567,"E2",data_lineitems!$F$3:$F$1567,"1 Commodity")</f>
        <v/>
      </c>
    </row>
    <row r="84" ht="15" customHeight="1" s="78">
      <c r="A84" s="77" t="inlineStr">
        <is>
          <t>DE</t>
        </is>
      </c>
      <c r="B84" s="77" t="inlineStr">
        <is>
          <t>medium</t>
        </is>
      </c>
      <c r="C84" s="77" t="inlineStr">
        <is>
          <t>E2</t>
        </is>
      </c>
      <c r="D84" s="77" t="inlineStr">
        <is>
          <t>2 Gen capital recovery</t>
        </is>
      </c>
      <c r="E84" s="77">
        <f>SUMIFS(data_lineitems!$I$3:$I$1567,data_lineitems!$A$3:$A$1567,"DE",data_lineitems!$B$3:$B$1567,2010,data_lineitems!$C$3:$C$1567,"medium",data_lineitems!$D$3:$D$1567,"E2",data_lineitems!$F$3:$F$1567,"2 Gen capital recovery")</f>
        <v/>
      </c>
      <c r="F84" s="77">
        <f>SUMIFS(data_lineitems!$I$3:$I$1567,data_lineitems!$A$3:$A$1567,"DE",data_lineitems!$B$3:$B$1567,2011,data_lineitems!$C$3:$C$1567,"medium",data_lineitems!$D$3:$D$1567,"E2",data_lineitems!$F$3:$F$1567,"2 Gen capital recovery")</f>
        <v/>
      </c>
      <c r="G84" s="77">
        <f>SUMIFS(data_lineitems!$I$3:$I$1567,data_lineitems!$A$3:$A$1567,"DE",data_lineitems!$B$3:$B$1567,2012,data_lineitems!$C$3:$C$1567,"medium",data_lineitems!$D$3:$D$1567,"E2",data_lineitems!$F$3:$F$1567,"2 Gen capital recovery")</f>
        <v/>
      </c>
      <c r="H84" s="77">
        <f>SUMIFS(data_lineitems!$I$3:$I$1567,data_lineitems!$A$3:$A$1567,"DE",data_lineitems!$B$3:$B$1567,2013,data_lineitems!$C$3:$C$1567,"medium",data_lineitems!$D$3:$D$1567,"E2",data_lineitems!$F$3:$F$1567,"2 Gen capital recovery")</f>
        <v/>
      </c>
      <c r="I84" s="77">
        <f>SUMIFS(data_lineitems!$I$3:$I$1567,data_lineitems!$A$3:$A$1567,"DE",data_lineitems!$B$3:$B$1567,2014,data_lineitems!$C$3:$C$1567,"medium",data_lineitems!$D$3:$D$1567,"E2",data_lineitems!$F$3:$F$1567,"2 Gen capital recovery")</f>
        <v/>
      </c>
      <c r="J84" s="77">
        <f>SUMIFS(data_lineitems!$I$3:$I$1567,data_lineitems!$A$3:$A$1567,"DE",data_lineitems!$B$3:$B$1567,2015,data_lineitems!$C$3:$C$1567,"medium",data_lineitems!$D$3:$D$1567,"E2",data_lineitems!$F$3:$F$1567,"2 Gen capital recovery")</f>
        <v/>
      </c>
      <c r="K84" s="77">
        <f>SUMIFS(data_lineitems!$I$3:$I$1567,data_lineitems!$A$3:$A$1567,"DE",data_lineitems!$B$3:$B$1567,2016,data_lineitems!$C$3:$C$1567,"medium",data_lineitems!$D$3:$D$1567,"E2",data_lineitems!$F$3:$F$1567,"2 Gen capital recovery")</f>
        <v/>
      </c>
      <c r="L84" s="77">
        <f>SUMIFS(data_lineitems!$I$3:$I$1567,data_lineitems!$A$3:$A$1567,"DE",data_lineitems!$B$3:$B$1567,2017,data_lineitems!$C$3:$C$1567,"medium",data_lineitems!$D$3:$D$1567,"E2",data_lineitems!$F$3:$F$1567,"2 Gen capital recovery")</f>
        <v/>
      </c>
      <c r="M84" s="77">
        <f>SUMIFS(data_lineitems!$I$3:$I$1567,data_lineitems!$A$3:$A$1567,"DE",data_lineitems!$B$3:$B$1567,2018,data_lineitems!$C$3:$C$1567,"medium",data_lineitems!$D$3:$D$1567,"E2",data_lineitems!$F$3:$F$1567,"2 Gen capital recovery")</f>
        <v/>
      </c>
      <c r="N84" s="77">
        <f>SUMIFS(data_lineitems!$I$3:$I$1567,data_lineitems!$A$3:$A$1567,"DE",data_lineitems!$B$3:$B$1567,2019,data_lineitems!$C$3:$C$1567,"medium",data_lineitems!$D$3:$D$1567,"E2",data_lineitems!$F$3:$F$1567,"2 Gen capital recovery")</f>
        <v/>
      </c>
      <c r="O84" s="77">
        <f>SUMIFS(data_lineitems!$I$3:$I$1567,data_lineitems!$A$3:$A$1567,"DE",data_lineitems!$B$3:$B$1567,2020,data_lineitems!$C$3:$C$1567,"medium",data_lineitems!$D$3:$D$1567,"E2",data_lineitems!$F$3:$F$1567,"2 Gen capital recovery")</f>
        <v/>
      </c>
      <c r="P84" s="77">
        <f>SUMIFS(data_lineitems!$I$3:$I$1567,data_lineitems!$A$3:$A$1567,"DE",data_lineitems!$B$3:$B$1567,2021,data_lineitems!$C$3:$C$1567,"medium",data_lineitems!$D$3:$D$1567,"E2",data_lineitems!$F$3:$F$1567,"2 Gen capital recovery")</f>
        <v/>
      </c>
      <c r="Q84" s="77">
        <f>SUMIFS(data_lineitems!$I$3:$I$1567,data_lineitems!$A$3:$A$1567,"DE",data_lineitems!$B$3:$B$1567,2022,data_lineitems!$C$3:$C$1567,"medium",data_lineitems!$D$3:$D$1567,"E2",data_lineitems!$F$3:$F$1567,"2 Gen capital recovery")</f>
        <v/>
      </c>
      <c r="R84" s="77">
        <f>SUMIFS(data_lineitems!$I$3:$I$1567,data_lineitems!$A$3:$A$1567,"DE",data_lineitems!$B$3:$B$1567,2023,data_lineitems!$C$3:$C$1567,"medium",data_lineitems!$D$3:$D$1567,"E2",data_lineitems!$F$3:$F$1567,"2 Gen capital recovery")</f>
        <v/>
      </c>
      <c r="S84" s="77">
        <f>SUMIFS(data_lineitems!$I$3:$I$1567,data_lineitems!$A$3:$A$1567,"DE",data_lineitems!$B$3:$B$1567,2024,data_lineitems!$C$3:$C$1567,"medium",data_lineitems!$D$3:$D$1567,"E2",data_lineitems!$F$3:$F$1567,"2 Gen capital recovery")</f>
        <v/>
      </c>
      <c r="T84" s="77">
        <f>SUMIFS(data_lineitems!$I$3:$I$1567,data_lineitems!$A$3:$A$1567,"DE",data_lineitems!$B$3:$B$1567,2025,data_lineitems!$C$3:$C$1567,"medium",data_lineitems!$D$3:$D$1567,"E2",data_lineitems!$F$3:$F$1567,"2 Gen capital recovery")</f>
        <v/>
      </c>
    </row>
    <row r="85" ht="15" customHeight="1" s="78">
      <c r="A85" s="77" t="inlineStr">
        <is>
          <t>DE</t>
        </is>
      </c>
      <c r="B85" s="77" t="inlineStr">
        <is>
          <t>medium</t>
        </is>
      </c>
      <c r="C85" s="77" t="inlineStr">
        <is>
          <t>E2</t>
        </is>
      </c>
      <c r="D85" s="77" t="inlineStr">
        <is>
          <t>3 Network</t>
        </is>
      </c>
      <c r="E85" s="77">
        <f>SUMIFS(data_lineitems!$I$3:$I$1567,data_lineitems!$A$3:$A$1567,"DE",data_lineitems!$B$3:$B$1567,2010,data_lineitems!$C$3:$C$1567,"medium",data_lineitems!$D$3:$D$1567,"E2",data_lineitems!$F$3:$F$1567,"3 Network")</f>
        <v/>
      </c>
      <c r="F85" s="77">
        <f>SUMIFS(data_lineitems!$I$3:$I$1567,data_lineitems!$A$3:$A$1567,"DE",data_lineitems!$B$3:$B$1567,2011,data_lineitems!$C$3:$C$1567,"medium",data_lineitems!$D$3:$D$1567,"E2",data_lineitems!$F$3:$F$1567,"3 Network")</f>
        <v/>
      </c>
      <c r="G85" s="77">
        <f>SUMIFS(data_lineitems!$I$3:$I$1567,data_lineitems!$A$3:$A$1567,"DE",data_lineitems!$B$3:$B$1567,2012,data_lineitems!$C$3:$C$1567,"medium",data_lineitems!$D$3:$D$1567,"E2",data_lineitems!$F$3:$F$1567,"3 Network")</f>
        <v/>
      </c>
      <c r="H85" s="77">
        <f>SUMIFS(data_lineitems!$I$3:$I$1567,data_lineitems!$A$3:$A$1567,"DE",data_lineitems!$B$3:$B$1567,2013,data_lineitems!$C$3:$C$1567,"medium",data_lineitems!$D$3:$D$1567,"E2",data_lineitems!$F$3:$F$1567,"3 Network")</f>
        <v/>
      </c>
      <c r="I85" s="77">
        <f>SUMIFS(data_lineitems!$I$3:$I$1567,data_lineitems!$A$3:$A$1567,"DE",data_lineitems!$B$3:$B$1567,2014,data_lineitems!$C$3:$C$1567,"medium",data_lineitems!$D$3:$D$1567,"E2",data_lineitems!$F$3:$F$1567,"3 Network")</f>
        <v/>
      </c>
      <c r="J85" s="77">
        <f>SUMIFS(data_lineitems!$I$3:$I$1567,data_lineitems!$A$3:$A$1567,"DE",data_lineitems!$B$3:$B$1567,2015,data_lineitems!$C$3:$C$1567,"medium",data_lineitems!$D$3:$D$1567,"E2",data_lineitems!$F$3:$F$1567,"3 Network")</f>
        <v/>
      </c>
      <c r="K85" s="77">
        <f>SUMIFS(data_lineitems!$I$3:$I$1567,data_lineitems!$A$3:$A$1567,"DE",data_lineitems!$B$3:$B$1567,2016,data_lineitems!$C$3:$C$1567,"medium",data_lineitems!$D$3:$D$1567,"E2",data_lineitems!$F$3:$F$1567,"3 Network")</f>
        <v/>
      </c>
      <c r="L85" s="77">
        <f>SUMIFS(data_lineitems!$I$3:$I$1567,data_lineitems!$A$3:$A$1567,"DE",data_lineitems!$B$3:$B$1567,2017,data_lineitems!$C$3:$C$1567,"medium",data_lineitems!$D$3:$D$1567,"E2",data_lineitems!$F$3:$F$1567,"3 Network")</f>
        <v/>
      </c>
      <c r="M85" s="77">
        <f>SUMIFS(data_lineitems!$I$3:$I$1567,data_lineitems!$A$3:$A$1567,"DE",data_lineitems!$B$3:$B$1567,2018,data_lineitems!$C$3:$C$1567,"medium",data_lineitems!$D$3:$D$1567,"E2",data_lineitems!$F$3:$F$1567,"3 Network")</f>
        <v/>
      </c>
      <c r="N85" s="77">
        <f>SUMIFS(data_lineitems!$I$3:$I$1567,data_lineitems!$A$3:$A$1567,"DE",data_lineitems!$B$3:$B$1567,2019,data_lineitems!$C$3:$C$1567,"medium",data_lineitems!$D$3:$D$1567,"E2",data_lineitems!$F$3:$F$1567,"3 Network")</f>
        <v/>
      </c>
      <c r="O85" s="77">
        <f>SUMIFS(data_lineitems!$I$3:$I$1567,data_lineitems!$A$3:$A$1567,"DE",data_lineitems!$B$3:$B$1567,2020,data_lineitems!$C$3:$C$1567,"medium",data_lineitems!$D$3:$D$1567,"E2",data_lineitems!$F$3:$F$1567,"3 Network")</f>
        <v/>
      </c>
      <c r="P85" s="77">
        <f>SUMIFS(data_lineitems!$I$3:$I$1567,data_lineitems!$A$3:$A$1567,"DE",data_lineitems!$B$3:$B$1567,2021,data_lineitems!$C$3:$C$1567,"medium",data_lineitems!$D$3:$D$1567,"E2",data_lineitems!$F$3:$F$1567,"3 Network")</f>
        <v/>
      </c>
      <c r="Q85" s="77">
        <f>SUMIFS(data_lineitems!$I$3:$I$1567,data_lineitems!$A$3:$A$1567,"DE",data_lineitems!$B$3:$B$1567,2022,data_lineitems!$C$3:$C$1567,"medium",data_lineitems!$D$3:$D$1567,"E2",data_lineitems!$F$3:$F$1567,"3 Network")</f>
        <v/>
      </c>
      <c r="R85" s="77">
        <f>SUMIFS(data_lineitems!$I$3:$I$1567,data_lineitems!$A$3:$A$1567,"DE",data_lineitems!$B$3:$B$1567,2023,data_lineitems!$C$3:$C$1567,"medium",data_lineitems!$D$3:$D$1567,"E2",data_lineitems!$F$3:$F$1567,"3 Network")</f>
        <v/>
      </c>
      <c r="S85" s="77">
        <f>SUMIFS(data_lineitems!$I$3:$I$1567,data_lineitems!$A$3:$A$1567,"DE",data_lineitems!$B$3:$B$1567,2024,data_lineitems!$C$3:$C$1567,"medium",data_lineitems!$D$3:$D$1567,"E2",data_lineitems!$F$3:$F$1567,"3 Network")</f>
        <v/>
      </c>
      <c r="T85" s="77">
        <f>SUMIFS(data_lineitems!$I$3:$I$1567,data_lineitems!$A$3:$A$1567,"DE",data_lineitems!$B$3:$B$1567,2025,data_lineitems!$C$3:$C$1567,"medium",data_lineitems!$D$3:$D$1567,"E2",data_lineitems!$F$3:$F$1567,"3 Network")</f>
        <v/>
      </c>
    </row>
    <row r="86" ht="15" customHeight="1" s="78">
      <c r="A86" s="77" t="inlineStr">
        <is>
          <t>DE</t>
        </is>
      </c>
      <c r="B86" s="77" t="inlineStr">
        <is>
          <t>medium</t>
        </is>
      </c>
      <c r="C86" s="77" t="inlineStr">
        <is>
          <t>E2</t>
        </is>
      </c>
      <c r="D86" s="77" t="inlineStr">
        <is>
          <t>4 System services &amp; balancing</t>
        </is>
      </c>
      <c r="E86" s="77">
        <f>SUMIFS(data_lineitems!$I$3:$I$1567,data_lineitems!$A$3:$A$1567,"DE",data_lineitems!$B$3:$B$1567,2010,data_lineitems!$C$3:$C$1567,"medium",data_lineitems!$D$3:$D$1567,"E2",data_lineitems!$F$3:$F$1567,"4 System services &amp; balancing")</f>
        <v/>
      </c>
      <c r="F86" s="77">
        <f>SUMIFS(data_lineitems!$I$3:$I$1567,data_lineitems!$A$3:$A$1567,"DE",data_lineitems!$B$3:$B$1567,2011,data_lineitems!$C$3:$C$1567,"medium",data_lineitems!$D$3:$D$1567,"E2",data_lineitems!$F$3:$F$1567,"4 System services &amp; balancing")</f>
        <v/>
      </c>
      <c r="G86" s="77">
        <f>SUMIFS(data_lineitems!$I$3:$I$1567,data_lineitems!$A$3:$A$1567,"DE",data_lineitems!$B$3:$B$1567,2012,data_lineitems!$C$3:$C$1567,"medium",data_lineitems!$D$3:$D$1567,"E2",data_lineitems!$F$3:$F$1567,"4 System services &amp; balancing")</f>
        <v/>
      </c>
      <c r="H86" s="77">
        <f>SUMIFS(data_lineitems!$I$3:$I$1567,data_lineitems!$A$3:$A$1567,"DE",data_lineitems!$B$3:$B$1567,2013,data_lineitems!$C$3:$C$1567,"medium",data_lineitems!$D$3:$D$1567,"E2",data_lineitems!$F$3:$F$1567,"4 System services &amp; balancing")</f>
        <v/>
      </c>
      <c r="I86" s="77">
        <f>SUMIFS(data_lineitems!$I$3:$I$1567,data_lineitems!$A$3:$A$1567,"DE",data_lineitems!$B$3:$B$1567,2014,data_lineitems!$C$3:$C$1567,"medium",data_lineitems!$D$3:$D$1567,"E2",data_lineitems!$F$3:$F$1567,"4 System services &amp; balancing")</f>
        <v/>
      </c>
      <c r="J86" s="77">
        <f>SUMIFS(data_lineitems!$I$3:$I$1567,data_lineitems!$A$3:$A$1567,"DE",data_lineitems!$B$3:$B$1567,2015,data_lineitems!$C$3:$C$1567,"medium",data_lineitems!$D$3:$D$1567,"E2",data_lineitems!$F$3:$F$1567,"4 System services &amp; balancing")</f>
        <v/>
      </c>
      <c r="K86" s="77">
        <f>SUMIFS(data_lineitems!$I$3:$I$1567,data_lineitems!$A$3:$A$1567,"DE",data_lineitems!$B$3:$B$1567,2016,data_lineitems!$C$3:$C$1567,"medium",data_lineitems!$D$3:$D$1567,"E2",data_lineitems!$F$3:$F$1567,"4 System services &amp; balancing")</f>
        <v/>
      </c>
      <c r="L86" s="77">
        <f>SUMIFS(data_lineitems!$I$3:$I$1567,data_lineitems!$A$3:$A$1567,"DE",data_lineitems!$B$3:$B$1567,2017,data_lineitems!$C$3:$C$1567,"medium",data_lineitems!$D$3:$D$1567,"E2",data_lineitems!$F$3:$F$1567,"4 System services &amp; balancing")</f>
        <v/>
      </c>
      <c r="M86" s="77">
        <f>SUMIFS(data_lineitems!$I$3:$I$1567,data_lineitems!$A$3:$A$1567,"DE",data_lineitems!$B$3:$B$1567,2018,data_lineitems!$C$3:$C$1567,"medium",data_lineitems!$D$3:$D$1567,"E2",data_lineitems!$F$3:$F$1567,"4 System services &amp; balancing")</f>
        <v/>
      </c>
      <c r="N86" s="77">
        <f>SUMIFS(data_lineitems!$I$3:$I$1567,data_lineitems!$A$3:$A$1567,"DE",data_lineitems!$B$3:$B$1567,2019,data_lineitems!$C$3:$C$1567,"medium",data_lineitems!$D$3:$D$1567,"E2",data_lineitems!$F$3:$F$1567,"4 System services &amp; balancing")</f>
        <v/>
      </c>
      <c r="O86" s="77">
        <f>SUMIFS(data_lineitems!$I$3:$I$1567,data_lineitems!$A$3:$A$1567,"DE",data_lineitems!$B$3:$B$1567,2020,data_lineitems!$C$3:$C$1567,"medium",data_lineitems!$D$3:$D$1567,"E2",data_lineitems!$F$3:$F$1567,"4 System services &amp; balancing")</f>
        <v/>
      </c>
      <c r="P86" s="77">
        <f>SUMIFS(data_lineitems!$I$3:$I$1567,data_lineitems!$A$3:$A$1567,"DE",data_lineitems!$B$3:$B$1567,2021,data_lineitems!$C$3:$C$1567,"medium",data_lineitems!$D$3:$D$1567,"E2",data_lineitems!$F$3:$F$1567,"4 System services &amp; balancing")</f>
        <v/>
      </c>
      <c r="Q86" s="77">
        <f>SUMIFS(data_lineitems!$I$3:$I$1567,data_lineitems!$A$3:$A$1567,"DE",data_lineitems!$B$3:$B$1567,2022,data_lineitems!$C$3:$C$1567,"medium",data_lineitems!$D$3:$D$1567,"E2",data_lineitems!$F$3:$F$1567,"4 System services &amp; balancing")</f>
        <v/>
      </c>
      <c r="R86" s="77">
        <f>SUMIFS(data_lineitems!$I$3:$I$1567,data_lineitems!$A$3:$A$1567,"DE",data_lineitems!$B$3:$B$1567,2023,data_lineitems!$C$3:$C$1567,"medium",data_lineitems!$D$3:$D$1567,"E2",data_lineitems!$F$3:$F$1567,"4 System services &amp; balancing")</f>
        <v/>
      </c>
      <c r="S86" s="77">
        <f>SUMIFS(data_lineitems!$I$3:$I$1567,data_lineitems!$A$3:$A$1567,"DE",data_lineitems!$B$3:$B$1567,2024,data_lineitems!$C$3:$C$1567,"medium",data_lineitems!$D$3:$D$1567,"E2",data_lineitems!$F$3:$F$1567,"4 System services &amp; balancing")</f>
        <v/>
      </c>
      <c r="T86" s="77">
        <f>SUMIFS(data_lineitems!$I$3:$I$1567,data_lineitems!$A$3:$A$1567,"DE",data_lineitems!$B$3:$B$1567,2025,data_lineitems!$C$3:$C$1567,"medium",data_lineitems!$D$3:$D$1567,"E2",data_lineitems!$F$3:$F$1567,"4 System services &amp; balancing")</f>
        <v/>
      </c>
    </row>
    <row r="87" ht="15" customHeight="1" s="78">
      <c r="A87" s="77" t="inlineStr">
        <is>
          <t>DE</t>
        </is>
      </c>
      <c r="B87" s="77" t="inlineStr">
        <is>
          <t>medium</t>
        </is>
      </c>
      <c r="C87" s="77" t="inlineStr">
        <is>
          <t>E2</t>
        </is>
      </c>
      <c r="D87" s="77" t="inlineStr">
        <is>
          <t>5 General taxation &amp; levies</t>
        </is>
      </c>
      <c r="E87" s="77">
        <f>SUMIFS(data_lineitems!$I$3:$I$1567,data_lineitems!$A$3:$A$1567,"DE",data_lineitems!$B$3:$B$1567,2010,data_lineitems!$C$3:$C$1567,"medium",data_lineitems!$D$3:$D$1567,"E2",data_lineitems!$F$3:$F$1567,"5 General taxation &amp; levies")</f>
        <v/>
      </c>
      <c r="F87" s="77">
        <f>SUMIFS(data_lineitems!$I$3:$I$1567,data_lineitems!$A$3:$A$1567,"DE",data_lineitems!$B$3:$B$1567,2011,data_lineitems!$C$3:$C$1567,"medium",data_lineitems!$D$3:$D$1567,"E2",data_lineitems!$F$3:$F$1567,"5 General taxation &amp; levies")</f>
        <v/>
      </c>
      <c r="G87" s="77">
        <f>SUMIFS(data_lineitems!$I$3:$I$1567,data_lineitems!$A$3:$A$1567,"DE",data_lineitems!$B$3:$B$1567,2012,data_lineitems!$C$3:$C$1567,"medium",data_lineitems!$D$3:$D$1567,"E2",data_lineitems!$F$3:$F$1567,"5 General taxation &amp; levies")</f>
        <v/>
      </c>
      <c r="H87" s="77">
        <f>SUMIFS(data_lineitems!$I$3:$I$1567,data_lineitems!$A$3:$A$1567,"DE",data_lineitems!$B$3:$B$1567,2013,data_lineitems!$C$3:$C$1567,"medium",data_lineitems!$D$3:$D$1567,"E2",data_lineitems!$F$3:$F$1567,"5 General taxation &amp; levies")</f>
        <v/>
      </c>
      <c r="I87" s="77">
        <f>SUMIFS(data_lineitems!$I$3:$I$1567,data_lineitems!$A$3:$A$1567,"DE",data_lineitems!$B$3:$B$1567,2014,data_lineitems!$C$3:$C$1567,"medium",data_lineitems!$D$3:$D$1567,"E2",data_lineitems!$F$3:$F$1567,"5 General taxation &amp; levies")</f>
        <v/>
      </c>
      <c r="J87" s="77">
        <f>SUMIFS(data_lineitems!$I$3:$I$1567,data_lineitems!$A$3:$A$1567,"DE",data_lineitems!$B$3:$B$1567,2015,data_lineitems!$C$3:$C$1567,"medium",data_lineitems!$D$3:$D$1567,"E2",data_lineitems!$F$3:$F$1567,"5 General taxation &amp; levies")</f>
        <v/>
      </c>
      <c r="K87" s="77">
        <f>SUMIFS(data_lineitems!$I$3:$I$1567,data_lineitems!$A$3:$A$1567,"DE",data_lineitems!$B$3:$B$1567,2016,data_lineitems!$C$3:$C$1567,"medium",data_lineitems!$D$3:$D$1567,"E2",data_lineitems!$F$3:$F$1567,"5 General taxation &amp; levies")</f>
        <v/>
      </c>
      <c r="L87" s="77">
        <f>SUMIFS(data_lineitems!$I$3:$I$1567,data_lineitems!$A$3:$A$1567,"DE",data_lineitems!$B$3:$B$1567,2017,data_lineitems!$C$3:$C$1567,"medium",data_lineitems!$D$3:$D$1567,"E2",data_lineitems!$F$3:$F$1567,"5 General taxation &amp; levies")</f>
        <v/>
      </c>
      <c r="M87" s="77">
        <f>SUMIFS(data_lineitems!$I$3:$I$1567,data_lineitems!$A$3:$A$1567,"DE",data_lineitems!$B$3:$B$1567,2018,data_lineitems!$C$3:$C$1567,"medium",data_lineitems!$D$3:$D$1567,"E2",data_lineitems!$F$3:$F$1567,"5 General taxation &amp; levies")</f>
        <v/>
      </c>
      <c r="N87" s="77">
        <f>SUMIFS(data_lineitems!$I$3:$I$1567,data_lineitems!$A$3:$A$1567,"DE",data_lineitems!$B$3:$B$1567,2019,data_lineitems!$C$3:$C$1567,"medium",data_lineitems!$D$3:$D$1567,"E2",data_lineitems!$F$3:$F$1567,"5 General taxation &amp; levies")</f>
        <v/>
      </c>
      <c r="O87" s="77">
        <f>SUMIFS(data_lineitems!$I$3:$I$1567,data_lineitems!$A$3:$A$1567,"DE",data_lineitems!$B$3:$B$1567,2020,data_lineitems!$C$3:$C$1567,"medium",data_lineitems!$D$3:$D$1567,"E2",data_lineitems!$F$3:$F$1567,"5 General taxation &amp; levies")</f>
        <v/>
      </c>
      <c r="P87" s="77">
        <f>SUMIFS(data_lineitems!$I$3:$I$1567,data_lineitems!$A$3:$A$1567,"DE",data_lineitems!$B$3:$B$1567,2021,data_lineitems!$C$3:$C$1567,"medium",data_lineitems!$D$3:$D$1567,"E2",data_lineitems!$F$3:$F$1567,"5 General taxation &amp; levies")</f>
        <v/>
      </c>
      <c r="Q87" s="77">
        <f>SUMIFS(data_lineitems!$I$3:$I$1567,data_lineitems!$A$3:$A$1567,"DE",data_lineitems!$B$3:$B$1567,2022,data_lineitems!$C$3:$C$1567,"medium",data_lineitems!$D$3:$D$1567,"E2",data_lineitems!$F$3:$F$1567,"5 General taxation &amp; levies")</f>
        <v/>
      </c>
      <c r="R87" s="77">
        <f>SUMIFS(data_lineitems!$I$3:$I$1567,data_lineitems!$A$3:$A$1567,"DE",data_lineitems!$B$3:$B$1567,2023,data_lineitems!$C$3:$C$1567,"medium",data_lineitems!$D$3:$D$1567,"E2",data_lineitems!$F$3:$F$1567,"5 General taxation &amp; levies")</f>
        <v/>
      </c>
      <c r="S87" s="77">
        <f>SUMIFS(data_lineitems!$I$3:$I$1567,data_lineitems!$A$3:$A$1567,"DE",data_lineitems!$B$3:$B$1567,2024,data_lineitems!$C$3:$C$1567,"medium",data_lineitems!$D$3:$D$1567,"E2",data_lineitems!$F$3:$F$1567,"5 General taxation &amp; levies")</f>
        <v/>
      </c>
      <c r="T87" s="77">
        <f>SUMIFS(data_lineitems!$I$3:$I$1567,data_lineitems!$A$3:$A$1567,"DE",data_lineitems!$B$3:$B$1567,2025,data_lineitems!$C$3:$C$1567,"medium",data_lineitems!$D$3:$D$1567,"E2",data_lineitems!$F$3:$F$1567,"5 General taxation &amp; levies")</f>
        <v/>
      </c>
    </row>
    <row r="88" ht="15" customHeight="1" s="78">
      <c r="A88" s="77" t="inlineStr">
        <is>
          <t>DE</t>
        </is>
      </c>
      <c r="B88" s="77" t="inlineStr">
        <is>
          <t>medium</t>
        </is>
      </c>
      <c r="C88" s="77" t="inlineStr">
        <is>
          <t>E2</t>
        </is>
      </c>
      <c r="D88" s="77" t="inlineStr">
        <is>
          <t>TOTAL modelled (sum buckets)</t>
        </is>
      </c>
      <c r="E88" s="77">
        <f>SUM(E83:E87)</f>
        <v/>
      </c>
      <c r="F88" s="77">
        <f>SUM(F83:F87)</f>
        <v/>
      </c>
      <c r="G88" s="77">
        <f>SUM(G83:G87)</f>
        <v/>
      </c>
      <c r="H88" s="77">
        <f>SUM(H83:H87)</f>
        <v/>
      </c>
      <c r="I88" s="77">
        <f>SUM(I83:I87)</f>
        <v/>
      </c>
      <c r="J88" s="77">
        <f>SUM(J83:J87)</f>
        <v/>
      </c>
      <c r="K88" s="77">
        <f>SUM(K83:K87)</f>
        <v/>
      </c>
      <c r="L88" s="77">
        <f>SUM(L83:L87)</f>
        <v/>
      </c>
      <c r="M88" s="77">
        <f>SUM(M83:M87)</f>
        <v/>
      </c>
      <c r="N88" s="77">
        <f>SUM(N83:N87)</f>
        <v/>
      </c>
      <c r="O88" s="77">
        <f>SUM(O83:O87)</f>
        <v/>
      </c>
      <c r="P88" s="77">
        <f>SUM(P83:P87)</f>
        <v/>
      </c>
      <c r="Q88" s="77">
        <f>SUM(Q83:Q87)</f>
        <v/>
      </c>
      <c r="R88" s="77">
        <f>SUM(R83:R87)</f>
        <v/>
      </c>
      <c r="S88" s="77">
        <f>SUM(S83:S87)</f>
        <v/>
      </c>
      <c r="T88" s="77">
        <f>SUM(T83:T87)</f>
        <v/>
      </c>
    </row>
    <row r="89" ht="15" customHeight="1" s="78">
      <c r="A89" s="77" t="inlineStr">
        <is>
          <t>DE</t>
        </is>
      </c>
      <c r="B89" s="77" t="inlineStr">
        <is>
          <t>medium</t>
        </is>
      </c>
      <c r="C89" s="77" t="inlineStr">
        <is>
          <t>E2</t>
        </is>
      </c>
      <c r="D89" s="77" t="inlineStr">
        <is>
          <t>REFERENCE — timeseries USD r85</t>
        </is>
      </c>
      <c r="E89" s="77">
        <f>IF(ISNUMBER(timeseries!D85),timeseries!D85,"")</f>
        <v/>
      </c>
      <c r="F89" s="77">
        <f>IF(ISNUMBER(timeseries!E85),timeseries!E85,"")</f>
        <v/>
      </c>
      <c r="G89" s="136">
        <f>IF(ISNUMBER(timeseries!F85),timeseries!F85,"")</f>
        <v/>
      </c>
      <c r="H89" s="136">
        <f>IF(ISNUMBER(timeseries!G85),timeseries!G85,"")</f>
        <v/>
      </c>
      <c r="I89" s="136">
        <f>IF(ISNUMBER(timeseries!H85),timeseries!H85,"")</f>
        <v/>
      </c>
      <c r="J89" s="136">
        <f>IF(ISNUMBER(timeseries!I85),timeseries!I85,"")</f>
        <v/>
      </c>
      <c r="K89" s="136">
        <f>IF(ISNUMBER(timeseries!J85),timeseries!J85,"")</f>
        <v/>
      </c>
      <c r="L89" s="136">
        <f>IF(ISNUMBER(timeseries!K85),timeseries!K85,"")</f>
        <v/>
      </c>
      <c r="M89" s="136">
        <f>IF(ISNUMBER(timeseries!L85),timeseries!L85,"")</f>
        <v/>
      </c>
      <c r="N89" s="136">
        <f>IF(ISNUMBER(timeseries!M85),timeseries!M85,"")</f>
        <v/>
      </c>
      <c r="O89" s="136">
        <f>IF(ISNUMBER(timeseries!N85),timeseries!N85,"")</f>
        <v/>
      </c>
      <c r="P89" s="136">
        <f>IF(ISNUMBER(timeseries!O85),timeseries!O85,"")</f>
        <v/>
      </c>
      <c r="Q89" s="136">
        <f>IF(ISNUMBER(timeseries!P85),timeseries!P85,"")</f>
        <v/>
      </c>
      <c r="R89" s="136">
        <f>IF(ISNUMBER(timeseries!Q85),timeseries!Q85,"")</f>
        <v/>
      </c>
      <c r="S89" s="136">
        <f>IF(ISNUMBER(timeseries!R85),timeseries!R85,"")</f>
        <v/>
      </c>
      <c r="T89" s="136">
        <f>IF(ISNUMBER(timeseries!S85),timeseries!S85,"")</f>
        <v/>
      </c>
    </row>
    <row r="90" ht="15" customHeight="1" s="78">
      <c r="A90" s="77" t="inlineStr">
        <is>
          <t>DE</t>
        </is>
      </c>
      <c r="B90" s="77" t="inlineStr">
        <is>
          <t>medium</t>
        </is>
      </c>
      <c r="C90" s="77" t="inlineStr">
        <is>
          <t>E2</t>
        </is>
      </c>
      <c r="D90" s="77" t="inlineStr">
        <is>
          <t>RECONCILIATION (total/ref - 1)</t>
        </is>
      </c>
      <c r="E90" s="77">
        <f>IF(AND(ISNUMBER(E89),E89&lt;&gt;0,ISNUMBER(E88)),E88/E89-1,"n/a")</f>
        <v/>
      </c>
      <c r="F90" s="77">
        <f>IF(AND(ISNUMBER(F89),F89&lt;&gt;0,ISNUMBER(F88)),F88/F89-1,"n/a")</f>
        <v/>
      </c>
      <c r="G90" s="77">
        <f>IF(AND(ISNUMBER(G89),G89&lt;&gt;0,ISNUMBER(G88)),G88/G89-1,"n/a")</f>
        <v/>
      </c>
      <c r="H90" s="77">
        <f>IF(AND(ISNUMBER(H89),H89&lt;&gt;0,ISNUMBER(H88)),H88/H89-1,"n/a")</f>
        <v/>
      </c>
      <c r="I90" s="77">
        <f>IF(AND(ISNUMBER(I89),I89&lt;&gt;0,ISNUMBER(I88)),I88/I89-1,"n/a")</f>
        <v/>
      </c>
      <c r="J90" s="77">
        <f>IF(AND(ISNUMBER(J89),J89&lt;&gt;0,ISNUMBER(J88)),J88/J89-1,"n/a")</f>
        <v/>
      </c>
      <c r="K90" s="77">
        <f>IF(AND(ISNUMBER(K89),K89&lt;&gt;0,ISNUMBER(K88)),K88/K89-1,"n/a")</f>
        <v/>
      </c>
      <c r="L90" s="77">
        <f>IF(AND(ISNUMBER(L89),L89&lt;&gt;0,ISNUMBER(L88)),L88/L89-1,"n/a")</f>
        <v/>
      </c>
      <c r="M90" s="77">
        <f>IF(AND(ISNUMBER(M89),M89&lt;&gt;0,ISNUMBER(M88)),M88/M89-1,"n/a")</f>
        <v/>
      </c>
      <c r="N90" s="77">
        <f>IF(AND(ISNUMBER(N89),N89&lt;&gt;0,ISNUMBER(N88)),N88/N89-1,"n/a")</f>
        <v/>
      </c>
      <c r="O90" s="77">
        <f>IF(AND(ISNUMBER(O89),O89&lt;&gt;0,ISNUMBER(O88)),O88/O89-1,"n/a")</f>
        <v/>
      </c>
      <c r="P90" s="77">
        <f>IF(AND(ISNUMBER(P89),P89&lt;&gt;0,ISNUMBER(P88)),P88/P89-1,"n/a")</f>
        <v/>
      </c>
      <c r="Q90" s="77">
        <f>IF(AND(ISNUMBER(Q89),Q89&lt;&gt;0,ISNUMBER(Q88)),Q88/Q89-1,"n/a")</f>
        <v/>
      </c>
      <c r="R90" s="77">
        <f>IF(AND(ISNUMBER(R89),R89&lt;&gt;0,ISNUMBER(R88)),R88/R89-1,"n/a")</f>
        <v/>
      </c>
      <c r="S90" s="77">
        <f>IF(AND(ISNUMBER(S89),S89&lt;&gt;0,ISNUMBER(S88)),S88/S89-1,"n/a")</f>
        <v/>
      </c>
      <c r="T90" s="77">
        <f>IF(AND(ISNUMBER(T89),T89&lt;&gt;0,ISNUMBER(T88)),T88/T89-1,"n/a")</f>
        <v/>
      </c>
    </row>
    <row r="91" ht="15" customHeight="1" s="78">
      <c r="A91" s="77" t="inlineStr">
        <is>
          <t>DE</t>
        </is>
      </c>
      <c r="B91" s="77" t="inlineStr">
        <is>
          <t>medium</t>
        </is>
      </c>
      <c r="C91" s="77" t="inlineStr">
        <is>
          <t>E2</t>
        </is>
      </c>
      <c r="D91" s="77" t="inlineStr">
        <is>
          <t>GATE +/-2 pct</t>
        </is>
      </c>
      <c r="E91" s="77">
        <f>IF(ISNUMBER(E90),IF(ABS(E90)&lt;=0.02,"PASS","FAIL"),"n/a")</f>
        <v/>
      </c>
      <c r="F91" s="77">
        <f>IF(ISNUMBER(F90),IF(ABS(F90)&lt;=0.02,"PASS","FAIL"),"n/a")</f>
        <v/>
      </c>
      <c r="G91" s="77">
        <f>IF(ISNUMBER(G90),IF(ABS(G90)&lt;=0.02,"PASS","FAIL"),"n/a")</f>
        <v/>
      </c>
      <c r="H91" s="77">
        <f>IF(ISNUMBER(H90),IF(ABS(H90)&lt;=0.02,"PASS","FAIL"),"n/a")</f>
        <v/>
      </c>
      <c r="I91" s="77">
        <f>IF(ISNUMBER(I90),IF(ABS(I90)&lt;=0.02,"PASS","FAIL"),"n/a")</f>
        <v/>
      </c>
      <c r="J91" s="77">
        <f>IF(ISNUMBER(J90),IF(ABS(J90)&lt;=0.02,"PASS","FAIL"),"n/a")</f>
        <v/>
      </c>
      <c r="K91" s="77">
        <f>IF(ISNUMBER(K90),IF(ABS(K90)&lt;=0.02,"PASS","FAIL"),"n/a")</f>
        <v/>
      </c>
      <c r="L91" s="77">
        <f>IF(ISNUMBER(L90),IF(ABS(L90)&lt;=0.02,"PASS","FAIL"),"n/a")</f>
        <v/>
      </c>
      <c r="M91" s="77">
        <f>IF(ISNUMBER(M90),IF(ABS(M90)&lt;=0.02,"PASS","FAIL"),"n/a")</f>
        <v/>
      </c>
      <c r="N91" s="77">
        <f>IF(ISNUMBER(N90),IF(ABS(N90)&lt;=0.02,"PASS","FAIL"),"n/a")</f>
        <v/>
      </c>
      <c r="O91" s="77">
        <f>IF(ISNUMBER(O90),IF(ABS(O90)&lt;=0.02,"PASS","FAIL"),"n/a")</f>
        <v/>
      </c>
      <c r="P91" s="77">
        <f>IF(ISNUMBER(P90),IF(ABS(P90)&lt;=0.02,"PASS","FAIL"),"n/a")</f>
        <v/>
      </c>
      <c r="Q91" s="77">
        <f>IF(ISNUMBER(Q90),IF(ABS(Q90)&lt;=0.02,"PASS","FAIL"),"n/a")</f>
        <v/>
      </c>
      <c r="R91" s="77">
        <f>IF(ISNUMBER(R90),IF(ABS(R90)&lt;=0.02,"PASS","FAIL"),"n/a")</f>
        <v/>
      </c>
      <c r="S91" s="77">
        <f>IF(ISNUMBER(S90),IF(ABS(S90)&lt;=0.02,"PASS","FAIL"),"n/a")</f>
        <v/>
      </c>
      <c r="T91" s="77">
        <f>IF(ISNUMBER(T90),IF(ABS(T90)&lt;=0.02,"PASS","FAIL"),"n/a")</f>
        <v/>
      </c>
    </row>
    <row r="93" ht="15" customHeight="1" s="78">
      <c r="A93" s="77" t="inlineStr">
        <is>
          <t>CN</t>
        </is>
      </c>
      <c r="B93" s="77" t="inlineStr">
        <is>
          <t>large</t>
        </is>
      </c>
      <c r="C93" s="77" t="inlineStr">
        <is>
          <t>E1=E2</t>
        </is>
      </c>
      <c r="D93" s="77" t="inlineStr">
        <is>
          <t>leg header</t>
        </is>
      </c>
    </row>
    <row r="94" ht="15" customHeight="1" s="78">
      <c r="A94" s="77" t="inlineStr">
        <is>
          <t>CN</t>
        </is>
      </c>
      <c r="B94" s="77" t="inlineStr">
        <is>
          <t>large</t>
        </is>
      </c>
      <c r="C94" s="77" t="inlineStr">
        <is>
          <t>E1=E2</t>
        </is>
      </c>
      <c r="D94" s="77" t="inlineStr">
        <is>
          <t>1-4 bundled (CN catalogue)</t>
        </is>
      </c>
      <c r="E94" s="77">
        <f>SUMIFS(data_lineitems!$I$3:$I$1567,data_lineitems!$A$3:$A$1567,"CN",data_lineitems!$B$3:$B$1567,2010,data_lineitems!$C$3:$C$1567,"large",data_lineitems!$D$3:$D$1567,"E1=E2",data_lineitems!$F$3:$F$1567,"1-4 bundled (CN catalogue)")</f>
        <v/>
      </c>
      <c r="F94" s="77">
        <f>SUMIFS(data_lineitems!$I$3:$I$1567,data_lineitems!$A$3:$A$1567,"CN",data_lineitems!$B$3:$B$1567,2011,data_lineitems!$C$3:$C$1567,"large",data_lineitems!$D$3:$D$1567,"E1=E2",data_lineitems!$F$3:$F$1567,"1-4 bundled (CN catalogue)")</f>
        <v/>
      </c>
      <c r="G94" s="77">
        <f>SUMIFS(data_lineitems!$I$3:$I$1567,data_lineitems!$A$3:$A$1567,"CN",data_lineitems!$B$3:$B$1567,2012,data_lineitems!$C$3:$C$1567,"large",data_lineitems!$D$3:$D$1567,"E1=E2",data_lineitems!$F$3:$F$1567,"1-4 bundled (CN catalogue)")</f>
        <v/>
      </c>
      <c r="H94" s="77">
        <f>SUMIFS(data_lineitems!$I$3:$I$1567,data_lineitems!$A$3:$A$1567,"CN",data_lineitems!$B$3:$B$1567,2013,data_lineitems!$C$3:$C$1567,"large",data_lineitems!$D$3:$D$1567,"E1=E2",data_lineitems!$F$3:$F$1567,"1-4 bundled (CN catalogue)")</f>
        <v/>
      </c>
      <c r="I94" s="77">
        <f>SUMIFS(data_lineitems!$I$3:$I$1567,data_lineitems!$A$3:$A$1567,"CN",data_lineitems!$B$3:$B$1567,2014,data_lineitems!$C$3:$C$1567,"large",data_lineitems!$D$3:$D$1567,"E1=E2",data_lineitems!$F$3:$F$1567,"1-4 bundled (CN catalogue)")</f>
        <v/>
      </c>
      <c r="J94" s="77">
        <f>SUMIFS(data_lineitems!$I$3:$I$1567,data_lineitems!$A$3:$A$1567,"CN",data_lineitems!$B$3:$B$1567,2015,data_lineitems!$C$3:$C$1567,"large",data_lineitems!$D$3:$D$1567,"E1=E2",data_lineitems!$F$3:$F$1567,"1-4 bundled (CN catalogue)")</f>
        <v/>
      </c>
      <c r="K94" s="77">
        <f>SUMIFS(data_lineitems!$I$3:$I$1567,data_lineitems!$A$3:$A$1567,"CN",data_lineitems!$B$3:$B$1567,2016,data_lineitems!$C$3:$C$1567,"large",data_lineitems!$D$3:$D$1567,"E1=E2",data_lineitems!$F$3:$F$1567,"1-4 bundled (CN catalogue)")</f>
        <v/>
      </c>
      <c r="L94" s="77">
        <f>SUMIFS(data_lineitems!$I$3:$I$1567,data_lineitems!$A$3:$A$1567,"CN",data_lineitems!$B$3:$B$1567,2017,data_lineitems!$C$3:$C$1567,"large",data_lineitems!$D$3:$D$1567,"E1=E2",data_lineitems!$F$3:$F$1567,"1-4 bundled (CN catalogue)")</f>
        <v/>
      </c>
      <c r="M94" s="77">
        <f>SUMIFS(data_lineitems!$I$3:$I$1567,data_lineitems!$A$3:$A$1567,"CN",data_lineitems!$B$3:$B$1567,2018,data_lineitems!$C$3:$C$1567,"large",data_lineitems!$D$3:$D$1567,"E1=E2",data_lineitems!$F$3:$F$1567,"1-4 bundled (CN catalogue)")</f>
        <v/>
      </c>
      <c r="N94" s="77">
        <f>SUMIFS(data_lineitems!$I$3:$I$1567,data_lineitems!$A$3:$A$1567,"CN",data_lineitems!$B$3:$B$1567,2019,data_lineitems!$C$3:$C$1567,"large",data_lineitems!$D$3:$D$1567,"E1=E2",data_lineitems!$F$3:$F$1567,"1-4 bundled (CN catalogue)")</f>
        <v/>
      </c>
      <c r="O94" s="77">
        <f>SUMIFS(data_lineitems!$I$3:$I$1567,data_lineitems!$A$3:$A$1567,"CN",data_lineitems!$B$3:$B$1567,2020,data_lineitems!$C$3:$C$1567,"large",data_lineitems!$D$3:$D$1567,"E1=E2",data_lineitems!$F$3:$F$1567,"1-4 bundled (CN catalogue)")</f>
        <v/>
      </c>
      <c r="P94" s="77">
        <f>SUMIFS(data_lineitems!$I$3:$I$1567,data_lineitems!$A$3:$A$1567,"CN",data_lineitems!$B$3:$B$1567,2021,data_lineitems!$C$3:$C$1567,"large",data_lineitems!$D$3:$D$1567,"E1=E2",data_lineitems!$F$3:$F$1567,"1-4 bundled (CN catalogue)")</f>
        <v/>
      </c>
      <c r="Q94" s="77">
        <f>SUMIFS(data_lineitems!$I$3:$I$1567,data_lineitems!$A$3:$A$1567,"CN",data_lineitems!$B$3:$B$1567,2022,data_lineitems!$C$3:$C$1567,"large",data_lineitems!$D$3:$D$1567,"E1=E2",data_lineitems!$F$3:$F$1567,"1-4 bundled (CN catalogue)")</f>
        <v/>
      </c>
      <c r="R94" s="77">
        <f>SUMIFS(data_lineitems!$I$3:$I$1567,data_lineitems!$A$3:$A$1567,"CN",data_lineitems!$B$3:$B$1567,2023,data_lineitems!$C$3:$C$1567,"large",data_lineitems!$D$3:$D$1567,"E1=E2",data_lineitems!$F$3:$F$1567,"1-4 bundled (CN catalogue)")</f>
        <v/>
      </c>
      <c r="S94" s="77">
        <f>SUMIFS(data_lineitems!$I$3:$I$1567,data_lineitems!$A$3:$A$1567,"CN",data_lineitems!$B$3:$B$1567,2024,data_lineitems!$C$3:$C$1567,"large",data_lineitems!$D$3:$D$1567,"E1=E2",data_lineitems!$F$3:$F$1567,"1-4 bundled (CN catalogue)")</f>
        <v/>
      </c>
      <c r="T94" s="77">
        <f>SUMIFS(data_lineitems!$I$3:$I$1567,data_lineitems!$A$3:$A$1567,"CN",data_lineitems!$B$3:$B$1567,2025,data_lineitems!$C$3:$C$1567,"large",data_lineitems!$D$3:$D$1567,"E1=E2",data_lineitems!$F$3:$F$1567,"1-4 bundled (CN catalogue)")</f>
        <v/>
      </c>
    </row>
    <row r="95" ht="15" customHeight="1" s="78">
      <c r="A95" s="77" t="inlineStr">
        <is>
          <t>CN</t>
        </is>
      </c>
      <c r="B95" s="77" t="inlineStr">
        <is>
          <t>large</t>
        </is>
      </c>
      <c r="C95" s="77" t="inlineStr">
        <is>
          <t>E1=E2</t>
        </is>
      </c>
      <c r="D95" s="77" t="inlineStr">
        <is>
          <t>1 Commodity</t>
        </is>
      </c>
      <c r="E95" s="77">
        <f>SUMIFS(data_lineitems!$I$3:$I$1567,data_lineitems!$A$3:$A$1567,"CN",data_lineitems!$B$3:$B$1567,2010,data_lineitems!$C$3:$C$1567,"large",data_lineitems!$D$3:$D$1567,"E1=E2",data_lineitems!$F$3:$F$1567,"1 Commodity")</f>
        <v/>
      </c>
      <c r="F95" s="77">
        <f>SUMIFS(data_lineitems!$I$3:$I$1567,data_lineitems!$A$3:$A$1567,"CN",data_lineitems!$B$3:$B$1567,2011,data_lineitems!$C$3:$C$1567,"large",data_lineitems!$D$3:$D$1567,"E1=E2",data_lineitems!$F$3:$F$1567,"1 Commodity")</f>
        <v/>
      </c>
      <c r="G95" s="77">
        <f>SUMIFS(data_lineitems!$I$3:$I$1567,data_lineitems!$A$3:$A$1567,"CN",data_lineitems!$B$3:$B$1567,2012,data_lineitems!$C$3:$C$1567,"large",data_lineitems!$D$3:$D$1567,"E1=E2",data_lineitems!$F$3:$F$1567,"1 Commodity")</f>
        <v/>
      </c>
      <c r="H95" s="77">
        <f>SUMIFS(data_lineitems!$I$3:$I$1567,data_lineitems!$A$3:$A$1567,"CN",data_lineitems!$B$3:$B$1567,2013,data_lineitems!$C$3:$C$1567,"large",data_lineitems!$D$3:$D$1567,"E1=E2",data_lineitems!$F$3:$F$1567,"1 Commodity")</f>
        <v/>
      </c>
      <c r="I95" s="77">
        <f>SUMIFS(data_lineitems!$I$3:$I$1567,data_lineitems!$A$3:$A$1567,"CN",data_lineitems!$B$3:$B$1567,2014,data_lineitems!$C$3:$C$1567,"large",data_lineitems!$D$3:$D$1567,"E1=E2",data_lineitems!$F$3:$F$1567,"1 Commodity")</f>
        <v/>
      </c>
      <c r="J95" s="77">
        <f>SUMIFS(data_lineitems!$I$3:$I$1567,data_lineitems!$A$3:$A$1567,"CN",data_lineitems!$B$3:$B$1567,2015,data_lineitems!$C$3:$C$1567,"large",data_lineitems!$D$3:$D$1567,"E1=E2",data_lineitems!$F$3:$F$1567,"1 Commodity")</f>
        <v/>
      </c>
      <c r="K95" s="77">
        <f>SUMIFS(data_lineitems!$I$3:$I$1567,data_lineitems!$A$3:$A$1567,"CN",data_lineitems!$B$3:$B$1567,2016,data_lineitems!$C$3:$C$1567,"large",data_lineitems!$D$3:$D$1567,"E1=E2",data_lineitems!$F$3:$F$1567,"1 Commodity")</f>
        <v/>
      </c>
      <c r="L95" s="77">
        <f>SUMIFS(data_lineitems!$I$3:$I$1567,data_lineitems!$A$3:$A$1567,"CN",data_lineitems!$B$3:$B$1567,2017,data_lineitems!$C$3:$C$1567,"large",data_lineitems!$D$3:$D$1567,"E1=E2",data_lineitems!$F$3:$F$1567,"1 Commodity")</f>
        <v/>
      </c>
      <c r="M95" s="77">
        <f>SUMIFS(data_lineitems!$I$3:$I$1567,data_lineitems!$A$3:$A$1567,"CN",data_lineitems!$B$3:$B$1567,2018,data_lineitems!$C$3:$C$1567,"large",data_lineitems!$D$3:$D$1567,"E1=E2",data_lineitems!$F$3:$F$1567,"1 Commodity")</f>
        <v/>
      </c>
      <c r="N95" s="77">
        <f>SUMIFS(data_lineitems!$I$3:$I$1567,data_lineitems!$A$3:$A$1567,"CN",data_lineitems!$B$3:$B$1567,2019,data_lineitems!$C$3:$C$1567,"large",data_lineitems!$D$3:$D$1567,"E1=E2",data_lineitems!$F$3:$F$1567,"1 Commodity")</f>
        <v/>
      </c>
      <c r="O95" s="77">
        <f>SUMIFS(data_lineitems!$I$3:$I$1567,data_lineitems!$A$3:$A$1567,"CN",data_lineitems!$B$3:$B$1567,2020,data_lineitems!$C$3:$C$1567,"large",data_lineitems!$D$3:$D$1567,"E1=E2",data_lineitems!$F$3:$F$1567,"1 Commodity")</f>
        <v/>
      </c>
      <c r="P95" s="77">
        <f>SUMIFS(data_lineitems!$I$3:$I$1567,data_lineitems!$A$3:$A$1567,"CN",data_lineitems!$B$3:$B$1567,2021,data_lineitems!$C$3:$C$1567,"large",data_lineitems!$D$3:$D$1567,"E1=E2",data_lineitems!$F$3:$F$1567,"1 Commodity")</f>
        <v/>
      </c>
      <c r="Q95" s="77">
        <f>SUMIFS(data_lineitems!$I$3:$I$1567,data_lineitems!$A$3:$A$1567,"CN",data_lineitems!$B$3:$B$1567,2022,data_lineitems!$C$3:$C$1567,"large",data_lineitems!$D$3:$D$1567,"E1=E2",data_lineitems!$F$3:$F$1567,"1 Commodity")</f>
        <v/>
      </c>
      <c r="R95" s="77">
        <f>SUMIFS(data_lineitems!$I$3:$I$1567,data_lineitems!$A$3:$A$1567,"CN",data_lineitems!$B$3:$B$1567,2023,data_lineitems!$C$3:$C$1567,"large",data_lineitems!$D$3:$D$1567,"E1=E2",data_lineitems!$F$3:$F$1567,"1 Commodity")</f>
        <v/>
      </c>
      <c r="S95" s="77">
        <f>SUMIFS(data_lineitems!$I$3:$I$1567,data_lineitems!$A$3:$A$1567,"CN",data_lineitems!$B$3:$B$1567,2024,data_lineitems!$C$3:$C$1567,"large",data_lineitems!$D$3:$D$1567,"E1=E2",data_lineitems!$F$3:$F$1567,"1 Commodity")</f>
        <v/>
      </c>
      <c r="T95" s="77">
        <f>SUMIFS(data_lineitems!$I$3:$I$1567,data_lineitems!$A$3:$A$1567,"CN",data_lineitems!$B$3:$B$1567,2025,data_lineitems!$C$3:$C$1567,"large",data_lineitems!$D$3:$D$1567,"E1=E2",data_lineitems!$F$3:$F$1567,"1 Commodity")</f>
        <v/>
      </c>
    </row>
    <row r="96" ht="15" customHeight="1" s="78">
      <c r="A96" s="77" t="inlineStr">
        <is>
          <t>CN</t>
        </is>
      </c>
      <c r="B96" s="77" t="inlineStr">
        <is>
          <t>large</t>
        </is>
      </c>
      <c r="C96" s="77" t="inlineStr">
        <is>
          <t>E1=E2</t>
        </is>
      </c>
      <c r="D96" s="77" t="inlineStr">
        <is>
          <t>2 Gen capital recovery</t>
        </is>
      </c>
      <c r="E96" s="77">
        <f>SUMIFS(data_lineitems!$I$3:$I$1567,data_lineitems!$A$3:$A$1567,"CN",data_lineitems!$B$3:$B$1567,2010,data_lineitems!$C$3:$C$1567,"large",data_lineitems!$D$3:$D$1567,"E1=E2",data_lineitems!$F$3:$F$1567,"2 Gen capital recovery")</f>
        <v/>
      </c>
      <c r="F96" s="77">
        <f>SUMIFS(data_lineitems!$I$3:$I$1567,data_lineitems!$A$3:$A$1567,"CN",data_lineitems!$B$3:$B$1567,2011,data_lineitems!$C$3:$C$1567,"large",data_lineitems!$D$3:$D$1567,"E1=E2",data_lineitems!$F$3:$F$1567,"2 Gen capital recovery")</f>
        <v/>
      </c>
      <c r="G96" s="77">
        <f>SUMIFS(data_lineitems!$I$3:$I$1567,data_lineitems!$A$3:$A$1567,"CN",data_lineitems!$B$3:$B$1567,2012,data_lineitems!$C$3:$C$1567,"large",data_lineitems!$D$3:$D$1567,"E1=E2",data_lineitems!$F$3:$F$1567,"2 Gen capital recovery")</f>
        <v/>
      </c>
      <c r="H96" s="77">
        <f>SUMIFS(data_lineitems!$I$3:$I$1567,data_lineitems!$A$3:$A$1567,"CN",data_lineitems!$B$3:$B$1567,2013,data_lineitems!$C$3:$C$1567,"large",data_lineitems!$D$3:$D$1567,"E1=E2",data_lineitems!$F$3:$F$1567,"2 Gen capital recovery")</f>
        <v/>
      </c>
      <c r="I96" s="77">
        <f>SUMIFS(data_lineitems!$I$3:$I$1567,data_lineitems!$A$3:$A$1567,"CN",data_lineitems!$B$3:$B$1567,2014,data_lineitems!$C$3:$C$1567,"large",data_lineitems!$D$3:$D$1567,"E1=E2",data_lineitems!$F$3:$F$1567,"2 Gen capital recovery")</f>
        <v/>
      </c>
      <c r="J96" s="77">
        <f>SUMIFS(data_lineitems!$I$3:$I$1567,data_lineitems!$A$3:$A$1567,"CN",data_lineitems!$B$3:$B$1567,2015,data_lineitems!$C$3:$C$1567,"large",data_lineitems!$D$3:$D$1567,"E1=E2",data_lineitems!$F$3:$F$1567,"2 Gen capital recovery")</f>
        <v/>
      </c>
      <c r="K96" s="77">
        <f>SUMIFS(data_lineitems!$I$3:$I$1567,data_lineitems!$A$3:$A$1567,"CN",data_lineitems!$B$3:$B$1567,2016,data_lineitems!$C$3:$C$1567,"large",data_lineitems!$D$3:$D$1567,"E1=E2",data_lineitems!$F$3:$F$1567,"2 Gen capital recovery")</f>
        <v/>
      </c>
      <c r="L96" s="77">
        <f>SUMIFS(data_lineitems!$I$3:$I$1567,data_lineitems!$A$3:$A$1567,"CN",data_lineitems!$B$3:$B$1567,2017,data_lineitems!$C$3:$C$1567,"large",data_lineitems!$D$3:$D$1567,"E1=E2",data_lineitems!$F$3:$F$1567,"2 Gen capital recovery")</f>
        <v/>
      </c>
      <c r="M96" s="77">
        <f>SUMIFS(data_lineitems!$I$3:$I$1567,data_lineitems!$A$3:$A$1567,"CN",data_lineitems!$B$3:$B$1567,2018,data_lineitems!$C$3:$C$1567,"large",data_lineitems!$D$3:$D$1567,"E1=E2",data_lineitems!$F$3:$F$1567,"2 Gen capital recovery")</f>
        <v/>
      </c>
      <c r="N96" s="77">
        <f>SUMIFS(data_lineitems!$I$3:$I$1567,data_lineitems!$A$3:$A$1567,"CN",data_lineitems!$B$3:$B$1567,2019,data_lineitems!$C$3:$C$1567,"large",data_lineitems!$D$3:$D$1567,"E1=E2",data_lineitems!$F$3:$F$1567,"2 Gen capital recovery")</f>
        <v/>
      </c>
      <c r="O96" s="77">
        <f>SUMIFS(data_lineitems!$I$3:$I$1567,data_lineitems!$A$3:$A$1567,"CN",data_lineitems!$B$3:$B$1567,2020,data_lineitems!$C$3:$C$1567,"large",data_lineitems!$D$3:$D$1567,"E1=E2",data_lineitems!$F$3:$F$1567,"2 Gen capital recovery")</f>
        <v/>
      </c>
      <c r="P96" s="77">
        <f>SUMIFS(data_lineitems!$I$3:$I$1567,data_lineitems!$A$3:$A$1567,"CN",data_lineitems!$B$3:$B$1567,2021,data_lineitems!$C$3:$C$1567,"large",data_lineitems!$D$3:$D$1567,"E1=E2",data_lineitems!$F$3:$F$1567,"2 Gen capital recovery")</f>
        <v/>
      </c>
      <c r="Q96" s="77">
        <f>SUMIFS(data_lineitems!$I$3:$I$1567,data_lineitems!$A$3:$A$1567,"CN",data_lineitems!$B$3:$B$1567,2022,data_lineitems!$C$3:$C$1567,"large",data_lineitems!$D$3:$D$1567,"E1=E2",data_lineitems!$F$3:$F$1567,"2 Gen capital recovery")</f>
        <v/>
      </c>
      <c r="R96" s="77">
        <f>SUMIFS(data_lineitems!$I$3:$I$1567,data_lineitems!$A$3:$A$1567,"CN",data_lineitems!$B$3:$B$1567,2023,data_lineitems!$C$3:$C$1567,"large",data_lineitems!$D$3:$D$1567,"E1=E2",data_lineitems!$F$3:$F$1567,"2 Gen capital recovery")</f>
        <v/>
      </c>
      <c r="S96" s="77">
        <f>SUMIFS(data_lineitems!$I$3:$I$1567,data_lineitems!$A$3:$A$1567,"CN",data_lineitems!$B$3:$B$1567,2024,data_lineitems!$C$3:$C$1567,"large",data_lineitems!$D$3:$D$1567,"E1=E2",data_lineitems!$F$3:$F$1567,"2 Gen capital recovery")</f>
        <v/>
      </c>
      <c r="T96" s="77">
        <f>SUMIFS(data_lineitems!$I$3:$I$1567,data_lineitems!$A$3:$A$1567,"CN",data_lineitems!$B$3:$B$1567,2025,data_lineitems!$C$3:$C$1567,"large",data_lineitems!$D$3:$D$1567,"E1=E2",data_lineitems!$F$3:$F$1567,"2 Gen capital recovery")</f>
        <v/>
      </c>
    </row>
    <row r="97" ht="15" customHeight="1" s="78">
      <c r="A97" s="77" t="inlineStr">
        <is>
          <t>CN</t>
        </is>
      </c>
      <c r="B97" s="77" t="inlineStr">
        <is>
          <t>large</t>
        </is>
      </c>
      <c r="C97" s="77" t="inlineStr">
        <is>
          <t>E1=E2</t>
        </is>
      </c>
      <c r="D97" s="77" t="inlineStr">
        <is>
          <t>3 Network</t>
        </is>
      </c>
      <c r="E97" s="77">
        <f>SUMIFS(data_lineitems!$I$3:$I$1567,data_lineitems!$A$3:$A$1567,"CN",data_lineitems!$B$3:$B$1567,2010,data_lineitems!$C$3:$C$1567,"large",data_lineitems!$D$3:$D$1567,"E1=E2",data_lineitems!$F$3:$F$1567,"3 Network")</f>
        <v/>
      </c>
      <c r="F97" s="77">
        <f>SUMIFS(data_lineitems!$I$3:$I$1567,data_lineitems!$A$3:$A$1567,"CN",data_lineitems!$B$3:$B$1567,2011,data_lineitems!$C$3:$C$1567,"large",data_lineitems!$D$3:$D$1567,"E1=E2",data_lineitems!$F$3:$F$1567,"3 Network")</f>
        <v/>
      </c>
      <c r="G97" s="77">
        <f>SUMIFS(data_lineitems!$I$3:$I$1567,data_lineitems!$A$3:$A$1567,"CN",data_lineitems!$B$3:$B$1567,2012,data_lineitems!$C$3:$C$1567,"large",data_lineitems!$D$3:$D$1567,"E1=E2",data_lineitems!$F$3:$F$1567,"3 Network")</f>
        <v/>
      </c>
      <c r="H97" s="77">
        <f>SUMIFS(data_lineitems!$I$3:$I$1567,data_lineitems!$A$3:$A$1567,"CN",data_lineitems!$B$3:$B$1567,2013,data_lineitems!$C$3:$C$1567,"large",data_lineitems!$D$3:$D$1567,"E1=E2",data_lineitems!$F$3:$F$1567,"3 Network")</f>
        <v/>
      </c>
      <c r="I97" s="77">
        <f>SUMIFS(data_lineitems!$I$3:$I$1567,data_lineitems!$A$3:$A$1567,"CN",data_lineitems!$B$3:$B$1567,2014,data_lineitems!$C$3:$C$1567,"large",data_lineitems!$D$3:$D$1567,"E1=E2",data_lineitems!$F$3:$F$1567,"3 Network")</f>
        <v/>
      </c>
      <c r="J97" s="77">
        <f>SUMIFS(data_lineitems!$I$3:$I$1567,data_lineitems!$A$3:$A$1567,"CN",data_lineitems!$B$3:$B$1567,2015,data_lineitems!$C$3:$C$1567,"large",data_lineitems!$D$3:$D$1567,"E1=E2",data_lineitems!$F$3:$F$1567,"3 Network")</f>
        <v/>
      </c>
      <c r="K97" s="77">
        <f>SUMIFS(data_lineitems!$I$3:$I$1567,data_lineitems!$A$3:$A$1567,"CN",data_lineitems!$B$3:$B$1567,2016,data_lineitems!$C$3:$C$1567,"large",data_lineitems!$D$3:$D$1567,"E1=E2",data_lineitems!$F$3:$F$1567,"3 Network")</f>
        <v/>
      </c>
      <c r="L97" s="77">
        <f>SUMIFS(data_lineitems!$I$3:$I$1567,data_lineitems!$A$3:$A$1567,"CN",data_lineitems!$B$3:$B$1567,2017,data_lineitems!$C$3:$C$1567,"large",data_lineitems!$D$3:$D$1567,"E1=E2",data_lineitems!$F$3:$F$1567,"3 Network")</f>
        <v/>
      </c>
      <c r="M97" s="77">
        <f>SUMIFS(data_lineitems!$I$3:$I$1567,data_lineitems!$A$3:$A$1567,"CN",data_lineitems!$B$3:$B$1567,2018,data_lineitems!$C$3:$C$1567,"large",data_lineitems!$D$3:$D$1567,"E1=E2",data_lineitems!$F$3:$F$1567,"3 Network")</f>
        <v/>
      </c>
      <c r="N97" s="77">
        <f>SUMIFS(data_lineitems!$I$3:$I$1567,data_lineitems!$A$3:$A$1567,"CN",data_lineitems!$B$3:$B$1567,2019,data_lineitems!$C$3:$C$1567,"large",data_lineitems!$D$3:$D$1567,"E1=E2",data_lineitems!$F$3:$F$1567,"3 Network")</f>
        <v/>
      </c>
      <c r="O97" s="77">
        <f>SUMIFS(data_lineitems!$I$3:$I$1567,data_lineitems!$A$3:$A$1567,"CN",data_lineitems!$B$3:$B$1567,2020,data_lineitems!$C$3:$C$1567,"large",data_lineitems!$D$3:$D$1567,"E1=E2",data_lineitems!$F$3:$F$1567,"3 Network")</f>
        <v/>
      </c>
      <c r="P97" s="77">
        <f>SUMIFS(data_lineitems!$I$3:$I$1567,data_lineitems!$A$3:$A$1567,"CN",data_lineitems!$B$3:$B$1567,2021,data_lineitems!$C$3:$C$1567,"large",data_lineitems!$D$3:$D$1567,"E1=E2",data_lineitems!$F$3:$F$1567,"3 Network")</f>
        <v/>
      </c>
      <c r="Q97" s="77">
        <f>SUMIFS(data_lineitems!$I$3:$I$1567,data_lineitems!$A$3:$A$1567,"CN",data_lineitems!$B$3:$B$1567,2022,data_lineitems!$C$3:$C$1567,"large",data_lineitems!$D$3:$D$1567,"E1=E2",data_lineitems!$F$3:$F$1567,"3 Network")</f>
        <v/>
      </c>
      <c r="R97" s="77">
        <f>SUMIFS(data_lineitems!$I$3:$I$1567,data_lineitems!$A$3:$A$1567,"CN",data_lineitems!$B$3:$B$1567,2023,data_lineitems!$C$3:$C$1567,"large",data_lineitems!$D$3:$D$1567,"E1=E2",data_lineitems!$F$3:$F$1567,"3 Network")</f>
        <v/>
      </c>
      <c r="S97" s="77">
        <f>SUMIFS(data_lineitems!$I$3:$I$1567,data_lineitems!$A$3:$A$1567,"CN",data_lineitems!$B$3:$B$1567,2024,data_lineitems!$C$3:$C$1567,"large",data_lineitems!$D$3:$D$1567,"E1=E2",data_lineitems!$F$3:$F$1567,"3 Network")</f>
        <v/>
      </c>
      <c r="T97" s="77">
        <f>SUMIFS(data_lineitems!$I$3:$I$1567,data_lineitems!$A$3:$A$1567,"CN",data_lineitems!$B$3:$B$1567,2025,data_lineitems!$C$3:$C$1567,"large",data_lineitems!$D$3:$D$1567,"E1=E2",data_lineitems!$F$3:$F$1567,"3 Network")</f>
        <v/>
      </c>
    </row>
    <row r="98" ht="15" customHeight="1" s="78">
      <c r="A98" s="77" t="inlineStr">
        <is>
          <t>CN</t>
        </is>
      </c>
      <c r="B98" s="77" t="inlineStr">
        <is>
          <t>large</t>
        </is>
      </c>
      <c r="C98" s="77" t="inlineStr">
        <is>
          <t>E1=E2</t>
        </is>
      </c>
      <c r="D98" s="77" t="inlineStr">
        <is>
          <t>4 System services &amp; balancing</t>
        </is>
      </c>
      <c r="E98" s="77">
        <f>SUMIFS(data_lineitems!$I$3:$I$1567,data_lineitems!$A$3:$A$1567,"CN",data_lineitems!$B$3:$B$1567,2010,data_lineitems!$C$3:$C$1567,"large",data_lineitems!$D$3:$D$1567,"E1=E2",data_lineitems!$F$3:$F$1567,"4 System services &amp; balancing")</f>
        <v/>
      </c>
      <c r="F98" s="77">
        <f>SUMIFS(data_lineitems!$I$3:$I$1567,data_lineitems!$A$3:$A$1567,"CN",data_lineitems!$B$3:$B$1567,2011,data_lineitems!$C$3:$C$1567,"large",data_lineitems!$D$3:$D$1567,"E1=E2",data_lineitems!$F$3:$F$1567,"4 System services &amp; balancing")</f>
        <v/>
      </c>
      <c r="G98" s="77">
        <f>SUMIFS(data_lineitems!$I$3:$I$1567,data_lineitems!$A$3:$A$1567,"CN",data_lineitems!$B$3:$B$1567,2012,data_lineitems!$C$3:$C$1567,"large",data_lineitems!$D$3:$D$1567,"E1=E2",data_lineitems!$F$3:$F$1567,"4 System services &amp; balancing")</f>
        <v/>
      </c>
      <c r="H98" s="77">
        <f>SUMIFS(data_lineitems!$I$3:$I$1567,data_lineitems!$A$3:$A$1567,"CN",data_lineitems!$B$3:$B$1567,2013,data_lineitems!$C$3:$C$1567,"large",data_lineitems!$D$3:$D$1567,"E1=E2",data_lineitems!$F$3:$F$1567,"4 System services &amp; balancing")</f>
        <v/>
      </c>
      <c r="I98" s="77">
        <f>SUMIFS(data_lineitems!$I$3:$I$1567,data_lineitems!$A$3:$A$1567,"CN",data_lineitems!$B$3:$B$1567,2014,data_lineitems!$C$3:$C$1567,"large",data_lineitems!$D$3:$D$1567,"E1=E2",data_lineitems!$F$3:$F$1567,"4 System services &amp; balancing")</f>
        <v/>
      </c>
      <c r="J98" s="77">
        <f>SUMIFS(data_lineitems!$I$3:$I$1567,data_lineitems!$A$3:$A$1567,"CN",data_lineitems!$B$3:$B$1567,2015,data_lineitems!$C$3:$C$1567,"large",data_lineitems!$D$3:$D$1567,"E1=E2",data_lineitems!$F$3:$F$1567,"4 System services &amp; balancing")</f>
        <v/>
      </c>
      <c r="K98" s="77">
        <f>SUMIFS(data_lineitems!$I$3:$I$1567,data_lineitems!$A$3:$A$1567,"CN",data_lineitems!$B$3:$B$1567,2016,data_lineitems!$C$3:$C$1567,"large",data_lineitems!$D$3:$D$1567,"E1=E2",data_lineitems!$F$3:$F$1567,"4 System services &amp; balancing")</f>
        <v/>
      </c>
      <c r="L98" s="77">
        <f>SUMIFS(data_lineitems!$I$3:$I$1567,data_lineitems!$A$3:$A$1567,"CN",data_lineitems!$B$3:$B$1567,2017,data_lineitems!$C$3:$C$1567,"large",data_lineitems!$D$3:$D$1567,"E1=E2",data_lineitems!$F$3:$F$1567,"4 System services &amp; balancing")</f>
        <v/>
      </c>
      <c r="M98" s="77">
        <f>SUMIFS(data_lineitems!$I$3:$I$1567,data_lineitems!$A$3:$A$1567,"CN",data_lineitems!$B$3:$B$1567,2018,data_lineitems!$C$3:$C$1567,"large",data_lineitems!$D$3:$D$1567,"E1=E2",data_lineitems!$F$3:$F$1567,"4 System services &amp; balancing")</f>
        <v/>
      </c>
      <c r="N98" s="77">
        <f>SUMIFS(data_lineitems!$I$3:$I$1567,data_lineitems!$A$3:$A$1567,"CN",data_lineitems!$B$3:$B$1567,2019,data_lineitems!$C$3:$C$1567,"large",data_lineitems!$D$3:$D$1567,"E1=E2",data_lineitems!$F$3:$F$1567,"4 System services &amp; balancing")</f>
        <v/>
      </c>
      <c r="O98" s="77">
        <f>SUMIFS(data_lineitems!$I$3:$I$1567,data_lineitems!$A$3:$A$1567,"CN",data_lineitems!$B$3:$B$1567,2020,data_lineitems!$C$3:$C$1567,"large",data_lineitems!$D$3:$D$1567,"E1=E2",data_lineitems!$F$3:$F$1567,"4 System services &amp; balancing")</f>
        <v/>
      </c>
      <c r="P98" s="77">
        <f>SUMIFS(data_lineitems!$I$3:$I$1567,data_lineitems!$A$3:$A$1567,"CN",data_lineitems!$B$3:$B$1567,2021,data_lineitems!$C$3:$C$1567,"large",data_lineitems!$D$3:$D$1567,"E1=E2",data_lineitems!$F$3:$F$1567,"4 System services &amp; balancing")</f>
        <v/>
      </c>
      <c r="Q98" s="77">
        <f>SUMIFS(data_lineitems!$I$3:$I$1567,data_lineitems!$A$3:$A$1567,"CN",data_lineitems!$B$3:$B$1567,2022,data_lineitems!$C$3:$C$1567,"large",data_lineitems!$D$3:$D$1567,"E1=E2",data_lineitems!$F$3:$F$1567,"4 System services &amp; balancing")</f>
        <v/>
      </c>
      <c r="R98" s="77">
        <f>SUMIFS(data_lineitems!$I$3:$I$1567,data_lineitems!$A$3:$A$1567,"CN",data_lineitems!$B$3:$B$1567,2023,data_lineitems!$C$3:$C$1567,"large",data_lineitems!$D$3:$D$1567,"E1=E2",data_lineitems!$F$3:$F$1567,"4 System services &amp; balancing")</f>
        <v/>
      </c>
      <c r="S98" s="77">
        <f>SUMIFS(data_lineitems!$I$3:$I$1567,data_lineitems!$A$3:$A$1567,"CN",data_lineitems!$B$3:$B$1567,2024,data_lineitems!$C$3:$C$1567,"large",data_lineitems!$D$3:$D$1567,"E1=E2",data_lineitems!$F$3:$F$1567,"4 System services &amp; balancing")</f>
        <v/>
      </c>
      <c r="T98" s="77">
        <f>SUMIFS(data_lineitems!$I$3:$I$1567,data_lineitems!$A$3:$A$1567,"CN",data_lineitems!$B$3:$B$1567,2025,data_lineitems!$C$3:$C$1567,"large",data_lineitems!$D$3:$D$1567,"E1=E2",data_lineitems!$F$3:$F$1567,"4 System services &amp; balancing")</f>
        <v/>
      </c>
    </row>
    <row r="99" ht="15" customHeight="1" s="78">
      <c r="A99" s="77" t="inlineStr">
        <is>
          <t>CN</t>
        </is>
      </c>
      <c r="B99" s="77" t="inlineStr">
        <is>
          <t>large</t>
        </is>
      </c>
      <c r="C99" s="77" t="inlineStr">
        <is>
          <t>E1=E2</t>
        </is>
      </c>
      <c r="D99" s="77" t="inlineStr">
        <is>
          <t>5 General taxation &amp; levies</t>
        </is>
      </c>
      <c r="E99" s="77">
        <f>SUMIFS(data_lineitems!$I$3:$I$1567,data_lineitems!$A$3:$A$1567,"CN",data_lineitems!$B$3:$B$1567,2010,data_lineitems!$C$3:$C$1567,"large",data_lineitems!$D$3:$D$1567,"E1=E2",data_lineitems!$F$3:$F$1567,"5 General taxation &amp; levies")</f>
        <v/>
      </c>
      <c r="F99" s="77">
        <f>SUMIFS(data_lineitems!$I$3:$I$1567,data_lineitems!$A$3:$A$1567,"CN",data_lineitems!$B$3:$B$1567,2011,data_lineitems!$C$3:$C$1567,"large",data_lineitems!$D$3:$D$1567,"E1=E2",data_lineitems!$F$3:$F$1567,"5 General taxation &amp; levies")</f>
        <v/>
      </c>
      <c r="G99" s="77">
        <f>SUMIFS(data_lineitems!$I$3:$I$1567,data_lineitems!$A$3:$A$1567,"CN",data_lineitems!$B$3:$B$1567,2012,data_lineitems!$C$3:$C$1567,"large",data_lineitems!$D$3:$D$1567,"E1=E2",data_lineitems!$F$3:$F$1567,"5 General taxation &amp; levies")</f>
        <v/>
      </c>
      <c r="H99" s="77">
        <f>SUMIFS(data_lineitems!$I$3:$I$1567,data_lineitems!$A$3:$A$1567,"CN",data_lineitems!$B$3:$B$1567,2013,data_lineitems!$C$3:$C$1567,"large",data_lineitems!$D$3:$D$1567,"E1=E2",data_lineitems!$F$3:$F$1567,"5 General taxation &amp; levies")</f>
        <v/>
      </c>
      <c r="I99" s="77">
        <f>SUMIFS(data_lineitems!$I$3:$I$1567,data_lineitems!$A$3:$A$1567,"CN",data_lineitems!$B$3:$B$1567,2014,data_lineitems!$C$3:$C$1567,"large",data_lineitems!$D$3:$D$1567,"E1=E2",data_lineitems!$F$3:$F$1567,"5 General taxation &amp; levies")</f>
        <v/>
      </c>
      <c r="J99" s="77">
        <f>SUMIFS(data_lineitems!$I$3:$I$1567,data_lineitems!$A$3:$A$1567,"CN",data_lineitems!$B$3:$B$1567,2015,data_lineitems!$C$3:$C$1567,"large",data_lineitems!$D$3:$D$1567,"E1=E2",data_lineitems!$F$3:$F$1567,"5 General taxation &amp; levies")</f>
        <v/>
      </c>
      <c r="K99" s="77">
        <f>SUMIFS(data_lineitems!$I$3:$I$1567,data_lineitems!$A$3:$A$1567,"CN",data_lineitems!$B$3:$B$1567,2016,data_lineitems!$C$3:$C$1567,"large",data_lineitems!$D$3:$D$1567,"E1=E2",data_lineitems!$F$3:$F$1567,"5 General taxation &amp; levies")</f>
        <v/>
      </c>
      <c r="L99" s="77">
        <f>SUMIFS(data_lineitems!$I$3:$I$1567,data_lineitems!$A$3:$A$1567,"CN",data_lineitems!$B$3:$B$1567,2017,data_lineitems!$C$3:$C$1567,"large",data_lineitems!$D$3:$D$1567,"E1=E2",data_lineitems!$F$3:$F$1567,"5 General taxation &amp; levies")</f>
        <v/>
      </c>
      <c r="M99" s="77">
        <f>SUMIFS(data_lineitems!$I$3:$I$1567,data_lineitems!$A$3:$A$1567,"CN",data_lineitems!$B$3:$B$1567,2018,data_lineitems!$C$3:$C$1567,"large",data_lineitems!$D$3:$D$1567,"E1=E2",data_lineitems!$F$3:$F$1567,"5 General taxation &amp; levies")</f>
        <v/>
      </c>
      <c r="N99" s="77">
        <f>SUMIFS(data_lineitems!$I$3:$I$1567,data_lineitems!$A$3:$A$1567,"CN",data_lineitems!$B$3:$B$1567,2019,data_lineitems!$C$3:$C$1567,"large",data_lineitems!$D$3:$D$1567,"E1=E2",data_lineitems!$F$3:$F$1567,"5 General taxation &amp; levies")</f>
        <v/>
      </c>
      <c r="O99" s="77">
        <f>SUMIFS(data_lineitems!$I$3:$I$1567,data_lineitems!$A$3:$A$1567,"CN",data_lineitems!$B$3:$B$1567,2020,data_lineitems!$C$3:$C$1567,"large",data_lineitems!$D$3:$D$1567,"E1=E2",data_lineitems!$F$3:$F$1567,"5 General taxation &amp; levies")</f>
        <v/>
      </c>
      <c r="P99" s="77">
        <f>SUMIFS(data_lineitems!$I$3:$I$1567,data_lineitems!$A$3:$A$1567,"CN",data_lineitems!$B$3:$B$1567,2021,data_lineitems!$C$3:$C$1567,"large",data_lineitems!$D$3:$D$1567,"E1=E2",data_lineitems!$F$3:$F$1567,"5 General taxation &amp; levies")</f>
        <v/>
      </c>
      <c r="Q99" s="77">
        <f>SUMIFS(data_lineitems!$I$3:$I$1567,data_lineitems!$A$3:$A$1567,"CN",data_lineitems!$B$3:$B$1567,2022,data_lineitems!$C$3:$C$1567,"large",data_lineitems!$D$3:$D$1567,"E1=E2",data_lineitems!$F$3:$F$1567,"5 General taxation &amp; levies")</f>
        <v/>
      </c>
      <c r="R99" s="77">
        <f>SUMIFS(data_lineitems!$I$3:$I$1567,data_lineitems!$A$3:$A$1567,"CN",data_lineitems!$B$3:$B$1567,2023,data_lineitems!$C$3:$C$1567,"large",data_lineitems!$D$3:$D$1567,"E1=E2",data_lineitems!$F$3:$F$1567,"5 General taxation &amp; levies")</f>
        <v/>
      </c>
      <c r="S99" s="77">
        <f>SUMIFS(data_lineitems!$I$3:$I$1567,data_lineitems!$A$3:$A$1567,"CN",data_lineitems!$B$3:$B$1567,2024,data_lineitems!$C$3:$C$1567,"large",data_lineitems!$D$3:$D$1567,"E1=E2",data_lineitems!$F$3:$F$1567,"5 General taxation &amp; levies")</f>
        <v/>
      </c>
      <c r="T99" s="77">
        <f>SUMIFS(data_lineitems!$I$3:$I$1567,data_lineitems!$A$3:$A$1567,"CN",data_lineitems!$B$3:$B$1567,2025,data_lineitems!$C$3:$C$1567,"large",data_lineitems!$D$3:$D$1567,"E1=E2",data_lineitems!$F$3:$F$1567,"5 General taxation &amp; levies")</f>
        <v/>
      </c>
    </row>
    <row r="100" ht="15" customHeight="1" s="78">
      <c r="A100" s="77" t="inlineStr">
        <is>
          <t>CN</t>
        </is>
      </c>
      <c r="B100" s="77" t="inlineStr">
        <is>
          <t>large</t>
        </is>
      </c>
      <c r="C100" s="77" t="inlineStr">
        <is>
          <t>E1=E2</t>
        </is>
      </c>
      <c r="D100" s="77" t="inlineStr">
        <is>
          <t>TOTAL modelled (sum buckets)</t>
        </is>
      </c>
      <c r="E100" s="77">
        <f>SUM(E94:E99)</f>
        <v/>
      </c>
      <c r="F100" s="77">
        <f>SUM(F94:F99)</f>
        <v/>
      </c>
      <c r="G100" s="77">
        <f>SUM(G94:G99)</f>
        <v/>
      </c>
      <c r="H100" s="77">
        <f>SUM(H94:H99)</f>
        <v/>
      </c>
      <c r="I100" s="77">
        <f>SUM(I94:I99)</f>
        <v/>
      </c>
      <c r="J100" s="77">
        <f>SUM(J94:J99)</f>
        <v/>
      </c>
      <c r="K100" s="77">
        <f>SUM(K94:K99)</f>
        <v/>
      </c>
      <c r="L100" s="77">
        <f>SUM(L94:L99)</f>
        <v/>
      </c>
      <c r="M100" s="77">
        <f>SUM(M94:M99)</f>
        <v/>
      </c>
      <c r="N100" s="77">
        <f>SUM(N94:N99)</f>
        <v/>
      </c>
      <c r="O100" s="77">
        <f>SUM(O94:O99)</f>
        <v/>
      </c>
      <c r="P100" s="77">
        <f>SUM(P94:P99)</f>
        <v/>
      </c>
      <c r="Q100" s="77">
        <f>SUM(Q94:Q99)</f>
        <v/>
      </c>
      <c r="R100" s="77">
        <f>SUM(R94:R99)</f>
        <v/>
      </c>
      <c r="S100" s="77">
        <f>SUM(S94:S99)</f>
        <v/>
      </c>
      <c r="T100" s="77">
        <f>SUM(T94:T99)</f>
        <v/>
      </c>
    </row>
    <row r="101" ht="15" customHeight="1" s="78">
      <c r="A101" s="77" t="inlineStr">
        <is>
          <t>CN</t>
        </is>
      </c>
      <c r="B101" s="77" t="inlineStr">
        <is>
          <t>large</t>
        </is>
      </c>
      <c r="C101" s="77" t="inlineStr">
        <is>
          <t>E1=E2</t>
        </is>
      </c>
      <c r="D101" s="77" t="inlineStr">
        <is>
          <t>REFERENCE — basket USD (ts r89) &lt;=2021; JS total (stage4_cn r83) 2022+ (D41)</t>
        </is>
      </c>
      <c r="E101" s="77">
        <f>IF(ISNUMBER(timeseries!D89),timeseries!D89,"")</f>
        <v/>
      </c>
      <c r="F101" s="77">
        <f>IF(ISNUMBER(timeseries!E89),timeseries!E89,"")</f>
        <v/>
      </c>
      <c r="G101" s="136">
        <f>IF(ISNUMBER(timeseries!F89),timeseries!F89,"")</f>
        <v/>
      </c>
      <c r="H101" s="136">
        <f>IF(ISNUMBER(timeseries!G89),timeseries!G89,"")</f>
        <v/>
      </c>
      <c r="I101" s="136">
        <f>IF(ISNUMBER(timeseries!H89),timeseries!H89,"")</f>
        <v/>
      </c>
      <c r="J101" s="136">
        <f>IF(ISNUMBER(timeseries!I89),timeseries!I89,"")</f>
        <v/>
      </c>
      <c r="K101" s="136">
        <f>IF(ISNUMBER(timeseries!J89),timeseries!J89,"")</f>
        <v/>
      </c>
      <c r="L101" s="136">
        <f>IF(ISNUMBER(timeseries!K89),timeseries!K89,"")</f>
        <v/>
      </c>
      <c r="M101" s="136">
        <f>IF(ISNUMBER(timeseries!L89),timeseries!L89,"")</f>
        <v/>
      </c>
      <c r="N101" s="136">
        <f>IF(ISNUMBER(timeseries!M89),timeseries!M89,"")</f>
        <v/>
      </c>
      <c r="O101" s="136">
        <f>IF(ISNUMBER(timeseries!N89),timeseries!N89,"")</f>
        <v/>
      </c>
      <c r="P101" s="136">
        <f>IF(ISNUMBER(timeseries!O89),timeseries!O89,"")</f>
        <v/>
      </c>
      <c r="Q101" s="77">
        <f>IF(ISNUMBER(stage4_cn!P83),stage4_cn!P83/fx_deflator!$K$17*fx_deflator!$M$17,"")</f>
        <v/>
      </c>
      <c r="R101" s="77">
        <f>IF(ISNUMBER(stage4_cn!Q83),stage4_cn!Q83/fx_deflator!$K$18*fx_deflator!$M$18,"")</f>
        <v/>
      </c>
      <c r="S101" s="77">
        <f>IF(ISNUMBER(stage4_cn!R83),stage4_cn!R83/fx_deflator!$K$19*fx_deflator!$M$19,"")</f>
        <v/>
      </c>
      <c r="T101" s="77">
        <f>IF(ISNUMBER(stage4_cn!S83),stage4_cn!S83/fx_deflator!$K$20*fx_deflator!$M$20,"")</f>
        <v/>
      </c>
    </row>
    <row r="102" ht="15" customHeight="1" s="78">
      <c r="A102" s="77" t="inlineStr">
        <is>
          <t>CN</t>
        </is>
      </c>
      <c r="B102" s="77" t="inlineStr">
        <is>
          <t>large</t>
        </is>
      </c>
      <c r="C102" s="77" t="inlineStr">
        <is>
          <t>E1=E2</t>
        </is>
      </c>
      <c r="D102" s="77" t="inlineStr">
        <is>
          <t>RECONCILIATION (total/ref - 1)</t>
        </is>
      </c>
      <c r="E102" s="77">
        <f>IF(AND(ISNUMBER(E101),E101&lt;&gt;0,ISNUMBER(E100)),E100/E101-1,"n/a")</f>
        <v/>
      </c>
      <c r="F102" s="77">
        <f>IF(AND(ISNUMBER(F101),F101&lt;&gt;0,ISNUMBER(F100)),F100/F101-1,"n/a")</f>
        <v/>
      </c>
      <c r="G102" s="77">
        <f>IF(AND(ISNUMBER(G101),G101&lt;&gt;0,ISNUMBER(G100)),G100/G101-1,"n/a")</f>
        <v/>
      </c>
      <c r="H102" s="77">
        <f>IF(AND(ISNUMBER(H101),H101&lt;&gt;0,ISNUMBER(H100)),H100/H101-1,"n/a")</f>
        <v/>
      </c>
      <c r="I102" s="77">
        <f>IF(AND(ISNUMBER(I101),I101&lt;&gt;0,ISNUMBER(I100)),I100/I101-1,"n/a")</f>
        <v/>
      </c>
      <c r="J102" s="77">
        <f>IF(AND(ISNUMBER(J101),J101&lt;&gt;0,ISNUMBER(J100)),J100/J101-1,"n/a")</f>
        <v/>
      </c>
      <c r="K102" s="77">
        <f>IF(AND(ISNUMBER(K101),K101&lt;&gt;0,ISNUMBER(K100)),K100/K101-1,"n/a")</f>
        <v/>
      </c>
      <c r="L102" s="77">
        <f>IF(AND(ISNUMBER(L101),L101&lt;&gt;0,ISNUMBER(L100)),L100/L101-1,"n/a")</f>
        <v/>
      </c>
      <c r="M102" s="77">
        <f>IF(AND(ISNUMBER(M101),M101&lt;&gt;0,ISNUMBER(M100)),M100/M101-1,"n/a")</f>
        <v/>
      </c>
      <c r="N102" s="77">
        <f>IF(AND(ISNUMBER(N101),N101&lt;&gt;0,ISNUMBER(N100)),N100/N101-1,"n/a")</f>
        <v/>
      </c>
      <c r="O102" s="77">
        <f>IF(AND(ISNUMBER(O101),O101&lt;&gt;0,ISNUMBER(O100)),O100/O101-1,"n/a")</f>
        <v/>
      </c>
      <c r="P102" s="77">
        <f>IF(AND(ISNUMBER(P101),P101&lt;&gt;0,ISNUMBER(P100)),P100/P101-1,"n/a")</f>
        <v/>
      </c>
      <c r="Q102" s="77">
        <f>IF(AND(ISNUMBER(Q101),Q101&lt;&gt;0,ISNUMBER(Q100)),Q100/Q101-1,"n/a")</f>
        <v/>
      </c>
      <c r="R102" s="77">
        <f>IF(AND(ISNUMBER(R101),R101&lt;&gt;0,ISNUMBER(R100)),R100/R101-1,"n/a")</f>
        <v/>
      </c>
      <c r="S102" s="77">
        <f>IF(AND(ISNUMBER(S101),S101&lt;&gt;0,ISNUMBER(S100)),S100/S101-1,"n/a")</f>
        <v/>
      </c>
      <c r="T102" s="77">
        <f>IF(AND(ISNUMBER(T101),T101&lt;&gt;0,ISNUMBER(T100)),T100/T101-1,"n/a")</f>
        <v/>
      </c>
    </row>
    <row r="103" ht="15" customHeight="1" s="78">
      <c r="A103" s="77" t="inlineStr">
        <is>
          <t>CN</t>
        </is>
      </c>
      <c r="B103" s="77" t="inlineStr">
        <is>
          <t>large</t>
        </is>
      </c>
      <c r="C103" s="77" t="inlineStr">
        <is>
          <t>E1=E2</t>
        </is>
      </c>
      <c r="D103" s="77" t="inlineStr">
        <is>
          <t>GATE +/-2 pct</t>
        </is>
      </c>
      <c r="E103" s="77">
        <f>IF(ISNUMBER(E102),IF(ABS(E102)&lt;=0.02,"PASS","FAIL"),"n/a")</f>
        <v/>
      </c>
      <c r="F103" s="77">
        <f>IF(ISNUMBER(F102),IF(ABS(F102)&lt;=0.02,"PASS","FAIL"),"n/a")</f>
        <v/>
      </c>
      <c r="G103" s="77">
        <f>IF(ISNUMBER(G102),IF(ABS(G102)&lt;=0.02,"PASS","FAIL"),"n/a")</f>
        <v/>
      </c>
      <c r="H103" s="77">
        <f>IF(ISNUMBER(H102),IF(ABS(H102)&lt;=0.02,"PASS","FAIL"),"n/a")</f>
        <v/>
      </c>
      <c r="I103" s="77">
        <f>IF(ISNUMBER(I102),IF(ABS(I102)&lt;=0.02,"PASS","FAIL"),"n/a")</f>
        <v/>
      </c>
      <c r="J103" s="77">
        <f>IF(ISNUMBER(J102),IF(ABS(J102)&lt;=0.02,"PASS","FAIL"),"n/a")</f>
        <v/>
      </c>
      <c r="K103" s="77">
        <f>IF(ISNUMBER(K102),IF(ABS(K102)&lt;=0.02,"PASS","FAIL"),"n/a")</f>
        <v/>
      </c>
      <c r="L103" s="77">
        <f>IF(ISNUMBER(L102),IF(ABS(L102)&lt;=0.02,"PASS","FAIL"),"n/a")</f>
        <v/>
      </c>
      <c r="M103" s="77">
        <f>IF(ISNUMBER(M102),IF(ABS(M102)&lt;=0.02,"PASS","FAIL"),"n/a")</f>
        <v/>
      </c>
      <c r="N103" s="77">
        <f>IF(ISNUMBER(N102),IF(ABS(N102)&lt;=0.02,"PASS","FAIL"),"n/a")</f>
        <v/>
      </c>
      <c r="O103" s="77">
        <f>IF(ISNUMBER(O102),IF(ABS(O102)&lt;=0.02,"PASS","FAIL"),"n/a")</f>
        <v/>
      </c>
      <c r="P103" s="77">
        <f>IF(ISNUMBER(P102),IF(ABS(P102)&lt;=0.02,"PASS","FAIL"),"n/a")</f>
        <v/>
      </c>
      <c r="Q103" s="77">
        <f>IF(ISNUMBER(Q102),IF(ABS(Q102)&lt;=0.02,"PASS","FAIL"),"n/a")</f>
        <v/>
      </c>
      <c r="R103" s="77">
        <f>IF(ISNUMBER(R102),IF(ABS(R102)&lt;=0.02,"PASS","FAIL"),"n/a")</f>
        <v/>
      </c>
      <c r="S103" s="77">
        <f>IF(ISNUMBER(S102),IF(ABS(S102)&lt;=0.02,"PASS","FAIL"),"n/a")</f>
        <v/>
      </c>
      <c r="T103" s="77">
        <f>IF(ISNUMBER(T102),IF(ABS(T102)&lt;=0.02,"PASS","FAIL"),"n/a")</f>
        <v/>
      </c>
    </row>
    <row r="105" ht="15" customHeight="1" s="78">
      <c r="A105" s="77" t="inlineStr">
        <is>
          <t>CN</t>
        </is>
      </c>
      <c r="B105" s="77" t="inlineStr">
        <is>
          <t>medium</t>
        </is>
      </c>
      <c r="C105" s="77" t="inlineStr">
        <is>
          <t>E1=E2</t>
        </is>
      </c>
      <c r="D105" s="77" t="inlineStr">
        <is>
          <t>leg header</t>
        </is>
      </c>
    </row>
    <row r="106" ht="15" customHeight="1" s="78">
      <c r="A106" s="77" t="inlineStr">
        <is>
          <t>CN</t>
        </is>
      </c>
      <c r="B106" s="77" t="inlineStr">
        <is>
          <t>medium</t>
        </is>
      </c>
      <c r="C106" s="77" t="inlineStr">
        <is>
          <t>E1=E2</t>
        </is>
      </c>
      <c r="D106" s="77" t="inlineStr">
        <is>
          <t>1-4 bundled (CN catalogue)</t>
        </is>
      </c>
      <c r="E106" s="77">
        <f>SUMIFS(data_lineitems!$I$3:$I$1567,data_lineitems!$A$3:$A$1567,"CN",data_lineitems!$B$3:$B$1567,2010,data_lineitems!$C$3:$C$1567,"medium",data_lineitems!$D$3:$D$1567,"E1=E2",data_lineitems!$F$3:$F$1567,"1-4 bundled (CN catalogue)")</f>
        <v/>
      </c>
      <c r="F106" s="77">
        <f>SUMIFS(data_lineitems!$I$3:$I$1567,data_lineitems!$A$3:$A$1567,"CN",data_lineitems!$B$3:$B$1567,2011,data_lineitems!$C$3:$C$1567,"medium",data_lineitems!$D$3:$D$1567,"E1=E2",data_lineitems!$F$3:$F$1567,"1-4 bundled (CN catalogue)")</f>
        <v/>
      </c>
      <c r="G106" s="77">
        <f>SUMIFS(data_lineitems!$I$3:$I$1567,data_lineitems!$A$3:$A$1567,"CN",data_lineitems!$B$3:$B$1567,2012,data_lineitems!$C$3:$C$1567,"medium",data_lineitems!$D$3:$D$1567,"E1=E2",data_lineitems!$F$3:$F$1567,"1-4 bundled (CN catalogue)")</f>
        <v/>
      </c>
      <c r="H106" s="77">
        <f>SUMIFS(data_lineitems!$I$3:$I$1567,data_lineitems!$A$3:$A$1567,"CN",data_lineitems!$B$3:$B$1567,2013,data_lineitems!$C$3:$C$1567,"medium",data_lineitems!$D$3:$D$1567,"E1=E2",data_lineitems!$F$3:$F$1567,"1-4 bundled (CN catalogue)")</f>
        <v/>
      </c>
      <c r="I106" s="77">
        <f>SUMIFS(data_lineitems!$I$3:$I$1567,data_lineitems!$A$3:$A$1567,"CN",data_lineitems!$B$3:$B$1567,2014,data_lineitems!$C$3:$C$1567,"medium",data_lineitems!$D$3:$D$1567,"E1=E2",data_lineitems!$F$3:$F$1567,"1-4 bundled (CN catalogue)")</f>
        <v/>
      </c>
      <c r="J106" s="77">
        <f>SUMIFS(data_lineitems!$I$3:$I$1567,data_lineitems!$A$3:$A$1567,"CN",data_lineitems!$B$3:$B$1567,2015,data_lineitems!$C$3:$C$1567,"medium",data_lineitems!$D$3:$D$1567,"E1=E2",data_lineitems!$F$3:$F$1567,"1-4 bundled (CN catalogue)")</f>
        <v/>
      </c>
      <c r="K106" s="77">
        <f>SUMIFS(data_lineitems!$I$3:$I$1567,data_lineitems!$A$3:$A$1567,"CN",data_lineitems!$B$3:$B$1567,2016,data_lineitems!$C$3:$C$1567,"medium",data_lineitems!$D$3:$D$1567,"E1=E2",data_lineitems!$F$3:$F$1567,"1-4 bundled (CN catalogue)")</f>
        <v/>
      </c>
      <c r="L106" s="77">
        <f>SUMIFS(data_lineitems!$I$3:$I$1567,data_lineitems!$A$3:$A$1567,"CN",data_lineitems!$B$3:$B$1567,2017,data_lineitems!$C$3:$C$1567,"medium",data_lineitems!$D$3:$D$1567,"E1=E2",data_lineitems!$F$3:$F$1567,"1-4 bundled (CN catalogue)")</f>
        <v/>
      </c>
      <c r="M106" s="77">
        <f>SUMIFS(data_lineitems!$I$3:$I$1567,data_lineitems!$A$3:$A$1567,"CN",data_lineitems!$B$3:$B$1567,2018,data_lineitems!$C$3:$C$1567,"medium",data_lineitems!$D$3:$D$1567,"E1=E2",data_lineitems!$F$3:$F$1567,"1-4 bundled (CN catalogue)")</f>
        <v/>
      </c>
      <c r="N106" s="77">
        <f>SUMIFS(data_lineitems!$I$3:$I$1567,data_lineitems!$A$3:$A$1567,"CN",data_lineitems!$B$3:$B$1567,2019,data_lineitems!$C$3:$C$1567,"medium",data_lineitems!$D$3:$D$1567,"E1=E2",data_lineitems!$F$3:$F$1567,"1-4 bundled (CN catalogue)")</f>
        <v/>
      </c>
      <c r="O106" s="77">
        <f>SUMIFS(data_lineitems!$I$3:$I$1567,data_lineitems!$A$3:$A$1567,"CN",data_lineitems!$B$3:$B$1567,2020,data_lineitems!$C$3:$C$1567,"medium",data_lineitems!$D$3:$D$1567,"E1=E2",data_lineitems!$F$3:$F$1567,"1-4 bundled (CN catalogue)")</f>
        <v/>
      </c>
      <c r="P106" s="77">
        <f>SUMIFS(data_lineitems!$I$3:$I$1567,data_lineitems!$A$3:$A$1567,"CN",data_lineitems!$B$3:$B$1567,2021,data_lineitems!$C$3:$C$1567,"medium",data_lineitems!$D$3:$D$1567,"E1=E2",data_lineitems!$F$3:$F$1567,"1-4 bundled (CN catalogue)")</f>
        <v/>
      </c>
      <c r="Q106" s="77">
        <f>SUMIFS(data_lineitems!$I$3:$I$1567,data_lineitems!$A$3:$A$1567,"CN",data_lineitems!$B$3:$B$1567,2022,data_lineitems!$C$3:$C$1567,"medium",data_lineitems!$D$3:$D$1567,"E1=E2",data_lineitems!$F$3:$F$1567,"1-4 bundled (CN catalogue)")</f>
        <v/>
      </c>
      <c r="R106" s="77">
        <f>SUMIFS(data_lineitems!$I$3:$I$1567,data_lineitems!$A$3:$A$1567,"CN",data_lineitems!$B$3:$B$1567,2023,data_lineitems!$C$3:$C$1567,"medium",data_lineitems!$D$3:$D$1567,"E1=E2",data_lineitems!$F$3:$F$1567,"1-4 bundled (CN catalogue)")</f>
        <v/>
      </c>
      <c r="S106" s="77">
        <f>SUMIFS(data_lineitems!$I$3:$I$1567,data_lineitems!$A$3:$A$1567,"CN",data_lineitems!$B$3:$B$1567,2024,data_lineitems!$C$3:$C$1567,"medium",data_lineitems!$D$3:$D$1567,"E1=E2",data_lineitems!$F$3:$F$1567,"1-4 bundled (CN catalogue)")</f>
        <v/>
      </c>
      <c r="T106" s="77">
        <f>SUMIFS(data_lineitems!$I$3:$I$1567,data_lineitems!$A$3:$A$1567,"CN",data_lineitems!$B$3:$B$1567,2025,data_lineitems!$C$3:$C$1567,"medium",data_lineitems!$D$3:$D$1567,"E1=E2",data_lineitems!$F$3:$F$1567,"1-4 bundled (CN catalogue)")</f>
        <v/>
      </c>
    </row>
    <row r="107" ht="15" customHeight="1" s="78">
      <c r="A107" s="77" t="inlineStr">
        <is>
          <t>CN</t>
        </is>
      </c>
      <c r="B107" s="77" t="inlineStr">
        <is>
          <t>medium</t>
        </is>
      </c>
      <c r="C107" s="77" t="inlineStr">
        <is>
          <t>E1=E2</t>
        </is>
      </c>
      <c r="D107" s="77" t="inlineStr">
        <is>
          <t>1 Commodity</t>
        </is>
      </c>
      <c r="E107" s="77">
        <f>SUMIFS(data_lineitems!$I$3:$I$1567,data_lineitems!$A$3:$A$1567,"CN",data_lineitems!$B$3:$B$1567,2010,data_lineitems!$C$3:$C$1567,"medium",data_lineitems!$D$3:$D$1567,"E1=E2",data_lineitems!$F$3:$F$1567,"1 Commodity")</f>
        <v/>
      </c>
      <c r="F107" s="77">
        <f>SUMIFS(data_lineitems!$I$3:$I$1567,data_lineitems!$A$3:$A$1567,"CN",data_lineitems!$B$3:$B$1567,2011,data_lineitems!$C$3:$C$1567,"medium",data_lineitems!$D$3:$D$1567,"E1=E2",data_lineitems!$F$3:$F$1567,"1 Commodity")</f>
        <v/>
      </c>
      <c r="G107" s="77">
        <f>SUMIFS(data_lineitems!$I$3:$I$1567,data_lineitems!$A$3:$A$1567,"CN",data_lineitems!$B$3:$B$1567,2012,data_lineitems!$C$3:$C$1567,"medium",data_lineitems!$D$3:$D$1567,"E1=E2",data_lineitems!$F$3:$F$1567,"1 Commodity")</f>
        <v/>
      </c>
      <c r="H107" s="77">
        <f>SUMIFS(data_lineitems!$I$3:$I$1567,data_lineitems!$A$3:$A$1567,"CN",data_lineitems!$B$3:$B$1567,2013,data_lineitems!$C$3:$C$1567,"medium",data_lineitems!$D$3:$D$1567,"E1=E2",data_lineitems!$F$3:$F$1567,"1 Commodity")</f>
        <v/>
      </c>
      <c r="I107" s="77">
        <f>SUMIFS(data_lineitems!$I$3:$I$1567,data_lineitems!$A$3:$A$1567,"CN",data_lineitems!$B$3:$B$1567,2014,data_lineitems!$C$3:$C$1567,"medium",data_lineitems!$D$3:$D$1567,"E1=E2",data_lineitems!$F$3:$F$1567,"1 Commodity")</f>
        <v/>
      </c>
      <c r="J107" s="77">
        <f>SUMIFS(data_lineitems!$I$3:$I$1567,data_lineitems!$A$3:$A$1567,"CN",data_lineitems!$B$3:$B$1567,2015,data_lineitems!$C$3:$C$1567,"medium",data_lineitems!$D$3:$D$1567,"E1=E2",data_lineitems!$F$3:$F$1567,"1 Commodity")</f>
        <v/>
      </c>
      <c r="K107" s="77">
        <f>SUMIFS(data_lineitems!$I$3:$I$1567,data_lineitems!$A$3:$A$1567,"CN",data_lineitems!$B$3:$B$1567,2016,data_lineitems!$C$3:$C$1567,"medium",data_lineitems!$D$3:$D$1567,"E1=E2",data_lineitems!$F$3:$F$1567,"1 Commodity")</f>
        <v/>
      </c>
      <c r="L107" s="77">
        <f>SUMIFS(data_lineitems!$I$3:$I$1567,data_lineitems!$A$3:$A$1567,"CN",data_lineitems!$B$3:$B$1567,2017,data_lineitems!$C$3:$C$1567,"medium",data_lineitems!$D$3:$D$1567,"E1=E2",data_lineitems!$F$3:$F$1567,"1 Commodity")</f>
        <v/>
      </c>
      <c r="M107" s="77">
        <f>SUMIFS(data_lineitems!$I$3:$I$1567,data_lineitems!$A$3:$A$1567,"CN",data_lineitems!$B$3:$B$1567,2018,data_lineitems!$C$3:$C$1567,"medium",data_lineitems!$D$3:$D$1567,"E1=E2",data_lineitems!$F$3:$F$1567,"1 Commodity")</f>
        <v/>
      </c>
      <c r="N107" s="77">
        <f>SUMIFS(data_lineitems!$I$3:$I$1567,data_lineitems!$A$3:$A$1567,"CN",data_lineitems!$B$3:$B$1567,2019,data_lineitems!$C$3:$C$1567,"medium",data_lineitems!$D$3:$D$1567,"E1=E2",data_lineitems!$F$3:$F$1567,"1 Commodity")</f>
        <v/>
      </c>
      <c r="O107" s="77">
        <f>SUMIFS(data_lineitems!$I$3:$I$1567,data_lineitems!$A$3:$A$1567,"CN",data_lineitems!$B$3:$B$1567,2020,data_lineitems!$C$3:$C$1567,"medium",data_lineitems!$D$3:$D$1567,"E1=E2",data_lineitems!$F$3:$F$1567,"1 Commodity")</f>
        <v/>
      </c>
      <c r="P107" s="77">
        <f>SUMIFS(data_lineitems!$I$3:$I$1567,data_lineitems!$A$3:$A$1567,"CN",data_lineitems!$B$3:$B$1567,2021,data_lineitems!$C$3:$C$1567,"medium",data_lineitems!$D$3:$D$1567,"E1=E2",data_lineitems!$F$3:$F$1567,"1 Commodity")</f>
        <v/>
      </c>
      <c r="Q107" s="77">
        <f>SUMIFS(data_lineitems!$I$3:$I$1567,data_lineitems!$A$3:$A$1567,"CN",data_lineitems!$B$3:$B$1567,2022,data_lineitems!$C$3:$C$1567,"medium",data_lineitems!$D$3:$D$1567,"E1=E2",data_lineitems!$F$3:$F$1567,"1 Commodity")</f>
        <v/>
      </c>
      <c r="R107" s="77">
        <f>SUMIFS(data_lineitems!$I$3:$I$1567,data_lineitems!$A$3:$A$1567,"CN",data_lineitems!$B$3:$B$1567,2023,data_lineitems!$C$3:$C$1567,"medium",data_lineitems!$D$3:$D$1567,"E1=E2",data_lineitems!$F$3:$F$1567,"1 Commodity")</f>
        <v/>
      </c>
      <c r="S107" s="77">
        <f>SUMIFS(data_lineitems!$I$3:$I$1567,data_lineitems!$A$3:$A$1567,"CN",data_lineitems!$B$3:$B$1567,2024,data_lineitems!$C$3:$C$1567,"medium",data_lineitems!$D$3:$D$1567,"E1=E2",data_lineitems!$F$3:$F$1567,"1 Commodity")</f>
        <v/>
      </c>
      <c r="T107" s="77">
        <f>SUMIFS(data_lineitems!$I$3:$I$1567,data_lineitems!$A$3:$A$1567,"CN",data_lineitems!$B$3:$B$1567,2025,data_lineitems!$C$3:$C$1567,"medium",data_lineitems!$D$3:$D$1567,"E1=E2",data_lineitems!$F$3:$F$1567,"1 Commodity")</f>
        <v/>
      </c>
    </row>
    <row r="108" ht="15" customHeight="1" s="78">
      <c r="A108" s="77" t="inlineStr">
        <is>
          <t>CN</t>
        </is>
      </c>
      <c r="B108" s="77" t="inlineStr">
        <is>
          <t>medium</t>
        </is>
      </c>
      <c r="C108" s="77" t="inlineStr">
        <is>
          <t>E1=E2</t>
        </is>
      </c>
      <c r="D108" s="77" t="inlineStr">
        <is>
          <t>2 Gen capital recovery</t>
        </is>
      </c>
      <c r="E108" s="77">
        <f>SUMIFS(data_lineitems!$I$3:$I$1567,data_lineitems!$A$3:$A$1567,"CN",data_lineitems!$B$3:$B$1567,2010,data_lineitems!$C$3:$C$1567,"medium",data_lineitems!$D$3:$D$1567,"E1=E2",data_lineitems!$F$3:$F$1567,"2 Gen capital recovery")</f>
        <v/>
      </c>
      <c r="F108" s="77">
        <f>SUMIFS(data_lineitems!$I$3:$I$1567,data_lineitems!$A$3:$A$1567,"CN",data_lineitems!$B$3:$B$1567,2011,data_lineitems!$C$3:$C$1567,"medium",data_lineitems!$D$3:$D$1567,"E1=E2",data_lineitems!$F$3:$F$1567,"2 Gen capital recovery")</f>
        <v/>
      </c>
      <c r="G108" s="77">
        <f>SUMIFS(data_lineitems!$I$3:$I$1567,data_lineitems!$A$3:$A$1567,"CN",data_lineitems!$B$3:$B$1567,2012,data_lineitems!$C$3:$C$1567,"medium",data_lineitems!$D$3:$D$1567,"E1=E2",data_lineitems!$F$3:$F$1567,"2 Gen capital recovery")</f>
        <v/>
      </c>
      <c r="H108" s="77">
        <f>SUMIFS(data_lineitems!$I$3:$I$1567,data_lineitems!$A$3:$A$1567,"CN",data_lineitems!$B$3:$B$1567,2013,data_lineitems!$C$3:$C$1567,"medium",data_lineitems!$D$3:$D$1567,"E1=E2",data_lineitems!$F$3:$F$1567,"2 Gen capital recovery")</f>
        <v/>
      </c>
      <c r="I108" s="77">
        <f>SUMIFS(data_lineitems!$I$3:$I$1567,data_lineitems!$A$3:$A$1567,"CN",data_lineitems!$B$3:$B$1567,2014,data_lineitems!$C$3:$C$1567,"medium",data_lineitems!$D$3:$D$1567,"E1=E2",data_lineitems!$F$3:$F$1567,"2 Gen capital recovery")</f>
        <v/>
      </c>
      <c r="J108" s="77">
        <f>SUMIFS(data_lineitems!$I$3:$I$1567,data_lineitems!$A$3:$A$1567,"CN",data_lineitems!$B$3:$B$1567,2015,data_lineitems!$C$3:$C$1567,"medium",data_lineitems!$D$3:$D$1567,"E1=E2",data_lineitems!$F$3:$F$1567,"2 Gen capital recovery")</f>
        <v/>
      </c>
      <c r="K108" s="77">
        <f>SUMIFS(data_lineitems!$I$3:$I$1567,data_lineitems!$A$3:$A$1567,"CN",data_lineitems!$B$3:$B$1567,2016,data_lineitems!$C$3:$C$1567,"medium",data_lineitems!$D$3:$D$1567,"E1=E2",data_lineitems!$F$3:$F$1567,"2 Gen capital recovery")</f>
        <v/>
      </c>
      <c r="L108" s="77">
        <f>SUMIFS(data_lineitems!$I$3:$I$1567,data_lineitems!$A$3:$A$1567,"CN",data_lineitems!$B$3:$B$1567,2017,data_lineitems!$C$3:$C$1567,"medium",data_lineitems!$D$3:$D$1567,"E1=E2",data_lineitems!$F$3:$F$1567,"2 Gen capital recovery")</f>
        <v/>
      </c>
      <c r="M108" s="77">
        <f>SUMIFS(data_lineitems!$I$3:$I$1567,data_lineitems!$A$3:$A$1567,"CN",data_lineitems!$B$3:$B$1567,2018,data_lineitems!$C$3:$C$1567,"medium",data_lineitems!$D$3:$D$1567,"E1=E2",data_lineitems!$F$3:$F$1567,"2 Gen capital recovery")</f>
        <v/>
      </c>
      <c r="N108" s="77">
        <f>SUMIFS(data_lineitems!$I$3:$I$1567,data_lineitems!$A$3:$A$1567,"CN",data_lineitems!$B$3:$B$1567,2019,data_lineitems!$C$3:$C$1567,"medium",data_lineitems!$D$3:$D$1567,"E1=E2",data_lineitems!$F$3:$F$1567,"2 Gen capital recovery")</f>
        <v/>
      </c>
      <c r="O108" s="77">
        <f>SUMIFS(data_lineitems!$I$3:$I$1567,data_lineitems!$A$3:$A$1567,"CN",data_lineitems!$B$3:$B$1567,2020,data_lineitems!$C$3:$C$1567,"medium",data_lineitems!$D$3:$D$1567,"E1=E2",data_lineitems!$F$3:$F$1567,"2 Gen capital recovery")</f>
        <v/>
      </c>
      <c r="P108" s="77">
        <f>SUMIFS(data_lineitems!$I$3:$I$1567,data_lineitems!$A$3:$A$1567,"CN",data_lineitems!$B$3:$B$1567,2021,data_lineitems!$C$3:$C$1567,"medium",data_lineitems!$D$3:$D$1567,"E1=E2",data_lineitems!$F$3:$F$1567,"2 Gen capital recovery")</f>
        <v/>
      </c>
      <c r="Q108" s="77">
        <f>SUMIFS(data_lineitems!$I$3:$I$1567,data_lineitems!$A$3:$A$1567,"CN",data_lineitems!$B$3:$B$1567,2022,data_lineitems!$C$3:$C$1567,"medium",data_lineitems!$D$3:$D$1567,"E1=E2",data_lineitems!$F$3:$F$1567,"2 Gen capital recovery")</f>
        <v/>
      </c>
      <c r="R108" s="77">
        <f>SUMIFS(data_lineitems!$I$3:$I$1567,data_lineitems!$A$3:$A$1567,"CN",data_lineitems!$B$3:$B$1567,2023,data_lineitems!$C$3:$C$1567,"medium",data_lineitems!$D$3:$D$1567,"E1=E2",data_lineitems!$F$3:$F$1567,"2 Gen capital recovery")</f>
        <v/>
      </c>
      <c r="S108" s="77">
        <f>SUMIFS(data_lineitems!$I$3:$I$1567,data_lineitems!$A$3:$A$1567,"CN",data_lineitems!$B$3:$B$1567,2024,data_lineitems!$C$3:$C$1567,"medium",data_lineitems!$D$3:$D$1567,"E1=E2",data_lineitems!$F$3:$F$1567,"2 Gen capital recovery")</f>
        <v/>
      </c>
      <c r="T108" s="77">
        <f>SUMIFS(data_lineitems!$I$3:$I$1567,data_lineitems!$A$3:$A$1567,"CN",data_lineitems!$B$3:$B$1567,2025,data_lineitems!$C$3:$C$1567,"medium",data_lineitems!$D$3:$D$1567,"E1=E2",data_lineitems!$F$3:$F$1567,"2 Gen capital recovery")</f>
        <v/>
      </c>
    </row>
    <row r="109" ht="15" customHeight="1" s="78">
      <c r="A109" s="77" t="inlineStr">
        <is>
          <t>CN</t>
        </is>
      </c>
      <c r="B109" s="77" t="inlineStr">
        <is>
          <t>medium</t>
        </is>
      </c>
      <c r="C109" s="77" t="inlineStr">
        <is>
          <t>E1=E2</t>
        </is>
      </c>
      <c r="D109" s="77" t="inlineStr">
        <is>
          <t>3 Network</t>
        </is>
      </c>
      <c r="E109" s="77">
        <f>SUMIFS(data_lineitems!$I$3:$I$1567,data_lineitems!$A$3:$A$1567,"CN",data_lineitems!$B$3:$B$1567,2010,data_lineitems!$C$3:$C$1567,"medium",data_lineitems!$D$3:$D$1567,"E1=E2",data_lineitems!$F$3:$F$1567,"3 Network")</f>
        <v/>
      </c>
      <c r="F109" s="77">
        <f>SUMIFS(data_lineitems!$I$3:$I$1567,data_lineitems!$A$3:$A$1567,"CN",data_lineitems!$B$3:$B$1567,2011,data_lineitems!$C$3:$C$1567,"medium",data_lineitems!$D$3:$D$1567,"E1=E2",data_lineitems!$F$3:$F$1567,"3 Network")</f>
        <v/>
      </c>
      <c r="G109" s="77">
        <f>SUMIFS(data_lineitems!$I$3:$I$1567,data_lineitems!$A$3:$A$1567,"CN",data_lineitems!$B$3:$B$1567,2012,data_lineitems!$C$3:$C$1567,"medium",data_lineitems!$D$3:$D$1567,"E1=E2",data_lineitems!$F$3:$F$1567,"3 Network")</f>
        <v/>
      </c>
      <c r="H109" s="77">
        <f>SUMIFS(data_lineitems!$I$3:$I$1567,data_lineitems!$A$3:$A$1567,"CN",data_lineitems!$B$3:$B$1567,2013,data_lineitems!$C$3:$C$1567,"medium",data_lineitems!$D$3:$D$1567,"E1=E2",data_lineitems!$F$3:$F$1567,"3 Network")</f>
        <v/>
      </c>
      <c r="I109" s="77">
        <f>SUMIFS(data_lineitems!$I$3:$I$1567,data_lineitems!$A$3:$A$1567,"CN",data_lineitems!$B$3:$B$1567,2014,data_lineitems!$C$3:$C$1567,"medium",data_lineitems!$D$3:$D$1567,"E1=E2",data_lineitems!$F$3:$F$1567,"3 Network")</f>
        <v/>
      </c>
      <c r="J109" s="77">
        <f>SUMIFS(data_lineitems!$I$3:$I$1567,data_lineitems!$A$3:$A$1567,"CN",data_lineitems!$B$3:$B$1567,2015,data_lineitems!$C$3:$C$1567,"medium",data_lineitems!$D$3:$D$1567,"E1=E2",data_lineitems!$F$3:$F$1567,"3 Network")</f>
        <v/>
      </c>
      <c r="K109" s="77">
        <f>SUMIFS(data_lineitems!$I$3:$I$1567,data_lineitems!$A$3:$A$1567,"CN",data_lineitems!$B$3:$B$1567,2016,data_lineitems!$C$3:$C$1567,"medium",data_lineitems!$D$3:$D$1567,"E1=E2",data_lineitems!$F$3:$F$1567,"3 Network")</f>
        <v/>
      </c>
      <c r="L109" s="77">
        <f>SUMIFS(data_lineitems!$I$3:$I$1567,data_lineitems!$A$3:$A$1567,"CN",data_lineitems!$B$3:$B$1567,2017,data_lineitems!$C$3:$C$1567,"medium",data_lineitems!$D$3:$D$1567,"E1=E2",data_lineitems!$F$3:$F$1567,"3 Network")</f>
        <v/>
      </c>
      <c r="M109" s="77">
        <f>SUMIFS(data_lineitems!$I$3:$I$1567,data_lineitems!$A$3:$A$1567,"CN",data_lineitems!$B$3:$B$1567,2018,data_lineitems!$C$3:$C$1567,"medium",data_lineitems!$D$3:$D$1567,"E1=E2",data_lineitems!$F$3:$F$1567,"3 Network")</f>
        <v/>
      </c>
      <c r="N109" s="77">
        <f>SUMIFS(data_lineitems!$I$3:$I$1567,data_lineitems!$A$3:$A$1567,"CN",data_lineitems!$B$3:$B$1567,2019,data_lineitems!$C$3:$C$1567,"medium",data_lineitems!$D$3:$D$1567,"E1=E2",data_lineitems!$F$3:$F$1567,"3 Network")</f>
        <v/>
      </c>
      <c r="O109" s="77">
        <f>SUMIFS(data_lineitems!$I$3:$I$1567,data_lineitems!$A$3:$A$1567,"CN",data_lineitems!$B$3:$B$1567,2020,data_lineitems!$C$3:$C$1567,"medium",data_lineitems!$D$3:$D$1567,"E1=E2",data_lineitems!$F$3:$F$1567,"3 Network")</f>
        <v/>
      </c>
      <c r="P109" s="77">
        <f>SUMIFS(data_lineitems!$I$3:$I$1567,data_lineitems!$A$3:$A$1567,"CN",data_lineitems!$B$3:$B$1567,2021,data_lineitems!$C$3:$C$1567,"medium",data_lineitems!$D$3:$D$1567,"E1=E2",data_lineitems!$F$3:$F$1567,"3 Network")</f>
        <v/>
      </c>
      <c r="Q109" s="77">
        <f>SUMIFS(data_lineitems!$I$3:$I$1567,data_lineitems!$A$3:$A$1567,"CN",data_lineitems!$B$3:$B$1567,2022,data_lineitems!$C$3:$C$1567,"medium",data_lineitems!$D$3:$D$1567,"E1=E2",data_lineitems!$F$3:$F$1567,"3 Network")</f>
        <v/>
      </c>
      <c r="R109" s="77">
        <f>SUMIFS(data_lineitems!$I$3:$I$1567,data_lineitems!$A$3:$A$1567,"CN",data_lineitems!$B$3:$B$1567,2023,data_lineitems!$C$3:$C$1567,"medium",data_lineitems!$D$3:$D$1567,"E1=E2",data_lineitems!$F$3:$F$1567,"3 Network")</f>
        <v/>
      </c>
      <c r="S109" s="77">
        <f>SUMIFS(data_lineitems!$I$3:$I$1567,data_lineitems!$A$3:$A$1567,"CN",data_lineitems!$B$3:$B$1567,2024,data_lineitems!$C$3:$C$1567,"medium",data_lineitems!$D$3:$D$1567,"E1=E2",data_lineitems!$F$3:$F$1567,"3 Network")</f>
        <v/>
      </c>
      <c r="T109" s="77">
        <f>SUMIFS(data_lineitems!$I$3:$I$1567,data_lineitems!$A$3:$A$1567,"CN",data_lineitems!$B$3:$B$1567,2025,data_lineitems!$C$3:$C$1567,"medium",data_lineitems!$D$3:$D$1567,"E1=E2",data_lineitems!$F$3:$F$1567,"3 Network")</f>
        <v/>
      </c>
    </row>
    <row r="110" ht="15" customHeight="1" s="78">
      <c r="A110" s="77" t="inlineStr">
        <is>
          <t>CN</t>
        </is>
      </c>
      <c r="B110" s="77" t="inlineStr">
        <is>
          <t>medium</t>
        </is>
      </c>
      <c r="C110" s="77" t="inlineStr">
        <is>
          <t>E1=E2</t>
        </is>
      </c>
      <c r="D110" s="77" t="inlineStr">
        <is>
          <t>4 System services &amp; balancing</t>
        </is>
      </c>
      <c r="E110" s="77">
        <f>SUMIFS(data_lineitems!$I$3:$I$1567,data_lineitems!$A$3:$A$1567,"CN",data_lineitems!$B$3:$B$1567,2010,data_lineitems!$C$3:$C$1567,"medium",data_lineitems!$D$3:$D$1567,"E1=E2",data_lineitems!$F$3:$F$1567,"4 System services &amp; balancing")</f>
        <v/>
      </c>
      <c r="F110" s="77">
        <f>SUMIFS(data_lineitems!$I$3:$I$1567,data_lineitems!$A$3:$A$1567,"CN",data_lineitems!$B$3:$B$1567,2011,data_lineitems!$C$3:$C$1567,"medium",data_lineitems!$D$3:$D$1567,"E1=E2",data_lineitems!$F$3:$F$1567,"4 System services &amp; balancing")</f>
        <v/>
      </c>
      <c r="G110" s="77">
        <f>SUMIFS(data_lineitems!$I$3:$I$1567,data_lineitems!$A$3:$A$1567,"CN",data_lineitems!$B$3:$B$1567,2012,data_lineitems!$C$3:$C$1567,"medium",data_lineitems!$D$3:$D$1567,"E1=E2",data_lineitems!$F$3:$F$1567,"4 System services &amp; balancing")</f>
        <v/>
      </c>
      <c r="H110" s="77">
        <f>SUMIFS(data_lineitems!$I$3:$I$1567,data_lineitems!$A$3:$A$1567,"CN",data_lineitems!$B$3:$B$1567,2013,data_lineitems!$C$3:$C$1567,"medium",data_lineitems!$D$3:$D$1567,"E1=E2",data_lineitems!$F$3:$F$1567,"4 System services &amp; balancing")</f>
        <v/>
      </c>
      <c r="I110" s="77">
        <f>SUMIFS(data_lineitems!$I$3:$I$1567,data_lineitems!$A$3:$A$1567,"CN",data_lineitems!$B$3:$B$1567,2014,data_lineitems!$C$3:$C$1567,"medium",data_lineitems!$D$3:$D$1567,"E1=E2",data_lineitems!$F$3:$F$1567,"4 System services &amp; balancing")</f>
        <v/>
      </c>
      <c r="J110" s="77">
        <f>SUMIFS(data_lineitems!$I$3:$I$1567,data_lineitems!$A$3:$A$1567,"CN",data_lineitems!$B$3:$B$1567,2015,data_lineitems!$C$3:$C$1567,"medium",data_lineitems!$D$3:$D$1567,"E1=E2",data_lineitems!$F$3:$F$1567,"4 System services &amp; balancing")</f>
        <v/>
      </c>
      <c r="K110" s="77">
        <f>SUMIFS(data_lineitems!$I$3:$I$1567,data_lineitems!$A$3:$A$1567,"CN",data_lineitems!$B$3:$B$1567,2016,data_lineitems!$C$3:$C$1567,"medium",data_lineitems!$D$3:$D$1567,"E1=E2",data_lineitems!$F$3:$F$1567,"4 System services &amp; balancing")</f>
        <v/>
      </c>
      <c r="L110" s="77">
        <f>SUMIFS(data_lineitems!$I$3:$I$1567,data_lineitems!$A$3:$A$1567,"CN",data_lineitems!$B$3:$B$1567,2017,data_lineitems!$C$3:$C$1567,"medium",data_lineitems!$D$3:$D$1567,"E1=E2",data_lineitems!$F$3:$F$1567,"4 System services &amp; balancing")</f>
        <v/>
      </c>
      <c r="M110" s="77">
        <f>SUMIFS(data_lineitems!$I$3:$I$1567,data_lineitems!$A$3:$A$1567,"CN",data_lineitems!$B$3:$B$1567,2018,data_lineitems!$C$3:$C$1567,"medium",data_lineitems!$D$3:$D$1567,"E1=E2",data_lineitems!$F$3:$F$1567,"4 System services &amp; balancing")</f>
        <v/>
      </c>
      <c r="N110" s="77">
        <f>SUMIFS(data_lineitems!$I$3:$I$1567,data_lineitems!$A$3:$A$1567,"CN",data_lineitems!$B$3:$B$1567,2019,data_lineitems!$C$3:$C$1567,"medium",data_lineitems!$D$3:$D$1567,"E1=E2",data_lineitems!$F$3:$F$1567,"4 System services &amp; balancing")</f>
        <v/>
      </c>
      <c r="O110" s="77">
        <f>SUMIFS(data_lineitems!$I$3:$I$1567,data_lineitems!$A$3:$A$1567,"CN",data_lineitems!$B$3:$B$1567,2020,data_lineitems!$C$3:$C$1567,"medium",data_lineitems!$D$3:$D$1567,"E1=E2",data_lineitems!$F$3:$F$1567,"4 System services &amp; balancing")</f>
        <v/>
      </c>
      <c r="P110" s="77">
        <f>SUMIFS(data_lineitems!$I$3:$I$1567,data_lineitems!$A$3:$A$1567,"CN",data_lineitems!$B$3:$B$1567,2021,data_lineitems!$C$3:$C$1567,"medium",data_lineitems!$D$3:$D$1567,"E1=E2",data_lineitems!$F$3:$F$1567,"4 System services &amp; balancing")</f>
        <v/>
      </c>
      <c r="Q110" s="77">
        <f>SUMIFS(data_lineitems!$I$3:$I$1567,data_lineitems!$A$3:$A$1567,"CN",data_lineitems!$B$3:$B$1567,2022,data_lineitems!$C$3:$C$1567,"medium",data_lineitems!$D$3:$D$1567,"E1=E2",data_lineitems!$F$3:$F$1567,"4 System services &amp; balancing")</f>
        <v/>
      </c>
      <c r="R110" s="77">
        <f>SUMIFS(data_lineitems!$I$3:$I$1567,data_lineitems!$A$3:$A$1567,"CN",data_lineitems!$B$3:$B$1567,2023,data_lineitems!$C$3:$C$1567,"medium",data_lineitems!$D$3:$D$1567,"E1=E2",data_lineitems!$F$3:$F$1567,"4 System services &amp; balancing")</f>
        <v/>
      </c>
      <c r="S110" s="77">
        <f>SUMIFS(data_lineitems!$I$3:$I$1567,data_lineitems!$A$3:$A$1567,"CN",data_lineitems!$B$3:$B$1567,2024,data_lineitems!$C$3:$C$1567,"medium",data_lineitems!$D$3:$D$1567,"E1=E2",data_lineitems!$F$3:$F$1567,"4 System services &amp; balancing")</f>
        <v/>
      </c>
      <c r="T110" s="77">
        <f>SUMIFS(data_lineitems!$I$3:$I$1567,data_lineitems!$A$3:$A$1567,"CN",data_lineitems!$B$3:$B$1567,2025,data_lineitems!$C$3:$C$1567,"medium",data_lineitems!$D$3:$D$1567,"E1=E2",data_lineitems!$F$3:$F$1567,"4 System services &amp; balancing")</f>
        <v/>
      </c>
    </row>
    <row r="111" ht="15" customHeight="1" s="78">
      <c r="A111" s="77" t="inlineStr">
        <is>
          <t>CN</t>
        </is>
      </c>
      <c r="B111" s="77" t="inlineStr">
        <is>
          <t>medium</t>
        </is>
      </c>
      <c r="C111" s="77" t="inlineStr">
        <is>
          <t>E1=E2</t>
        </is>
      </c>
      <c r="D111" s="77" t="inlineStr">
        <is>
          <t>5 General taxation &amp; levies</t>
        </is>
      </c>
      <c r="E111" s="77">
        <f>SUMIFS(data_lineitems!$I$3:$I$1567,data_lineitems!$A$3:$A$1567,"CN",data_lineitems!$B$3:$B$1567,2010,data_lineitems!$C$3:$C$1567,"medium",data_lineitems!$D$3:$D$1567,"E1=E2",data_lineitems!$F$3:$F$1567,"5 General taxation &amp; levies")</f>
        <v/>
      </c>
      <c r="F111" s="77">
        <f>SUMIFS(data_lineitems!$I$3:$I$1567,data_lineitems!$A$3:$A$1567,"CN",data_lineitems!$B$3:$B$1567,2011,data_lineitems!$C$3:$C$1567,"medium",data_lineitems!$D$3:$D$1567,"E1=E2",data_lineitems!$F$3:$F$1567,"5 General taxation &amp; levies")</f>
        <v/>
      </c>
      <c r="G111" s="77">
        <f>SUMIFS(data_lineitems!$I$3:$I$1567,data_lineitems!$A$3:$A$1567,"CN",data_lineitems!$B$3:$B$1567,2012,data_lineitems!$C$3:$C$1567,"medium",data_lineitems!$D$3:$D$1567,"E1=E2",data_lineitems!$F$3:$F$1567,"5 General taxation &amp; levies")</f>
        <v/>
      </c>
      <c r="H111" s="77">
        <f>SUMIFS(data_lineitems!$I$3:$I$1567,data_lineitems!$A$3:$A$1567,"CN",data_lineitems!$B$3:$B$1567,2013,data_lineitems!$C$3:$C$1567,"medium",data_lineitems!$D$3:$D$1567,"E1=E2",data_lineitems!$F$3:$F$1567,"5 General taxation &amp; levies")</f>
        <v/>
      </c>
      <c r="I111" s="77">
        <f>SUMIFS(data_lineitems!$I$3:$I$1567,data_lineitems!$A$3:$A$1567,"CN",data_lineitems!$B$3:$B$1567,2014,data_lineitems!$C$3:$C$1567,"medium",data_lineitems!$D$3:$D$1567,"E1=E2",data_lineitems!$F$3:$F$1567,"5 General taxation &amp; levies")</f>
        <v/>
      </c>
      <c r="J111" s="77">
        <f>SUMIFS(data_lineitems!$I$3:$I$1567,data_lineitems!$A$3:$A$1567,"CN",data_lineitems!$B$3:$B$1567,2015,data_lineitems!$C$3:$C$1567,"medium",data_lineitems!$D$3:$D$1567,"E1=E2",data_lineitems!$F$3:$F$1567,"5 General taxation &amp; levies")</f>
        <v/>
      </c>
      <c r="K111" s="77">
        <f>SUMIFS(data_lineitems!$I$3:$I$1567,data_lineitems!$A$3:$A$1567,"CN",data_lineitems!$B$3:$B$1567,2016,data_lineitems!$C$3:$C$1567,"medium",data_lineitems!$D$3:$D$1567,"E1=E2",data_lineitems!$F$3:$F$1567,"5 General taxation &amp; levies")</f>
        <v/>
      </c>
      <c r="L111" s="77">
        <f>SUMIFS(data_lineitems!$I$3:$I$1567,data_lineitems!$A$3:$A$1567,"CN",data_lineitems!$B$3:$B$1567,2017,data_lineitems!$C$3:$C$1567,"medium",data_lineitems!$D$3:$D$1567,"E1=E2",data_lineitems!$F$3:$F$1567,"5 General taxation &amp; levies")</f>
        <v/>
      </c>
      <c r="M111" s="77">
        <f>SUMIFS(data_lineitems!$I$3:$I$1567,data_lineitems!$A$3:$A$1567,"CN",data_lineitems!$B$3:$B$1567,2018,data_lineitems!$C$3:$C$1567,"medium",data_lineitems!$D$3:$D$1567,"E1=E2",data_lineitems!$F$3:$F$1567,"5 General taxation &amp; levies")</f>
        <v/>
      </c>
      <c r="N111" s="77">
        <f>SUMIFS(data_lineitems!$I$3:$I$1567,data_lineitems!$A$3:$A$1567,"CN",data_lineitems!$B$3:$B$1567,2019,data_lineitems!$C$3:$C$1567,"medium",data_lineitems!$D$3:$D$1567,"E1=E2",data_lineitems!$F$3:$F$1567,"5 General taxation &amp; levies")</f>
        <v/>
      </c>
      <c r="O111" s="77">
        <f>SUMIFS(data_lineitems!$I$3:$I$1567,data_lineitems!$A$3:$A$1567,"CN",data_lineitems!$B$3:$B$1567,2020,data_lineitems!$C$3:$C$1567,"medium",data_lineitems!$D$3:$D$1567,"E1=E2",data_lineitems!$F$3:$F$1567,"5 General taxation &amp; levies")</f>
        <v/>
      </c>
      <c r="P111" s="77">
        <f>SUMIFS(data_lineitems!$I$3:$I$1567,data_lineitems!$A$3:$A$1567,"CN",data_lineitems!$B$3:$B$1567,2021,data_lineitems!$C$3:$C$1567,"medium",data_lineitems!$D$3:$D$1567,"E1=E2",data_lineitems!$F$3:$F$1567,"5 General taxation &amp; levies")</f>
        <v/>
      </c>
      <c r="Q111" s="77">
        <f>SUMIFS(data_lineitems!$I$3:$I$1567,data_lineitems!$A$3:$A$1567,"CN",data_lineitems!$B$3:$B$1567,2022,data_lineitems!$C$3:$C$1567,"medium",data_lineitems!$D$3:$D$1567,"E1=E2",data_lineitems!$F$3:$F$1567,"5 General taxation &amp; levies")</f>
        <v/>
      </c>
      <c r="R111" s="77">
        <f>SUMIFS(data_lineitems!$I$3:$I$1567,data_lineitems!$A$3:$A$1567,"CN",data_lineitems!$B$3:$B$1567,2023,data_lineitems!$C$3:$C$1567,"medium",data_lineitems!$D$3:$D$1567,"E1=E2",data_lineitems!$F$3:$F$1567,"5 General taxation &amp; levies")</f>
        <v/>
      </c>
      <c r="S111" s="77">
        <f>SUMIFS(data_lineitems!$I$3:$I$1567,data_lineitems!$A$3:$A$1567,"CN",data_lineitems!$B$3:$B$1567,2024,data_lineitems!$C$3:$C$1567,"medium",data_lineitems!$D$3:$D$1567,"E1=E2",data_lineitems!$F$3:$F$1567,"5 General taxation &amp; levies")</f>
        <v/>
      </c>
      <c r="T111" s="77">
        <f>SUMIFS(data_lineitems!$I$3:$I$1567,data_lineitems!$A$3:$A$1567,"CN",data_lineitems!$B$3:$B$1567,2025,data_lineitems!$C$3:$C$1567,"medium",data_lineitems!$D$3:$D$1567,"E1=E2",data_lineitems!$F$3:$F$1567,"5 General taxation &amp; levies")</f>
        <v/>
      </c>
    </row>
    <row r="112" ht="15" customHeight="1" s="78">
      <c r="A112" s="77" t="inlineStr">
        <is>
          <t>CN</t>
        </is>
      </c>
      <c r="B112" s="77" t="inlineStr">
        <is>
          <t>medium</t>
        </is>
      </c>
      <c r="C112" s="77" t="inlineStr">
        <is>
          <t>E1=E2</t>
        </is>
      </c>
      <c r="D112" s="77" t="inlineStr">
        <is>
          <t>TOTAL modelled (sum buckets)</t>
        </is>
      </c>
      <c r="E112" s="77">
        <f>SUM(E106:E111)</f>
        <v/>
      </c>
      <c r="F112" s="77">
        <f>SUM(F106:F111)</f>
        <v/>
      </c>
      <c r="G112" s="77">
        <f>SUM(G106:G111)</f>
        <v/>
      </c>
      <c r="H112" s="77">
        <f>SUM(H106:H111)</f>
        <v/>
      </c>
      <c r="I112" s="77">
        <f>SUM(I106:I111)</f>
        <v/>
      </c>
      <c r="J112" s="77">
        <f>SUM(J106:J111)</f>
        <v/>
      </c>
      <c r="K112" s="77">
        <f>SUM(K106:K111)</f>
        <v/>
      </c>
      <c r="L112" s="77">
        <f>SUM(L106:L111)</f>
        <v/>
      </c>
      <c r="M112" s="77">
        <f>SUM(M106:M111)</f>
        <v/>
      </c>
      <c r="N112" s="77">
        <f>SUM(N106:N111)</f>
        <v/>
      </c>
      <c r="O112" s="77">
        <f>SUM(O106:O111)</f>
        <v/>
      </c>
      <c r="P112" s="77">
        <f>SUM(P106:P111)</f>
        <v/>
      </c>
      <c r="Q112" s="77">
        <f>SUM(Q106:Q111)</f>
        <v/>
      </c>
      <c r="R112" s="77">
        <f>SUM(R106:R111)</f>
        <v/>
      </c>
      <c r="S112" s="77">
        <f>SUM(S106:S111)</f>
        <v/>
      </c>
      <c r="T112" s="77">
        <f>SUM(T106:T111)</f>
        <v/>
      </c>
    </row>
    <row r="113" ht="15" customHeight="1" s="78">
      <c r="A113" s="77" t="inlineStr">
        <is>
          <t>CN</t>
        </is>
      </c>
      <c r="B113" s="77" t="inlineStr">
        <is>
          <t>medium</t>
        </is>
      </c>
      <c r="C113" s="77" t="inlineStr">
        <is>
          <t>E1=E2</t>
        </is>
      </c>
      <c r="D113" s="77" t="inlineStr">
        <is>
          <t>REFERENCE — basket USD (ts r90) &lt;=2021; JS total (stage4_cn r93) 2022+ (D41)</t>
        </is>
      </c>
      <c r="E113" s="77">
        <f>IF(ISNUMBER(timeseries!D90),timeseries!D90,"")</f>
        <v/>
      </c>
      <c r="F113" s="77">
        <f>IF(ISNUMBER(timeseries!E90),timeseries!E90,"")</f>
        <v/>
      </c>
      <c r="G113" s="136">
        <f>IF(ISNUMBER(timeseries!F90),timeseries!F90,"")</f>
        <v/>
      </c>
      <c r="H113" s="136">
        <f>IF(ISNUMBER(timeseries!G90),timeseries!G90,"")</f>
        <v/>
      </c>
      <c r="I113" s="136">
        <f>IF(ISNUMBER(timeseries!H90),timeseries!H90,"")</f>
        <v/>
      </c>
      <c r="J113" s="136">
        <f>IF(ISNUMBER(timeseries!I90),timeseries!I90,"")</f>
        <v/>
      </c>
      <c r="K113" s="136">
        <f>IF(ISNUMBER(timeseries!J90),timeseries!J90,"")</f>
        <v/>
      </c>
      <c r="L113" s="136">
        <f>IF(ISNUMBER(timeseries!K90),timeseries!K90,"")</f>
        <v/>
      </c>
      <c r="M113" s="136">
        <f>IF(ISNUMBER(timeseries!L90),timeseries!L90,"")</f>
        <v/>
      </c>
      <c r="N113" s="136">
        <f>IF(ISNUMBER(timeseries!M90),timeseries!M90,"")</f>
        <v/>
      </c>
      <c r="O113" s="136">
        <f>IF(ISNUMBER(timeseries!N90),timeseries!N90,"")</f>
        <v/>
      </c>
      <c r="P113" s="136">
        <f>IF(ISNUMBER(timeseries!O90),timeseries!O90,"")</f>
        <v/>
      </c>
      <c r="Q113" s="77">
        <f>IF(ISNUMBER(stage4_cn!P93),stage4_cn!P93/fx_deflator!$K$17*fx_deflator!$M$17,"")</f>
        <v/>
      </c>
      <c r="R113" s="77">
        <f>IF(ISNUMBER(stage4_cn!Q93),stage4_cn!Q93/fx_deflator!$K$18*fx_deflator!$M$18,"")</f>
        <v/>
      </c>
      <c r="S113" s="77">
        <f>IF(ISNUMBER(stage4_cn!R93),stage4_cn!R93/fx_deflator!$K$19*fx_deflator!$M$19,"")</f>
        <v/>
      </c>
      <c r="T113" s="77">
        <f>IF(ISNUMBER(stage4_cn!S93),stage4_cn!S93/fx_deflator!$K$20*fx_deflator!$M$20,"")</f>
        <v/>
      </c>
    </row>
    <row r="114" ht="15" customHeight="1" s="78">
      <c r="A114" s="77" t="inlineStr">
        <is>
          <t>CN</t>
        </is>
      </c>
      <c r="B114" s="77" t="inlineStr">
        <is>
          <t>medium</t>
        </is>
      </c>
      <c r="C114" s="77" t="inlineStr">
        <is>
          <t>E1=E2</t>
        </is>
      </c>
      <c r="D114" s="77" t="inlineStr">
        <is>
          <t>RECONCILIATION (total/ref - 1)</t>
        </is>
      </c>
      <c r="E114" s="77">
        <f>IF(AND(ISNUMBER(E113),E113&lt;&gt;0,ISNUMBER(E112)),E112/E113-1,"n/a")</f>
        <v/>
      </c>
      <c r="F114" s="77">
        <f>IF(AND(ISNUMBER(F113),F113&lt;&gt;0,ISNUMBER(F112)),F112/F113-1,"n/a")</f>
        <v/>
      </c>
      <c r="G114" s="77">
        <f>IF(AND(ISNUMBER(G113),G113&lt;&gt;0,ISNUMBER(G112)),G112/G113-1,"n/a")</f>
        <v/>
      </c>
      <c r="H114" s="77">
        <f>IF(AND(ISNUMBER(H113),H113&lt;&gt;0,ISNUMBER(H112)),H112/H113-1,"n/a")</f>
        <v/>
      </c>
      <c r="I114" s="77">
        <f>IF(AND(ISNUMBER(I113),I113&lt;&gt;0,ISNUMBER(I112)),I112/I113-1,"n/a")</f>
        <v/>
      </c>
      <c r="J114" s="77">
        <f>IF(AND(ISNUMBER(J113),J113&lt;&gt;0,ISNUMBER(J112)),J112/J113-1,"n/a")</f>
        <v/>
      </c>
      <c r="K114" s="77">
        <f>IF(AND(ISNUMBER(K113),K113&lt;&gt;0,ISNUMBER(K112)),K112/K113-1,"n/a")</f>
        <v/>
      </c>
      <c r="L114" s="77">
        <f>IF(AND(ISNUMBER(L113),L113&lt;&gt;0,ISNUMBER(L112)),L112/L113-1,"n/a")</f>
        <v/>
      </c>
      <c r="M114" s="77">
        <f>IF(AND(ISNUMBER(M113),M113&lt;&gt;0,ISNUMBER(M112)),M112/M113-1,"n/a")</f>
        <v/>
      </c>
      <c r="N114" s="77">
        <f>IF(AND(ISNUMBER(N113),N113&lt;&gt;0,ISNUMBER(N112)),N112/N113-1,"n/a")</f>
        <v/>
      </c>
      <c r="O114" s="77">
        <f>IF(AND(ISNUMBER(O113),O113&lt;&gt;0,ISNUMBER(O112)),O112/O113-1,"n/a")</f>
        <v/>
      </c>
      <c r="P114" s="77">
        <f>IF(AND(ISNUMBER(P113),P113&lt;&gt;0,ISNUMBER(P112)),P112/P113-1,"n/a")</f>
        <v/>
      </c>
      <c r="Q114" s="77">
        <f>IF(AND(ISNUMBER(Q113),Q113&lt;&gt;0,ISNUMBER(Q112)),Q112/Q113-1,"n/a")</f>
        <v/>
      </c>
      <c r="R114" s="77">
        <f>IF(AND(ISNUMBER(R113),R113&lt;&gt;0,ISNUMBER(R112)),R112/R113-1,"n/a")</f>
        <v/>
      </c>
      <c r="S114" s="77">
        <f>IF(AND(ISNUMBER(S113),S113&lt;&gt;0,ISNUMBER(S112)),S112/S113-1,"n/a")</f>
        <v/>
      </c>
      <c r="T114" s="77">
        <f>IF(AND(ISNUMBER(T113),T113&lt;&gt;0,ISNUMBER(T112)),T112/T113-1,"n/a")</f>
        <v/>
      </c>
    </row>
    <row r="115" ht="15" customHeight="1" s="78">
      <c r="A115" s="77" t="inlineStr">
        <is>
          <t>CN</t>
        </is>
      </c>
      <c r="B115" s="77" t="inlineStr">
        <is>
          <t>medium</t>
        </is>
      </c>
      <c r="C115" s="77" t="inlineStr">
        <is>
          <t>E1=E2</t>
        </is>
      </c>
      <c r="D115" s="77" t="inlineStr">
        <is>
          <t>GATE +/-2 pct</t>
        </is>
      </c>
      <c r="E115" s="77">
        <f>IF(ISNUMBER(E114),IF(ABS(E114)&lt;=0.02,"PASS","FAIL"),"n/a")</f>
        <v/>
      </c>
      <c r="F115" s="77">
        <f>IF(ISNUMBER(F114),IF(ABS(F114)&lt;=0.02,"PASS","FAIL"),"n/a")</f>
        <v/>
      </c>
      <c r="G115" s="77">
        <f>IF(ISNUMBER(G114),IF(ABS(G114)&lt;=0.02,"PASS","FAIL"),"n/a")</f>
        <v/>
      </c>
      <c r="H115" s="77">
        <f>IF(ISNUMBER(H114),IF(ABS(H114)&lt;=0.02,"PASS","FAIL"),"n/a")</f>
        <v/>
      </c>
      <c r="I115" s="77">
        <f>IF(ISNUMBER(I114),IF(ABS(I114)&lt;=0.02,"PASS","FAIL"),"n/a")</f>
        <v/>
      </c>
      <c r="J115" s="77">
        <f>IF(ISNUMBER(J114),IF(ABS(J114)&lt;=0.02,"PASS","FAIL"),"n/a")</f>
        <v/>
      </c>
      <c r="K115" s="77">
        <f>IF(ISNUMBER(K114),IF(ABS(K114)&lt;=0.02,"PASS","FAIL"),"n/a")</f>
        <v/>
      </c>
      <c r="L115" s="77">
        <f>IF(ISNUMBER(L114),IF(ABS(L114)&lt;=0.02,"PASS","FAIL"),"n/a")</f>
        <v/>
      </c>
      <c r="M115" s="77">
        <f>IF(ISNUMBER(M114),IF(ABS(M114)&lt;=0.02,"PASS","FAIL"),"n/a")</f>
        <v/>
      </c>
      <c r="N115" s="77">
        <f>IF(ISNUMBER(N114),IF(ABS(N114)&lt;=0.02,"PASS","FAIL"),"n/a")</f>
        <v/>
      </c>
      <c r="O115" s="77">
        <f>IF(ISNUMBER(O114),IF(ABS(O114)&lt;=0.02,"PASS","FAIL"),"n/a")</f>
        <v/>
      </c>
      <c r="P115" s="77">
        <f>IF(ISNUMBER(P114),IF(ABS(P114)&lt;=0.02,"PASS","FAIL"),"n/a")</f>
        <v/>
      </c>
      <c r="Q115" s="77">
        <f>IF(ISNUMBER(Q114),IF(ABS(Q114)&lt;=0.02,"PASS","FAIL"),"n/a")</f>
        <v/>
      </c>
      <c r="R115" s="77">
        <f>IF(ISNUMBER(R114),IF(ABS(R114)&lt;=0.02,"PASS","FAIL"),"n/a")</f>
        <v/>
      </c>
      <c r="S115" s="77">
        <f>IF(ISNUMBER(S114),IF(ABS(S114)&lt;=0.02,"PASS","FAIL"),"n/a")</f>
        <v/>
      </c>
      <c r="T115" s="77">
        <f>IF(ISNUMBER(T114),IF(ABS(T114)&lt;=0.02,"PASS","FAIL"),"n/a")</f>
        <v/>
      </c>
    </row>
    <row r="117" ht="15" customHeight="1" s="78">
      <c r="A117" s="77" t="inlineStr">
        <is>
          <t>MEMO SERIES (real 2025 USD/MWh) — never additive</t>
        </is>
      </c>
    </row>
    <row r="118" ht="15" customHeight="1" s="78">
      <c r="A118" s="77" t="inlineStr">
        <is>
          <t>UK</t>
        </is>
      </c>
      <c r="D118" s="77" t="inlineStr">
        <is>
          <t>MEMO embedded carbon (D40 central; within bucket 1)</t>
        </is>
      </c>
      <c r="E118" s="77">
        <f>IF(ISNUMBER(carbon!D16),carbon!D16,"")</f>
        <v/>
      </c>
      <c r="F118" s="77">
        <f>IF(ISNUMBER(carbon!E16),carbon!E16,"")</f>
        <v/>
      </c>
      <c r="G118" s="77">
        <f>IF(ISNUMBER(carbon!F16),carbon!F16,"")</f>
        <v/>
      </c>
      <c r="H118" s="77">
        <f>IF(ISNUMBER(carbon!G16),carbon!G16,"")</f>
        <v/>
      </c>
      <c r="I118" s="77">
        <f>IF(ISNUMBER(carbon!H16),carbon!H16,"")</f>
        <v/>
      </c>
      <c r="J118" s="77">
        <f>IF(ISNUMBER(carbon!I16),carbon!I16,"")</f>
        <v/>
      </c>
      <c r="K118" s="77">
        <f>IF(ISNUMBER(carbon!J16),carbon!J16,"")</f>
        <v/>
      </c>
      <c r="L118" s="77">
        <f>IF(ISNUMBER(carbon!K16),carbon!K16,"")</f>
        <v/>
      </c>
      <c r="M118" s="77">
        <f>IF(ISNUMBER(carbon!L16),carbon!L16,"")</f>
        <v/>
      </c>
      <c r="N118" s="77">
        <f>IF(ISNUMBER(carbon!M16),carbon!M16,"")</f>
        <v/>
      </c>
      <c r="O118" s="77">
        <f>IF(ISNUMBER(carbon!N16),carbon!N16,"")</f>
        <v/>
      </c>
      <c r="P118" s="77">
        <f>IF(ISNUMBER(carbon!O16),carbon!O16,"")</f>
        <v/>
      </c>
      <c r="Q118" s="77">
        <f>IF(ISNUMBER(carbon!P16),carbon!P16,"")</f>
        <v/>
      </c>
      <c r="R118" s="77">
        <f>IF(ISNUMBER(carbon!Q16),carbon!Q16,"")</f>
        <v/>
      </c>
      <c r="S118" s="77">
        <f>IF(ISNUMBER(carbon!R16),carbon!R16,"")</f>
        <v/>
      </c>
      <c r="T118" s="77">
        <f>IF(ISNUMBER(carbon!S16),carbon!S16,"")</f>
        <v/>
      </c>
    </row>
    <row r="119" ht="15" customHeight="1" s="78">
      <c r="A119" s="77" t="inlineStr">
        <is>
          <t>DE</t>
        </is>
      </c>
      <c r="D119" s="77" t="inlineStr">
        <is>
          <t>MEMO embedded carbon (D40 central; within bucket 1)</t>
        </is>
      </c>
      <c r="E119" s="77">
        <f>IF(ISNUMBER(carbon!D17),carbon!D17,"")</f>
        <v/>
      </c>
      <c r="F119" s="77">
        <f>IF(ISNUMBER(carbon!E17),carbon!E17,"")</f>
        <v/>
      </c>
      <c r="G119" s="77">
        <f>IF(ISNUMBER(carbon!F17),carbon!F17,"")</f>
        <v/>
      </c>
      <c r="H119" s="77">
        <f>IF(ISNUMBER(carbon!G17),carbon!G17,"")</f>
        <v/>
      </c>
      <c r="I119" s="77">
        <f>IF(ISNUMBER(carbon!H17),carbon!H17,"")</f>
        <v/>
      </c>
      <c r="J119" s="77">
        <f>IF(ISNUMBER(carbon!I17),carbon!I17,"")</f>
        <v/>
      </c>
      <c r="K119" s="77">
        <f>IF(ISNUMBER(carbon!J17),carbon!J17,"")</f>
        <v/>
      </c>
      <c r="L119" s="77">
        <f>IF(ISNUMBER(carbon!K17),carbon!K17,"")</f>
        <v/>
      </c>
      <c r="M119" s="77">
        <f>IF(ISNUMBER(carbon!L17),carbon!L17,"")</f>
        <v/>
      </c>
      <c r="N119" s="77">
        <f>IF(ISNUMBER(carbon!M17),carbon!M17,"")</f>
        <v/>
      </c>
      <c r="O119" s="77">
        <f>IF(ISNUMBER(carbon!N17),carbon!N17,"")</f>
        <v/>
      </c>
      <c r="P119" s="77">
        <f>IF(ISNUMBER(carbon!O17),carbon!O17,"")</f>
        <v/>
      </c>
      <c r="Q119" s="77">
        <f>IF(ISNUMBER(carbon!P17),carbon!P17,"")</f>
        <v/>
      </c>
      <c r="R119" s="77">
        <f>IF(ISNUMBER(carbon!Q17),carbon!Q17,"")</f>
        <v/>
      </c>
      <c r="S119" s="77">
        <f>IF(ISNUMBER(carbon!R17),carbon!R17,"")</f>
        <v/>
      </c>
      <c r="T119" s="77">
        <f>IF(ISNUMBER(carbon!S17),carbon!S17,"")</f>
        <v/>
      </c>
    </row>
    <row r="120" ht="15" customHeight="1" s="78">
      <c r="A120" s="77" t="inlineStr">
        <is>
          <t>CN</t>
        </is>
      </c>
      <c r="D120" s="77" t="inlineStr">
        <is>
          <t>MEMO embedded carbon = 0 (documented, carbon!A2)</t>
        </is>
      </c>
    </row>
    <row r="121" ht="15" customHeight="1" s="78">
      <c r="A121" s="77" t="inlineStr">
        <is>
          <t>UK</t>
        </is>
      </c>
      <c r="B121" s="77" t="inlineStr">
        <is>
          <t>large</t>
        </is>
      </c>
      <c r="C121" s="77" t="inlineStr">
        <is>
          <t>E1</t>
        </is>
      </c>
      <c r="D121" s="77" t="inlineStr">
        <is>
          <t>MEMO 6 Supply margin (obs - modelled E1)</t>
        </is>
      </c>
      <c r="E121" s="77">
        <f>SUMIFS(data_lineitems!$I$3:$I$1567,data_lineitems!$A$3:$A$1567,"UK",data_lineitems!$B$3:$B$1567,2010,data_lineitems!$C$3:$C$1567,"large",data_lineitems!$D$3:$D$1567,"memo (vs E1)",data_lineitems!$F$3:$F$1567,"MEMO — 6 Supply margin*")</f>
        <v/>
      </c>
      <c r="F121" s="77">
        <f>SUMIFS(data_lineitems!$I$3:$I$1567,data_lineitems!$A$3:$A$1567,"UK",data_lineitems!$B$3:$B$1567,2011,data_lineitems!$C$3:$C$1567,"large",data_lineitems!$D$3:$D$1567,"memo (vs E1)",data_lineitems!$F$3:$F$1567,"MEMO — 6 Supply margin*")</f>
        <v/>
      </c>
      <c r="G121" s="77">
        <f>SUMIFS(data_lineitems!$I$3:$I$1567,data_lineitems!$A$3:$A$1567,"UK",data_lineitems!$B$3:$B$1567,2012,data_lineitems!$C$3:$C$1567,"large",data_lineitems!$D$3:$D$1567,"memo (vs E1)",data_lineitems!$F$3:$F$1567,"MEMO — 6 Supply margin*")</f>
        <v/>
      </c>
      <c r="H121" s="77">
        <f>SUMIFS(data_lineitems!$I$3:$I$1567,data_lineitems!$A$3:$A$1567,"UK",data_lineitems!$B$3:$B$1567,2013,data_lineitems!$C$3:$C$1567,"large",data_lineitems!$D$3:$D$1567,"memo (vs E1)",data_lineitems!$F$3:$F$1567,"MEMO — 6 Supply margin*")</f>
        <v/>
      </c>
      <c r="I121" s="77">
        <f>SUMIFS(data_lineitems!$I$3:$I$1567,data_lineitems!$A$3:$A$1567,"UK",data_lineitems!$B$3:$B$1567,2014,data_lineitems!$C$3:$C$1567,"large",data_lineitems!$D$3:$D$1567,"memo (vs E1)",data_lineitems!$F$3:$F$1567,"MEMO — 6 Supply margin*")</f>
        <v/>
      </c>
      <c r="J121" s="77">
        <f>SUMIFS(data_lineitems!$I$3:$I$1567,data_lineitems!$A$3:$A$1567,"UK",data_lineitems!$B$3:$B$1567,2015,data_lineitems!$C$3:$C$1567,"large",data_lineitems!$D$3:$D$1567,"memo (vs E1)",data_lineitems!$F$3:$F$1567,"MEMO — 6 Supply margin*")</f>
        <v/>
      </c>
      <c r="K121" s="77">
        <f>SUMIFS(data_lineitems!$I$3:$I$1567,data_lineitems!$A$3:$A$1567,"UK",data_lineitems!$B$3:$B$1567,2016,data_lineitems!$C$3:$C$1567,"large",data_lineitems!$D$3:$D$1567,"memo (vs E1)",data_lineitems!$F$3:$F$1567,"MEMO — 6 Supply margin*")</f>
        <v/>
      </c>
      <c r="L121" s="77">
        <f>SUMIFS(data_lineitems!$I$3:$I$1567,data_lineitems!$A$3:$A$1567,"UK",data_lineitems!$B$3:$B$1567,2017,data_lineitems!$C$3:$C$1567,"large",data_lineitems!$D$3:$D$1567,"memo (vs E1)",data_lineitems!$F$3:$F$1567,"MEMO — 6 Supply margin*")</f>
        <v/>
      </c>
      <c r="M121" s="77">
        <f>SUMIFS(data_lineitems!$I$3:$I$1567,data_lineitems!$A$3:$A$1567,"UK",data_lineitems!$B$3:$B$1567,2018,data_lineitems!$C$3:$C$1567,"large",data_lineitems!$D$3:$D$1567,"memo (vs E1)",data_lineitems!$F$3:$F$1567,"MEMO — 6 Supply margin*")</f>
        <v/>
      </c>
      <c r="N121" s="77">
        <f>SUMIFS(data_lineitems!$I$3:$I$1567,data_lineitems!$A$3:$A$1567,"UK",data_lineitems!$B$3:$B$1567,2019,data_lineitems!$C$3:$C$1567,"large",data_lineitems!$D$3:$D$1567,"memo (vs E1)",data_lineitems!$F$3:$F$1567,"MEMO — 6 Supply margin*")</f>
        <v/>
      </c>
      <c r="O121" s="77">
        <f>SUMIFS(data_lineitems!$I$3:$I$1567,data_lineitems!$A$3:$A$1567,"UK",data_lineitems!$B$3:$B$1567,2020,data_lineitems!$C$3:$C$1567,"large",data_lineitems!$D$3:$D$1567,"memo (vs E1)",data_lineitems!$F$3:$F$1567,"MEMO — 6 Supply margin*")</f>
        <v/>
      </c>
      <c r="P121" s="77">
        <f>SUMIFS(data_lineitems!$I$3:$I$1567,data_lineitems!$A$3:$A$1567,"UK",data_lineitems!$B$3:$B$1567,2021,data_lineitems!$C$3:$C$1567,"large",data_lineitems!$D$3:$D$1567,"memo (vs E1)",data_lineitems!$F$3:$F$1567,"MEMO — 6 Supply margin*")</f>
        <v/>
      </c>
      <c r="Q121" s="77">
        <f>SUMIFS(data_lineitems!$I$3:$I$1567,data_lineitems!$A$3:$A$1567,"UK",data_lineitems!$B$3:$B$1567,2022,data_lineitems!$C$3:$C$1567,"large",data_lineitems!$D$3:$D$1567,"memo (vs E1)",data_lineitems!$F$3:$F$1567,"MEMO — 6 Supply margin*")</f>
        <v/>
      </c>
      <c r="R121" s="77">
        <f>SUMIFS(data_lineitems!$I$3:$I$1567,data_lineitems!$A$3:$A$1567,"UK",data_lineitems!$B$3:$B$1567,2023,data_lineitems!$C$3:$C$1567,"large",data_lineitems!$D$3:$D$1567,"memo (vs E1)",data_lineitems!$F$3:$F$1567,"MEMO — 6 Supply margin*")</f>
        <v/>
      </c>
      <c r="S121" s="77">
        <f>SUMIFS(data_lineitems!$I$3:$I$1567,data_lineitems!$A$3:$A$1567,"UK",data_lineitems!$B$3:$B$1567,2024,data_lineitems!$C$3:$C$1567,"large",data_lineitems!$D$3:$D$1567,"memo (vs E1)",data_lineitems!$F$3:$F$1567,"MEMO — 6 Supply margin*")</f>
        <v/>
      </c>
      <c r="T121" s="77">
        <f>SUMIFS(data_lineitems!$I$3:$I$1567,data_lineitems!$A$3:$A$1567,"UK",data_lineitems!$B$3:$B$1567,2025,data_lineitems!$C$3:$C$1567,"large",data_lineitems!$D$3:$D$1567,"memo (vs E1)",data_lineitems!$F$3:$F$1567,"MEMO — 6 Supply margin*")</f>
        <v/>
      </c>
    </row>
    <row r="122" ht="15" customHeight="1" s="78">
      <c r="A122" s="77" t="inlineStr">
        <is>
          <t>UK</t>
        </is>
      </c>
      <c r="B122" s="77" t="inlineStr">
        <is>
          <t>large</t>
        </is>
      </c>
      <c r="C122" s="77" t="inlineStr">
        <is>
          <t>E1</t>
        </is>
      </c>
      <c r="D122" s="77" t="inlineStr">
        <is>
          <t>HATCH ii (borne by other users)</t>
        </is>
      </c>
      <c r="E122" s="77">
        <f>SUMIFS(data_lineitems!$I$3:$I$1567,data_lineitems!$A$3:$A$1567,"UK",data_lineitems!$B$3:$B$1567,2010,data_lineitems!$C$3:$C$1567,"large",data_lineitems!$D$3:$D$1567,"E1",data_lineitems!$F$3:$F$1567,"HATCH*",data_lineitems!$H$3:$H$1567,"ii *")</f>
        <v/>
      </c>
      <c r="F122" s="77">
        <f>SUMIFS(data_lineitems!$I$3:$I$1567,data_lineitems!$A$3:$A$1567,"UK",data_lineitems!$B$3:$B$1567,2011,data_lineitems!$C$3:$C$1567,"large",data_lineitems!$D$3:$D$1567,"E1",data_lineitems!$F$3:$F$1567,"HATCH*",data_lineitems!$H$3:$H$1567,"ii *")</f>
        <v/>
      </c>
      <c r="G122" s="77">
        <f>SUMIFS(data_lineitems!$I$3:$I$1567,data_lineitems!$A$3:$A$1567,"UK",data_lineitems!$B$3:$B$1567,2012,data_lineitems!$C$3:$C$1567,"large",data_lineitems!$D$3:$D$1567,"E1",data_lineitems!$F$3:$F$1567,"HATCH*",data_lineitems!$H$3:$H$1567,"ii *")</f>
        <v/>
      </c>
      <c r="H122" s="77">
        <f>SUMIFS(data_lineitems!$I$3:$I$1567,data_lineitems!$A$3:$A$1567,"UK",data_lineitems!$B$3:$B$1567,2013,data_lineitems!$C$3:$C$1567,"large",data_lineitems!$D$3:$D$1567,"E1",data_lineitems!$F$3:$F$1567,"HATCH*",data_lineitems!$H$3:$H$1567,"ii *")</f>
        <v/>
      </c>
      <c r="I122" s="77">
        <f>SUMIFS(data_lineitems!$I$3:$I$1567,data_lineitems!$A$3:$A$1567,"UK",data_lineitems!$B$3:$B$1567,2014,data_lineitems!$C$3:$C$1567,"large",data_lineitems!$D$3:$D$1567,"E1",data_lineitems!$F$3:$F$1567,"HATCH*",data_lineitems!$H$3:$H$1567,"ii *")</f>
        <v/>
      </c>
      <c r="J122" s="77">
        <f>SUMIFS(data_lineitems!$I$3:$I$1567,data_lineitems!$A$3:$A$1567,"UK",data_lineitems!$B$3:$B$1567,2015,data_lineitems!$C$3:$C$1567,"large",data_lineitems!$D$3:$D$1567,"E1",data_lineitems!$F$3:$F$1567,"HATCH*",data_lineitems!$H$3:$H$1567,"ii *")</f>
        <v/>
      </c>
      <c r="K122" s="77">
        <f>SUMIFS(data_lineitems!$I$3:$I$1567,data_lineitems!$A$3:$A$1567,"UK",data_lineitems!$B$3:$B$1567,2016,data_lineitems!$C$3:$C$1567,"large",data_lineitems!$D$3:$D$1567,"E1",data_lineitems!$F$3:$F$1567,"HATCH*",data_lineitems!$H$3:$H$1567,"ii *")</f>
        <v/>
      </c>
      <c r="L122" s="77">
        <f>SUMIFS(data_lineitems!$I$3:$I$1567,data_lineitems!$A$3:$A$1567,"UK",data_lineitems!$B$3:$B$1567,2017,data_lineitems!$C$3:$C$1567,"large",data_lineitems!$D$3:$D$1567,"E1",data_lineitems!$F$3:$F$1567,"HATCH*",data_lineitems!$H$3:$H$1567,"ii *")</f>
        <v/>
      </c>
      <c r="M122" s="77">
        <f>SUMIFS(data_lineitems!$I$3:$I$1567,data_lineitems!$A$3:$A$1567,"UK",data_lineitems!$B$3:$B$1567,2018,data_lineitems!$C$3:$C$1567,"large",data_lineitems!$D$3:$D$1567,"E1",data_lineitems!$F$3:$F$1567,"HATCH*",data_lineitems!$H$3:$H$1567,"ii *")</f>
        <v/>
      </c>
      <c r="N122" s="77">
        <f>SUMIFS(data_lineitems!$I$3:$I$1567,data_lineitems!$A$3:$A$1567,"UK",data_lineitems!$B$3:$B$1567,2019,data_lineitems!$C$3:$C$1567,"large",data_lineitems!$D$3:$D$1567,"E1",data_lineitems!$F$3:$F$1567,"HATCH*",data_lineitems!$H$3:$H$1567,"ii *")</f>
        <v/>
      </c>
      <c r="O122" s="77">
        <f>SUMIFS(data_lineitems!$I$3:$I$1567,data_lineitems!$A$3:$A$1567,"UK",data_lineitems!$B$3:$B$1567,2020,data_lineitems!$C$3:$C$1567,"large",data_lineitems!$D$3:$D$1567,"E1",data_lineitems!$F$3:$F$1567,"HATCH*",data_lineitems!$H$3:$H$1567,"ii *")</f>
        <v/>
      </c>
      <c r="P122" s="77">
        <f>SUMIFS(data_lineitems!$I$3:$I$1567,data_lineitems!$A$3:$A$1567,"UK",data_lineitems!$B$3:$B$1567,2021,data_lineitems!$C$3:$C$1567,"large",data_lineitems!$D$3:$D$1567,"E1",data_lineitems!$F$3:$F$1567,"HATCH*",data_lineitems!$H$3:$H$1567,"ii *")</f>
        <v/>
      </c>
      <c r="Q122" s="77">
        <f>SUMIFS(data_lineitems!$I$3:$I$1567,data_lineitems!$A$3:$A$1567,"UK",data_lineitems!$B$3:$B$1567,2022,data_lineitems!$C$3:$C$1567,"large",data_lineitems!$D$3:$D$1567,"E1",data_lineitems!$F$3:$F$1567,"HATCH*",data_lineitems!$H$3:$H$1567,"ii *")</f>
        <v/>
      </c>
      <c r="R122" s="77">
        <f>SUMIFS(data_lineitems!$I$3:$I$1567,data_lineitems!$A$3:$A$1567,"UK",data_lineitems!$B$3:$B$1567,2023,data_lineitems!$C$3:$C$1567,"large",data_lineitems!$D$3:$D$1567,"E1",data_lineitems!$F$3:$F$1567,"HATCH*",data_lineitems!$H$3:$H$1567,"ii *")</f>
        <v/>
      </c>
      <c r="S122" s="77">
        <f>SUMIFS(data_lineitems!$I$3:$I$1567,data_lineitems!$A$3:$A$1567,"UK",data_lineitems!$B$3:$B$1567,2024,data_lineitems!$C$3:$C$1567,"large",data_lineitems!$D$3:$D$1567,"E1",data_lineitems!$F$3:$F$1567,"HATCH*",data_lineitems!$H$3:$H$1567,"ii *")</f>
        <v/>
      </c>
      <c r="T122" s="77">
        <f>SUMIFS(data_lineitems!$I$3:$I$1567,data_lineitems!$A$3:$A$1567,"UK",data_lineitems!$B$3:$B$1567,2025,data_lineitems!$C$3:$C$1567,"large",data_lineitems!$D$3:$D$1567,"E1",data_lineitems!$F$3:$F$1567,"HATCH*",data_lineitems!$H$3:$H$1567,"ii *")</f>
        <v/>
      </c>
    </row>
    <row r="123" ht="15" customHeight="1" s="78">
      <c r="A123" s="77" t="inlineStr">
        <is>
          <t>UK</t>
        </is>
      </c>
      <c r="B123" s="77" t="inlineStr">
        <is>
          <t>large</t>
        </is>
      </c>
      <c r="C123" s="77" t="inlineStr">
        <is>
          <t>E1</t>
        </is>
      </c>
      <c r="D123" s="77" t="inlineStr">
        <is>
          <t>HATCH iii (borne by taxpayer)</t>
        </is>
      </c>
      <c r="E123" s="77">
        <f>SUMIFS(data_lineitems!$I$3:$I$1567,data_lineitems!$A$3:$A$1567,"UK",data_lineitems!$B$3:$B$1567,2010,data_lineitems!$C$3:$C$1567,"large",data_lineitems!$D$3:$D$1567,"E1",data_lineitems!$F$3:$F$1567,"HATCH*",data_lineitems!$H$3:$H$1567,"iii*")</f>
        <v/>
      </c>
      <c r="F123" s="77">
        <f>SUMIFS(data_lineitems!$I$3:$I$1567,data_lineitems!$A$3:$A$1567,"UK",data_lineitems!$B$3:$B$1567,2011,data_lineitems!$C$3:$C$1567,"large",data_lineitems!$D$3:$D$1567,"E1",data_lineitems!$F$3:$F$1567,"HATCH*",data_lineitems!$H$3:$H$1567,"iii*")</f>
        <v/>
      </c>
      <c r="G123" s="77">
        <f>SUMIFS(data_lineitems!$I$3:$I$1567,data_lineitems!$A$3:$A$1567,"UK",data_lineitems!$B$3:$B$1567,2012,data_lineitems!$C$3:$C$1567,"large",data_lineitems!$D$3:$D$1567,"E1",data_lineitems!$F$3:$F$1567,"HATCH*",data_lineitems!$H$3:$H$1567,"iii*")</f>
        <v/>
      </c>
      <c r="H123" s="77">
        <f>SUMIFS(data_lineitems!$I$3:$I$1567,data_lineitems!$A$3:$A$1567,"UK",data_lineitems!$B$3:$B$1567,2013,data_lineitems!$C$3:$C$1567,"large",data_lineitems!$D$3:$D$1567,"E1",data_lineitems!$F$3:$F$1567,"HATCH*",data_lineitems!$H$3:$H$1567,"iii*")</f>
        <v/>
      </c>
      <c r="I123" s="77">
        <f>SUMIFS(data_lineitems!$I$3:$I$1567,data_lineitems!$A$3:$A$1567,"UK",data_lineitems!$B$3:$B$1567,2014,data_lineitems!$C$3:$C$1567,"large",data_lineitems!$D$3:$D$1567,"E1",data_lineitems!$F$3:$F$1567,"HATCH*",data_lineitems!$H$3:$H$1567,"iii*")</f>
        <v/>
      </c>
      <c r="J123" s="77">
        <f>SUMIFS(data_lineitems!$I$3:$I$1567,data_lineitems!$A$3:$A$1567,"UK",data_lineitems!$B$3:$B$1567,2015,data_lineitems!$C$3:$C$1567,"large",data_lineitems!$D$3:$D$1567,"E1",data_lineitems!$F$3:$F$1567,"HATCH*",data_lineitems!$H$3:$H$1567,"iii*")</f>
        <v/>
      </c>
      <c r="K123" s="77">
        <f>SUMIFS(data_lineitems!$I$3:$I$1567,data_lineitems!$A$3:$A$1567,"UK",data_lineitems!$B$3:$B$1567,2016,data_lineitems!$C$3:$C$1567,"large",data_lineitems!$D$3:$D$1567,"E1",data_lineitems!$F$3:$F$1567,"HATCH*",data_lineitems!$H$3:$H$1567,"iii*")</f>
        <v/>
      </c>
      <c r="L123" s="77">
        <f>SUMIFS(data_lineitems!$I$3:$I$1567,data_lineitems!$A$3:$A$1567,"UK",data_lineitems!$B$3:$B$1567,2017,data_lineitems!$C$3:$C$1567,"large",data_lineitems!$D$3:$D$1567,"E1",data_lineitems!$F$3:$F$1567,"HATCH*",data_lineitems!$H$3:$H$1567,"iii*")</f>
        <v/>
      </c>
      <c r="M123" s="77">
        <f>SUMIFS(data_lineitems!$I$3:$I$1567,data_lineitems!$A$3:$A$1567,"UK",data_lineitems!$B$3:$B$1567,2018,data_lineitems!$C$3:$C$1567,"large",data_lineitems!$D$3:$D$1567,"E1",data_lineitems!$F$3:$F$1567,"HATCH*",data_lineitems!$H$3:$H$1567,"iii*")</f>
        <v/>
      </c>
      <c r="N123" s="77">
        <f>SUMIFS(data_lineitems!$I$3:$I$1567,data_lineitems!$A$3:$A$1567,"UK",data_lineitems!$B$3:$B$1567,2019,data_lineitems!$C$3:$C$1567,"large",data_lineitems!$D$3:$D$1567,"E1",data_lineitems!$F$3:$F$1567,"HATCH*",data_lineitems!$H$3:$H$1567,"iii*")</f>
        <v/>
      </c>
      <c r="O123" s="77">
        <f>SUMIFS(data_lineitems!$I$3:$I$1567,data_lineitems!$A$3:$A$1567,"UK",data_lineitems!$B$3:$B$1567,2020,data_lineitems!$C$3:$C$1567,"large",data_lineitems!$D$3:$D$1567,"E1",data_lineitems!$F$3:$F$1567,"HATCH*",data_lineitems!$H$3:$H$1567,"iii*")</f>
        <v/>
      </c>
      <c r="P123" s="77">
        <f>SUMIFS(data_lineitems!$I$3:$I$1567,data_lineitems!$A$3:$A$1567,"UK",data_lineitems!$B$3:$B$1567,2021,data_lineitems!$C$3:$C$1567,"large",data_lineitems!$D$3:$D$1567,"E1",data_lineitems!$F$3:$F$1567,"HATCH*",data_lineitems!$H$3:$H$1567,"iii*")</f>
        <v/>
      </c>
      <c r="Q123" s="77">
        <f>SUMIFS(data_lineitems!$I$3:$I$1567,data_lineitems!$A$3:$A$1567,"UK",data_lineitems!$B$3:$B$1567,2022,data_lineitems!$C$3:$C$1567,"large",data_lineitems!$D$3:$D$1567,"E1",data_lineitems!$F$3:$F$1567,"HATCH*",data_lineitems!$H$3:$H$1567,"iii*")</f>
        <v/>
      </c>
      <c r="R123" s="77">
        <f>SUMIFS(data_lineitems!$I$3:$I$1567,data_lineitems!$A$3:$A$1567,"UK",data_lineitems!$B$3:$B$1567,2023,data_lineitems!$C$3:$C$1567,"large",data_lineitems!$D$3:$D$1567,"E1",data_lineitems!$F$3:$F$1567,"HATCH*",data_lineitems!$H$3:$H$1567,"iii*")</f>
        <v/>
      </c>
      <c r="S123" s="77">
        <f>SUMIFS(data_lineitems!$I$3:$I$1567,data_lineitems!$A$3:$A$1567,"UK",data_lineitems!$B$3:$B$1567,2024,data_lineitems!$C$3:$C$1567,"large",data_lineitems!$D$3:$D$1567,"E1",data_lineitems!$F$3:$F$1567,"HATCH*",data_lineitems!$H$3:$H$1567,"iii*")</f>
        <v/>
      </c>
      <c r="T123" s="77">
        <f>SUMIFS(data_lineitems!$I$3:$I$1567,data_lineitems!$A$3:$A$1567,"UK",data_lineitems!$B$3:$B$1567,2025,data_lineitems!$C$3:$C$1567,"large",data_lineitems!$D$3:$D$1567,"E1",data_lineitems!$F$3:$F$1567,"HATCH*",data_lineitems!$H$3:$H$1567,"iii*")</f>
        <v/>
      </c>
    </row>
    <row r="124" ht="15" customHeight="1" s="78">
      <c r="A124" s="77" t="inlineStr">
        <is>
          <t>UK</t>
        </is>
      </c>
      <c r="B124" s="77" t="inlineStr">
        <is>
          <t>large</t>
        </is>
      </c>
      <c r="C124" s="77" t="inlineStr">
        <is>
          <t>E2</t>
        </is>
      </c>
      <c r="D124" s="77" t="inlineStr">
        <is>
          <t>MEMO 6 Supply margin (obs - modelled E1)</t>
        </is>
      </c>
      <c r="E124" s="77">
        <f>SUMIFS(data_lineitems!$I$3:$I$1567,data_lineitems!$A$3:$A$1567,"UK",data_lineitems!$B$3:$B$1567,2010,data_lineitems!$C$3:$C$1567,"large",data_lineitems!$D$3:$D$1567,"memo (vs E1)",data_lineitems!$F$3:$F$1567,"MEMO — 6 Supply margin*")</f>
        <v/>
      </c>
      <c r="F124" s="77">
        <f>SUMIFS(data_lineitems!$I$3:$I$1567,data_lineitems!$A$3:$A$1567,"UK",data_lineitems!$B$3:$B$1567,2011,data_lineitems!$C$3:$C$1567,"large",data_lineitems!$D$3:$D$1567,"memo (vs E1)",data_lineitems!$F$3:$F$1567,"MEMO — 6 Supply margin*")</f>
        <v/>
      </c>
      <c r="G124" s="77">
        <f>SUMIFS(data_lineitems!$I$3:$I$1567,data_lineitems!$A$3:$A$1567,"UK",data_lineitems!$B$3:$B$1567,2012,data_lineitems!$C$3:$C$1567,"large",data_lineitems!$D$3:$D$1567,"memo (vs E1)",data_lineitems!$F$3:$F$1567,"MEMO — 6 Supply margin*")</f>
        <v/>
      </c>
      <c r="H124" s="77">
        <f>SUMIFS(data_lineitems!$I$3:$I$1567,data_lineitems!$A$3:$A$1567,"UK",data_lineitems!$B$3:$B$1567,2013,data_lineitems!$C$3:$C$1567,"large",data_lineitems!$D$3:$D$1567,"memo (vs E1)",data_lineitems!$F$3:$F$1567,"MEMO — 6 Supply margin*")</f>
        <v/>
      </c>
      <c r="I124" s="77">
        <f>SUMIFS(data_lineitems!$I$3:$I$1567,data_lineitems!$A$3:$A$1567,"UK",data_lineitems!$B$3:$B$1567,2014,data_lineitems!$C$3:$C$1567,"large",data_lineitems!$D$3:$D$1567,"memo (vs E1)",data_lineitems!$F$3:$F$1567,"MEMO — 6 Supply margin*")</f>
        <v/>
      </c>
      <c r="J124" s="77">
        <f>SUMIFS(data_lineitems!$I$3:$I$1567,data_lineitems!$A$3:$A$1567,"UK",data_lineitems!$B$3:$B$1567,2015,data_lineitems!$C$3:$C$1567,"large",data_lineitems!$D$3:$D$1567,"memo (vs E1)",data_lineitems!$F$3:$F$1567,"MEMO — 6 Supply margin*")</f>
        <v/>
      </c>
      <c r="K124" s="77">
        <f>SUMIFS(data_lineitems!$I$3:$I$1567,data_lineitems!$A$3:$A$1567,"UK",data_lineitems!$B$3:$B$1567,2016,data_lineitems!$C$3:$C$1567,"large",data_lineitems!$D$3:$D$1567,"memo (vs E1)",data_lineitems!$F$3:$F$1567,"MEMO — 6 Supply margin*")</f>
        <v/>
      </c>
      <c r="L124" s="77">
        <f>SUMIFS(data_lineitems!$I$3:$I$1567,data_lineitems!$A$3:$A$1567,"UK",data_lineitems!$B$3:$B$1567,2017,data_lineitems!$C$3:$C$1567,"large",data_lineitems!$D$3:$D$1567,"memo (vs E1)",data_lineitems!$F$3:$F$1567,"MEMO — 6 Supply margin*")</f>
        <v/>
      </c>
      <c r="M124" s="77">
        <f>SUMIFS(data_lineitems!$I$3:$I$1567,data_lineitems!$A$3:$A$1567,"UK",data_lineitems!$B$3:$B$1567,2018,data_lineitems!$C$3:$C$1567,"large",data_lineitems!$D$3:$D$1567,"memo (vs E1)",data_lineitems!$F$3:$F$1567,"MEMO — 6 Supply margin*")</f>
        <v/>
      </c>
      <c r="N124" s="77">
        <f>SUMIFS(data_lineitems!$I$3:$I$1567,data_lineitems!$A$3:$A$1567,"UK",data_lineitems!$B$3:$B$1567,2019,data_lineitems!$C$3:$C$1567,"large",data_lineitems!$D$3:$D$1567,"memo (vs E1)",data_lineitems!$F$3:$F$1567,"MEMO — 6 Supply margin*")</f>
        <v/>
      </c>
      <c r="O124" s="77">
        <f>SUMIFS(data_lineitems!$I$3:$I$1567,data_lineitems!$A$3:$A$1567,"UK",data_lineitems!$B$3:$B$1567,2020,data_lineitems!$C$3:$C$1567,"large",data_lineitems!$D$3:$D$1567,"memo (vs E1)",data_lineitems!$F$3:$F$1567,"MEMO — 6 Supply margin*")</f>
        <v/>
      </c>
      <c r="P124" s="77">
        <f>SUMIFS(data_lineitems!$I$3:$I$1567,data_lineitems!$A$3:$A$1567,"UK",data_lineitems!$B$3:$B$1567,2021,data_lineitems!$C$3:$C$1567,"large",data_lineitems!$D$3:$D$1567,"memo (vs E1)",data_lineitems!$F$3:$F$1567,"MEMO — 6 Supply margin*")</f>
        <v/>
      </c>
      <c r="Q124" s="77">
        <f>SUMIFS(data_lineitems!$I$3:$I$1567,data_lineitems!$A$3:$A$1567,"UK",data_lineitems!$B$3:$B$1567,2022,data_lineitems!$C$3:$C$1567,"large",data_lineitems!$D$3:$D$1567,"memo (vs E1)",data_lineitems!$F$3:$F$1567,"MEMO — 6 Supply margin*")</f>
        <v/>
      </c>
      <c r="R124" s="77">
        <f>SUMIFS(data_lineitems!$I$3:$I$1567,data_lineitems!$A$3:$A$1567,"UK",data_lineitems!$B$3:$B$1567,2023,data_lineitems!$C$3:$C$1567,"large",data_lineitems!$D$3:$D$1567,"memo (vs E1)",data_lineitems!$F$3:$F$1567,"MEMO — 6 Supply margin*")</f>
        <v/>
      </c>
      <c r="S124" s="77">
        <f>SUMIFS(data_lineitems!$I$3:$I$1567,data_lineitems!$A$3:$A$1567,"UK",data_lineitems!$B$3:$B$1567,2024,data_lineitems!$C$3:$C$1567,"large",data_lineitems!$D$3:$D$1567,"memo (vs E1)",data_lineitems!$F$3:$F$1567,"MEMO — 6 Supply margin*")</f>
        <v/>
      </c>
      <c r="T124" s="77">
        <f>SUMIFS(data_lineitems!$I$3:$I$1567,data_lineitems!$A$3:$A$1567,"UK",data_lineitems!$B$3:$B$1567,2025,data_lineitems!$C$3:$C$1567,"large",data_lineitems!$D$3:$D$1567,"memo (vs E1)",data_lineitems!$F$3:$F$1567,"MEMO — 6 Supply margin*")</f>
        <v/>
      </c>
    </row>
    <row r="125" ht="15" customHeight="1" s="78">
      <c r="A125" s="77" t="inlineStr">
        <is>
          <t>UK</t>
        </is>
      </c>
      <c r="B125" s="77" t="inlineStr">
        <is>
          <t>large</t>
        </is>
      </c>
      <c r="C125" s="77" t="inlineStr">
        <is>
          <t>E2</t>
        </is>
      </c>
      <c r="D125" s="77" t="inlineStr">
        <is>
          <t>HATCH ii (borne by other users)</t>
        </is>
      </c>
      <c r="E125" s="77">
        <f>SUMIFS(data_lineitems!$I$3:$I$1567,data_lineitems!$A$3:$A$1567,"UK",data_lineitems!$B$3:$B$1567,2010,data_lineitems!$C$3:$C$1567,"large",data_lineitems!$D$3:$D$1567,"E2",data_lineitems!$F$3:$F$1567,"HATCH*",data_lineitems!$H$3:$H$1567,"ii *")</f>
        <v/>
      </c>
      <c r="F125" s="77">
        <f>SUMIFS(data_lineitems!$I$3:$I$1567,data_lineitems!$A$3:$A$1567,"UK",data_lineitems!$B$3:$B$1567,2011,data_lineitems!$C$3:$C$1567,"large",data_lineitems!$D$3:$D$1567,"E2",data_lineitems!$F$3:$F$1567,"HATCH*",data_lineitems!$H$3:$H$1567,"ii *")</f>
        <v/>
      </c>
      <c r="G125" s="77">
        <f>SUMIFS(data_lineitems!$I$3:$I$1567,data_lineitems!$A$3:$A$1567,"UK",data_lineitems!$B$3:$B$1567,2012,data_lineitems!$C$3:$C$1567,"large",data_lineitems!$D$3:$D$1567,"E2",data_lineitems!$F$3:$F$1567,"HATCH*",data_lineitems!$H$3:$H$1567,"ii *")</f>
        <v/>
      </c>
      <c r="H125" s="77">
        <f>SUMIFS(data_lineitems!$I$3:$I$1567,data_lineitems!$A$3:$A$1567,"UK",data_lineitems!$B$3:$B$1567,2013,data_lineitems!$C$3:$C$1567,"large",data_lineitems!$D$3:$D$1567,"E2",data_lineitems!$F$3:$F$1567,"HATCH*",data_lineitems!$H$3:$H$1567,"ii *")</f>
        <v/>
      </c>
      <c r="I125" s="77">
        <f>SUMIFS(data_lineitems!$I$3:$I$1567,data_lineitems!$A$3:$A$1567,"UK",data_lineitems!$B$3:$B$1567,2014,data_lineitems!$C$3:$C$1567,"large",data_lineitems!$D$3:$D$1567,"E2",data_lineitems!$F$3:$F$1567,"HATCH*",data_lineitems!$H$3:$H$1567,"ii *")</f>
        <v/>
      </c>
      <c r="J125" s="77">
        <f>SUMIFS(data_lineitems!$I$3:$I$1567,data_lineitems!$A$3:$A$1567,"UK",data_lineitems!$B$3:$B$1567,2015,data_lineitems!$C$3:$C$1567,"large",data_lineitems!$D$3:$D$1567,"E2",data_lineitems!$F$3:$F$1567,"HATCH*",data_lineitems!$H$3:$H$1567,"ii *")</f>
        <v/>
      </c>
      <c r="K125" s="77">
        <f>SUMIFS(data_lineitems!$I$3:$I$1567,data_lineitems!$A$3:$A$1567,"UK",data_lineitems!$B$3:$B$1567,2016,data_lineitems!$C$3:$C$1567,"large",data_lineitems!$D$3:$D$1567,"E2",data_lineitems!$F$3:$F$1567,"HATCH*",data_lineitems!$H$3:$H$1567,"ii *")</f>
        <v/>
      </c>
      <c r="L125" s="77">
        <f>SUMIFS(data_lineitems!$I$3:$I$1567,data_lineitems!$A$3:$A$1567,"UK",data_lineitems!$B$3:$B$1567,2017,data_lineitems!$C$3:$C$1567,"large",data_lineitems!$D$3:$D$1567,"E2",data_lineitems!$F$3:$F$1567,"HATCH*",data_lineitems!$H$3:$H$1567,"ii *")</f>
        <v/>
      </c>
      <c r="M125" s="77">
        <f>SUMIFS(data_lineitems!$I$3:$I$1567,data_lineitems!$A$3:$A$1567,"UK",data_lineitems!$B$3:$B$1567,2018,data_lineitems!$C$3:$C$1567,"large",data_lineitems!$D$3:$D$1567,"E2",data_lineitems!$F$3:$F$1567,"HATCH*",data_lineitems!$H$3:$H$1567,"ii *")</f>
        <v/>
      </c>
      <c r="N125" s="77">
        <f>SUMIFS(data_lineitems!$I$3:$I$1567,data_lineitems!$A$3:$A$1567,"UK",data_lineitems!$B$3:$B$1567,2019,data_lineitems!$C$3:$C$1567,"large",data_lineitems!$D$3:$D$1567,"E2",data_lineitems!$F$3:$F$1567,"HATCH*",data_lineitems!$H$3:$H$1567,"ii *")</f>
        <v/>
      </c>
      <c r="O125" s="77">
        <f>SUMIFS(data_lineitems!$I$3:$I$1567,data_lineitems!$A$3:$A$1567,"UK",data_lineitems!$B$3:$B$1567,2020,data_lineitems!$C$3:$C$1567,"large",data_lineitems!$D$3:$D$1567,"E2",data_lineitems!$F$3:$F$1567,"HATCH*",data_lineitems!$H$3:$H$1567,"ii *")</f>
        <v/>
      </c>
      <c r="P125" s="77">
        <f>SUMIFS(data_lineitems!$I$3:$I$1567,data_lineitems!$A$3:$A$1567,"UK",data_lineitems!$B$3:$B$1567,2021,data_lineitems!$C$3:$C$1567,"large",data_lineitems!$D$3:$D$1567,"E2",data_lineitems!$F$3:$F$1567,"HATCH*",data_lineitems!$H$3:$H$1567,"ii *")</f>
        <v/>
      </c>
      <c r="Q125" s="77">
        <f>SUMIFS(data_lineitems!$I$3:$I$1567,data_lineitems!$A$3:$A$1567,"UK",data_lineitems!$B$3:$B$1567,2022,data_lineitems!$C$3:$C$1567,"large",data_lineitems!$D$3:$D$1567,"E2",data_lineitems!$F$3:$F$1567,"HATCH*",data_lineitems!$H$3:$H$1567,"ii *")</f>
        <v/>
      </c>
      <c r="R125" s="77">
        <f>SUMIFS(data_lineitems!$I$3:$I$1567,data_lineitems!$A$3:$A$1567,"UK",data_lineitems!$B$3:$B$1567,2023,data_lineitems!$C$3:$C$1567,"large",data_lineitems!$D$3:$D$1567,"E2",data_lineitems!$F$3:$F$1567,"HATCH*",data_lineitems!$H$3:$H$1567,"ii *")</f>
        <v/>
      </c>
      <c r="S125" s="77">
        <f>SUMIFS(data_lineitems!$I$3:$I$1567,data_lineitems!$A$3:$A$1567,"UK",data_lineitems!$B$3:$B$1567,2024,data_lineitems!$C$3:$C$1567,"large",data_lineitems!$D$3:$D$1567,"E2",data_lineitems!$F$3:$F$1567,"HATCH*",data_lineitems!$H$3:$H$1567,"ii *")</f>
        <v/>
      </c>
      <c r="T125" s="77">
        <f>SUMIFS(data_lineitems!$I$3:$I$1567,data_lineitems!$A$3:$A$1567,"UK",data_lineitems!$B$3:$B$1567,2025,data_lineitems!$C$3:$C$1567,"large",data_lineitems!$D$3:$D$1567,"E2",data_lineitems!$F$3:$F$1567,"HATCH*",data_lineitems!$H$3:$H$1567,"ii *")</f>
        <v/>
      </c>
    </row>
    <row r="126" ht="15" customHeight="1" s="78">
      <c r="A126" s="77" t="inlineStr">
        <is>
          <t>UK</t>
        </is>
      </c>
      <c r="B126" s="77" t="inlineStr">
        <is>
          <t>large</t>
        </is>
      </c>
      <c r="C126" s="77" t="inlineStr">
        <is>
          <t>E2</t>
        </is>
      </c>
      <c r="D126" s="77" t="inlineStr">
        <is>
          <t>HATCH iii (borne by taxpayer)</t>
        </is>
      </c>
      <c r="E126" s="77">
        <f>SUMIFS(data_lineitems!$I$3:$I$1567,data_lineitems!$A$3:$A$1567,"UK",data_lineitems!$B$3:$B$1567,2010,data_lineitems!$C$3:$C$1567,"large",data_lineitems!$D$3:$D$1567,"E2",data_lineitems!$F$3:$F$1567,"HATCH*",data_lineitems!$H$3:$H$1567,"iii*")</f>
        <v/>
      </c>
      <c r="F126" s="77">
        <f>SUMIFS(data_lineitems!$I$3:$I$1567,data_lineitems!$A$3:$A$1567,"UK",data_lineitems!$B$3:$B$1567,2011,data_lineitems!$C$3:$C$1567,"large",data_lineitems!$D$3:$D$1567,"E2",data_lineitems!$F$3:$F$1567,"HATCH*",data_lineitems!$H$3:$H$1567,"iii*")</f>
        <v/>
      </c>
      <c r="G126" s="77">
        <f>SUMIFS(data_lineitems!$I$3:$I$1567,data_lineitems!$A$3:$A$1567,"UK",data_lineitems!$B$3:$B$1567,2012,data_lineitems!$C$3:$C$1567,"large",data_lineitems!$D$3:$D$1567,"E2",data_lineitems!$F$3:$F$1567,"HATCH*",data_lineitems!$H$3:$H$1567,"iii*")</f>
        <v/>
      </c>
      <c r="H126" s="77">
        <f>SUMIFS(data_lineitems!$I$3:$I$1567,data_lineitems!$A$3:$A$1567,"UK",data_lineitems!$B$3:$B$1567,2013,data_lineitems!$C$3:$C$1567,"large",data_lineitems!$D$3:$D$1567,"E2",data_lineitems!$F$3:$F$1567,"HATCH*",data_lineitems!$H$3:$H$1567,"iii*")</f>
        <v/>
      </c>
      <c r="I126" s="77">
        <f>SUMIFS(data_lineitems!$I$3:$I$1567,data_lineitems!$A$3:$A$1567,"UK",data_lineitems!$B$3:$B$1567,2014,data_lineitems!$C$3:$C$1567,"large",data_lineitems!$D$3:$D$1567,"E2",data_lineitems!$F$3:$F$1567,"HATCH*",data_lineitems!$H$3:$H$1567,"iii*")</f>
        <v/>
      </c>
      <c r="J126" s="77">
        <f>SUMIFS(data_lineitems!$I$3:$I$1567,data_lineitems!$A$3:$A$1567,"UK",data_lineitems!$B$3:$B$1567,2015,data_lineitems!$C$3:$C$1567,"large",data_lineitems!$D$3:$D$1567,"E2",data_lineitems!$F$3:$F$1567,"HATCH*",data_lineitems!$H$3:$H$1567,"iii*")</f>
        <v/>
      </c>
      <c r="K126" s="77">
        <f>SUMIFS(data_lineitems!$I$3:$I$1567,data_lineitems!$A$3:$A$1567,"UK",data_lineitems!$B$3:$B$1567,2016,data_lineitems!$C$3:$C$1567,"large",data_lineitems!$D$3:$D$1567,"E2",data_lineitems!$F$3:$F$1567,"HATCH*",data_lineitems!$H$3:$H$1567,"iii*")</f>
        <v/>
      </c>
      <c r="L126" s="77">
        <f>SUMIFS(data_lineitems!$I$3:$I$1567,data_lineitems!$A$3:$A$1567,"UK",data_lineitems!$B$3:$B$1567,2017,data_lineitems!$C$3:$C$1567,"large",data_lineitems!$D$3:$D$1567,"E2",data_lineitems!$F$3:$F$1567,"HATCH*",data_lineitems!$H$3:$H$1567,"iii*")</f>
        <v/>
      </c>
      <c r="M126" s="77">
        <f>SUMIFS(data_lineitems!$I$3:$I$1567,data_lineitems!$A$3:$A$1567,"UK",data_lineitems!$B$3:$B$1567,2018,data_lineitems!$C$3:$C$1567,"large",data_lineitems!$D$3:$D$1567,"E2",data_lineitems!$F$3:$F$1567,"HATCH*",data_lineitems!$H$3:$H$1567,"iii*")</f>
        <v/>
      </c>
      <c r="N126" s="77">
        <f>SUMIFS(data_lineitems!$I$3:$I$1567,data_lineitems!$A$3:$A$1567,"UK",data_lineitems!$B$3:$B$1567,2019,data_lineitems!$C$3:$C$1567,"large",data_lineitems!$D$3:$D$1567,"E2",data_lineitems!$F$3:$F$1567,"HATCH*",data_lineitems!$H$3:$H$1567,"iii*")</f>
        <v/>
      </c>
      <c r="O126" s="77">
        <f>SUMIFS(data_lineitems!$I$3:$I$1567,data_lineitems!$A$3:$A$1567,"UK",data_lineitems!$B$3:$B$1567,2020,data_lineitems!$C$3:$C$1567,"large",data_lineitems!$D$3:$D$1567,"E2",data_lineitems!$F$3:$F$1567,"HATCH*",data_lineitems!$H$3:$H$1567,"iii*")</f>
        <v/>
      </c>
      <c r="P126" s="77">
        <f>SUMIFS(data_lineitems!$I$3:$I$1567,data_lineitems!$A$3:$A$1567,"UK",data_lineitems!$B$3:$B$1567,2021,data_lineitems!$C$3:$C$1567,"large",data_lineitems!$D$3:$D$1567,"E2",data_lineitems!$F$3:$F$1567,"HATCH*",data_lineitems!$H$3:$H$1567,"iii*")</f>
        <v/>
      </c>
      <c r="Q126" s="77">
        <f>SUMIFS(data_lineitems!$I$3:$I$1567,data_lineitems!$A$3:$A$1567,"UK",data_lineitems!$B$3:$B$1567,2022,data_lineitems!$C$3:$C$1567,"large",data_lineitems!$D$3:$D$1567,"E2",data_lineitems!$F$3:$F$1567,"HATCH*",data_lineitems!$H$3:$H$1567,"iii*")</f>
        <v/>
      </c>
      <c r="R126" s="77">
        <f>SUMIFS(data_lineitems!$I$3:$I$1567,data_lineitems!$A$3:$A$1567,"UK",data_lineitems!$B$3:$B$1567,2023,data_lineitems!$C$3:$C$1567,"large",data_lineitems!$D$3:$D$1567,"E2",data_lineitems!$F$3:$F$1567,"HATCH*",data_lineitems!$H$3:$H$1567,"iii*")</f>
        <v/>
      </c>
      <c r="S126" s="77">
        <f>SUMIFS(data_lineitems!$I$3:$I$1567,data_lineitems!$A$3:$A$1567,"UK",data_lineitems!$B$3:$B$1567,2024,data_lineitems!$C$3:$C$1567,"large",data_lineitems!$D$3:$D$1567,"E2",data_lineitems!$F$3:$F$1567,"HATCH*",data_lineitems!$H$3:$H$1567,"iii*")</f>
        <v/>
      </c>
      <c r="T126" s="77">
        <f>SUMIFS(data_lineitems!$I$3:$I$1567,data_lineitems!$A$3:$A$1567,"UK",data_lineitems!$B$3:$B$1567,2025,data_lineitems!$C$3:$C$1567,"large",data_lineitems!$D$3:$D$1567,"E2",data_lineitems!$F$3:$F$1567,"HATCH*",data_lineitems!$H$3:$H$1567,"iii*")</f>
        <v/>
      </c>
    </row>
    <row r="127" ht="15" customHeight="1" s="78">
      <c r="A127" s="77" t="inlineStr">
        <is>
          <t>UK</t>
        </is>
      </c>
      <c r="B127" s="77" t="inlineStr">
        <is>
          <t>medium</t>
        </is>
      </c>
      <c r="C127" s="77" t="inlineStr">
        <is>
          <t>E1</t>
        </is>
      </c>
      <c r="D127" s="77" t="inlineStr">
        <is>
          <t>MEMO 6 Supply margin (obs - modelled E1)</t>
        </is>
      </c>
      <c r="E127" s="77">
        <f>SUMIFS(data_lineitems!$I$3:$I$1567,data_lineitems!$A$3:$A$1567,"UK",data_lineitems!$B$3:$B$1567,2010,data_lineitems!$C$3:$C$1567,"medium",data_lineitems!$D$3:$D$1567,"memo (vs E1)",data_lineitems!$F$3:$F$1567,"MEMO — 6 Supply margin*")</f>
        <v/>
      </c>
      <c r="F127" s="77">
        <f>SUMIFS(data_lineitems!$I$3:$I$1567,data_lineitems!$A$3:$A$1567,"UK",data_lineitems!$B$3:$B$1567,2011,data_lineitems!$C$3:$C$1567,"medium",data_lineitems!$D$3:$D$1567,"memo (vs E1)",data_lineitems!$F$3:$F$1567,"MEMO — 6 Supply margin*")</f>
        <v/>
      </c>
      <c r="G127" s="77">
        <f>SUMIFS(data_lineitems!$I$3:$I$1567,data_lineitems!$A$3:$A$1567,"UK",data_lineitems!$B$3:$B$1567,2012,data_lineitems!$C$3:$C$1567,"medium",data_lineitems!$D$3:$D$1567,"memo (vs E1)",data_lineitems!$F$3:$F$1567,"MEMO — 6 Supply margin*")</f>
        <v/>
      </c>
      <c r="H127" s="77">
        <f>SUMIFS(data_lineitems!$I$3:$I$1567,data_lineitems!$A$3:$A$1567,"UK",data_lineitems!$B$3:$B$1567,2013,data_lineitems!$C$3:$C$1567,"medium",data_lineitems!$D$3:$D$1567,"memo (vs E1)",data_lineitems!$F$3:$F$1567,"MEMO — 6 Supply margin*")</f>
        <v/>
      </c>
      <c r="I127" s="77">
        <f>SUMIFS(data_lineitems!$I$3:$I$1567,data_lineitems!$A$3:$A$1567,"UK",data_lineitems!$B$3:$B$1567,2014,data_lineitems!$C$3:$C$1567,"medium",data_lineitems!$D$3:$D$1567,"memo (vs E1)",data_lineitems!$F$3:$F$1567,"MEMO — 6 Supply margin*")</f>
        <v/>
      </c>
      <c r="J127" s="77">
        <f>SUMIFS(data_lineitems!$I$3:$I$1567,data_lineitems!$A$3:$A$1567,"UK",data_lineitems!$B$3:$B$1567,2015,data_lineitems!$C$3:$C$1567,"medium",data_lineitems!$D$3:$D$1567,"memo (vs E1)",data_lineitems!$F$3:$F$1567,"MEMO — 6 Supply margin*")</f>
        <v/>
      </c>
      <c r="K127" s="77">
        <f>SUMIFS(data_lineitems!$I$3:$I$1567,data_lineitems!$A$3:$A$1567,"UK",data_lineitems!$B$3:$B$1567,2016,data_lineitems!$C$3:$C$1567,"medium",data_lineitems!$D$3:$D$1567,"memo (vs E1)",data_lineitems!$F$3:$F$1567,"MEMO — 6 Supply margin*")</f>
        <v/>
      </c>
      <c r="L127" s="77">
        <f>SUMIFS(data_lineitems!$I$3:$I$1567,data_lineitems!$A$3:$A$1567,"UK",data_lineitems!$B$3:$B$1567,2017,data_lineitems!$C$3:$C$1567,"medium",data_lineitems!$D$3:$D$1567,"memo (vs E1)",data_lineitems!$F$3:$F$1567,"MEMO — 6 Supply margin*")</f>
        <v/>
      </c>
      <c r="M127" s="77">
        <f>SUMIFS(data_lineitems!$I$3:$I$1567,data_lineitems!$A$3:$A$1567,"UK",data_lineitems!$B$3:$B$1567,2018,data_lineitems!$C$3:$C$1567,"medium",data_lineitems!$D$3:$D$1567,"memo (vs E1)",data_lineitems!$F$3:$F$1567,"MEMO — 6 Supply margin*")</f>
        <v/>
      </c>
      <c r="N127" s="77">
        <f>SUMIFS(data_lineitems!$I$3:$I$1567,data_lineitems!$A$3:$A$1567,"UK",data_lineitems!$B$3:$B$1567,2019,data_lineitems!$C$3:$C$1567,"medium",data_lineitems!$D$3:$D$1567,"memo (vs E1)",data_lineitems!$F$3:$F$1567,"MEMO — 6 Supply margin*")</f>
        <v/>
      </c>
      <c r="O127" s="77">
        <f>SUMIFS(data_lineitems!$I$3:$I$1567,data_lineitems!$A$3:$A$1567,"UK",data_lineitems!$B$3:$B$1567,2020,data_lineitems!$C$3:$C$1567,"medium",data_lineitems!$D$3:$D$1567,"memo (vs E1)",data_lineitems!$F$3:$F$1567,"MEMO — 6 Supply margin*")</f>
        <v/>
      </c>
      <c r="P127" s="77">
        <f>SUMIFS(data_lineitems!$I$3:$I$1567,data_lineitems!$A$3:$A$1567,"UK",data_lineitems!$B$3:$B$1567,2021,data_lineitems!$C$3:$C$1567,"medium",data_lineitems!$D$3:$D$1567,"memo (vs E1)",data_lineitems!$F$3:$F$1567,"MEMO — 6 Supply margin*")</f>
        <v/>
      </c>
      <c r="Q127" s="77">
        <f>SUMIFS(data_lineitems!$I$3:$I$1567,data_lineitems!$A$3:$A$1567,"UK",data_lineitems!$B$3:$B$1567,2022,data_lineitems!$C$3:$C$1567,"medium",data_lineitems!$D$3:$D$1567,"memo (vs E1)",data_lineitems!$F$3:$F$1567,"MEMO — 6 Supply margin*")</f>
        <v/>
      </c>
      <c r="R127" s="77">
        <f>SUMIFS(data_lineitems!$I$3:$I$1567,data_lineitems!$A$3:$A$1567,"UK",data_lineitems!$B$3:$B$1567,2023,data_lineitems!$C$3:$C$1567,"medium",data_lineitems!$D$3:$D$1567,"memo (vs E1)",data_lineitems!$F$3:$F$1567,"MEMO — 6 Supply margin*")</f>
        <v/>
      </c>
      <c r="S127" s="77">
        <f>SUMIFS(data_lineitems!$I$3:$I$1567,data_lineitems!$A$3:$A$1567,"UK",data_lineitems!$B$3:$B$1567,2024,data_lineitems!$C$3:$C$1567,"medium",data_lineitems!$D$3:$D$1567,"memo (vs E1)",data_lineitems!$F$3:$F$1567,"MEMO — 6 Supply margin*")</f>
        <v/>
      </c>
      <c r="T127" s="77">
        <f>SUMIFS(data_lineitems!$I$3:$I$1567,data_lineitems!$A$3:$A$1567,"UK",data_lineitems!$B$3:$B$1567,2025,data_lineitems!$C$3:$C$1567,"medium",data_lineitems!$D$3:$D$1567,"memo (vs E1)",data_lineitems!$F$3:$F$1567,"MEMO — 6 Supply margin*")</f>
        <v/>
      </c>
    </row>
    <row r="128" ht="15" customHeight="1" s="78">
      <c r="A128" s="77" t="inlineStr">
        <is>
          <t>UK</t>
        </is>
      </c>
      <c r="B128" s="77" t="inlineStr">
        <is>
          <t>medium</t>
        </is>
      </c>
      <c r="C128" s="77" t="inlineStr">
        <is>
          <t>E1</t>
        </is>
      </c>
      <c r="D128" s="77" t="inlineStr">
        <is>
          <t>HATCH ii (borne by other users)</t>
        </is>
      </c>
      <c r="E128" s="77">
        <f>SUMIFS(data_lineitems!$I$3:$I$1567,data_lineitems!$A$3:$A$1567,"UK",data_lineitems!$B$3:$B$1567,2010,data_lineitems!$C$3:$C$1567,"medium",data_lineitems!$D$3:$D$1567,"E1",data_lineitems!$F$3:$F$1567,"HATCH*",data_lineitems!$H$3:$H$1567,"ii *")</f>
        <v/>
      </c>
      <c r="F128" s="77">
        <f>SUMIFS(data_lineitems!$I$3:$I$1567,data_lineitems!$A$3:$A$1567,"UK",data_lineitems!$B$3:$B$1567,2011,data_lineitems!$C$3:$C$1567,"medium",data_lineitems!$D$3:$D$1567,"E1",data_lineitems!$F$3:$F$1567,"HATCH*",data_lineitems!$H$3:$H$1567,"ii *")</f>
        <v/>
      </c>
      <c r="G128" s="77">
        <f>SUMIFS(data_lineitems!$I$3:$I$1567,data_lineitems!$A$3:$A$1567,"UK",data_lineitems!$B$3:$B$1567,2012,data_lineitems!$C$3:$C$1567,"medium",data_lineitems!$D$3:$D$1567,"E1",data_lineitems!$F$3:$F$1567,"HATCH*",data_lineitems!$H$3:$H$1567,"ii *")</f>
        <v/>
      </c>
      <c r="H128" s="77">
        <f>SUMIFS(data_lineitems!$I$3:$I$1567,data_lineitems!$A$3:$A$1567,"UK",data_lineitems!$B$3:$B$1567,2013,data_lineitems!$C$3:$C$1567,"medium",data_lineitems!$D$3:$D$1567,"E1",data_lineitems!$F$3:$F$1567,"HATCH*",data_lineitems!$H$3:$H$1567,"ii *")</f>
        <v/>
      </c>
      <c r="I128" s="77">
        <f>SUMIFS(data_lineitems!$I$3:$I$1567,data_lineitems!$A$3:$A$1567,"UK",data_lineitems!$B$3:$B$1567,2014,data_lineitems!$C$3:$C$1567,"medium",data_lineitems!$D$3:$D$1567,"E1",data_lineitems!$F$3:$F$1567,"HATCH*",data_lineitems!$H$3:$H$1567,"ii *")</f>
        <v/>
      </c>
      <c r="J128" s="77">
        <f>SUMIFS(data_lineitems!$I$3:$I$1567,data_lineitems!$A$3:$A$1567,"UK",data_lineitems!$B$3:$B$1567,2015,data_lineitems!$C$3:$C$1567,"medium",data_lineitems!$D$3:$D$1567,"E1",data_lineitems!$F$3:$F$1567,"HATCH*",data_lineitems!$H$3:$H$1567,"ii *")</f>
        <v/>
      </c>
      <c r="K128" s="77">
        <f>SUMIFS(data_lineitems!$I$3:$I$1567,data_lineitems!$A$3:$A$1567,"UK",data_lineitems!$B$3:$B$1567,2016,data_lineitems!$C$3:$C$1567,"medium",data_lineitems!$D$3:$D$1567,"E1",data_lineitems!$F$3:$F$1567,"HATCH*",data_lineitems!$H$3:$H$1567,"ii *")</f>
        <v/>
      </c>
      <c r="L128" s="77">
        <f>SUMIFS(data_lineitems!$I$3:$I$1567,data_lineitems!$A$3:$A$1567,"UK",data_lineitems!$B$3:$B$1567,2017,data_lineitems!$C$3:$C$1567,"medium",data_lineitems!$D$3:$D$1567,"E1",data_lineitems!$F$3:$F$1567,"HATCH*",data_lineitems!$H$3:$H$1567,"ii *")</f>
        <v/>
      </c>
      <c r="M128" s="77">
        <f>SUMIFS(data_lineitems!$I$3:$I$1567,data_lineitems!$A$3:$A$1567,"UK",data_lineitems!$B$3:$B$1567,2018,data_lineitems!$C$3:$C$1567,"medium",data_lineitems!$D$3:$D$1567,"E1",data_lineitems!$F$3:$F$1567,"HATCH*",data_lineitems!$H$3:$H$1567,"ii *")</f>
        <v/>
      </c>
      <c r="N128" s="77">
        <f>SUMIFS(data_lineitems!$I$3:$I$1567,data_lineitems!$A$3:$A$1567,"UK",data_lineitems!$B$3:$B$1567,2019,data_lineitems!$C$3:$C$1567,"medium",data_lineitems!$D$3:$D$1567,"E1",data_lineitems!$F$3:$F$1567,"HATCH*",data_lineitems!$H$3:$H$1567,"ii *")</f>
        <v/>
      </c>
      <c r="O128" s="77">
        <f>SUMIFS(data_lineitems!$I$3:$I$1567,data_lineitems!$A$3:$A$1567,"UK",data_lineitems!$B$3:$B$1567,2020,data_lineitems!$C$3:$C$1567,"medium",data_lineitems!$D$3:$D$1567,"E1",data_lineitems!$F$3:$F$1567,"HATCH*",data_lineitems!$H$3:$H$1567,"ii *")</f>
        <v/>
      </c>
      <c r="P128" s="77">
        <f>SUMIFS(data_lineitems!$I$3:$I$1567,data_lineitems!$A$3:$A$1567,"UK",data_lineitems!$B$3:$B$1567,2021,data_lineitems!$C$3:$C$1567,"medium",data_lineitems!$D$3:$D$1567,"E1",data_lineitems!$F$3:$F$1567,"HATCH*",data_lineitems!$H$3:$H$1567,"ii *")</f>
        <v/>
      </c>
      <c r="Q128" s="77">
        <f>SUMIFS(data_lineitems!$I$3:$I$1567,data_lineitems!$A$3:$A$1567,"UK",data_lineitems!$B$3:$B$1567,2022,data_lineitems!$C$3:$C$1567,"medium",data_lineitems!$D$3:$D$1567,"E1",data_lineitems!$F$3:$F$1567,"HATCH*",data_lineitems!$H$3:$H$1567,"ii *")</f>
        <v/>
      </c>
      <c r="R128" s="77">
        <f>SUMIFS(data_lineitems!$I$3:$I$1567,data_lineitems!$A$3:$A$1567,"UK",data_lineitems!$B$3:$B$1567,2023,data_lineitems!$C$3:$C$1567,"medium",data_lineitems!$D$3:$D$1567,"E1",data_lineitems!$F$3:$F$1567,"HATCH*",data_lineitems!$H$3:$H$1567,"ii *")</f>
        <v/>
      </c>
      <c r="S128" s="77">
        <f>SUMIFS(data_lineitems!$I$3:$I$1567,data_lineitems!$A$3:$A$1567,"UK",data_lineitems!$B$3:$B$1567,2024,data_lineitems!$C$3:$C$1567,"medium",data_lineitems!$D$3:$D$1567,"E1",data_lineitems!$F$3:$F$1567,"HATCH*",data_lineitems!$H$3:$H$1567,"ii *")</f>
        <v/>
      </c>
      <c r="T128" s="77">
        <f>SUMIFS(data_lineitems!$I$3:$I$1567,data_lineitems!$A$3:$A$1567,"UK",data_lineitems!$B$3:$B$1567,2025,data_lineitems!$C$3:$C$1567,"medium",data_lineitems!$D$3:$D$1567,"E1",data_lineitems!$F$3:$F$1567,"HATCH*",data_lineitems!$H$3:$H$1567,"ii *")</f>
        <v/>
      </c>
    </row>
    <row r="129" ht="15" customHeight="1" s="78">
      <c r="A129" s="77" t="inlineStr">
        <is>
          <t>UK</t>
        </is>
      </c>
      <c r="B129" s="77" t="inlineStr">
        <is>
          <t>medium</t>
        </is>
      </c>
      <c r="C129" s="77" t="inlineStr">
        <is>
          <t>E1</t>
        </is>
      </c>
      <c r="D129" s="77" t="inlineStr">
        <is>
          <t>HATCH iii (borne by taxpayer)</t>
        </is>
      </c>
      <c r="E129" s="77">
        <f>SUMIFS(data_lineitems!$I$3:$I$1567,data_lineitems!$A$3:$A$1567,"UK",data_lineitems!$B$3:$B$1567,2010,data_lineitems!$C$3:$C$1567,"medium",data_lineitems!$D$3:$D$1567,"E1",data_lineitems!$F$3:$F$1567,"HATCH*",data_lineitems!$H$3:$H$1567,"iii*")</f>
        <v/>
      </c>
      <c r="F129" s="77">
        <f>SUMIFS(data_lineitems!$I$3:$I$1567,data_lineitems!$A$3:$A$1567,"UK",data_lineitems!$B$3:$B$1567,2011,data_lineitems!$C$3:$C$1567,"medium",data_lineitems!$D$3:$D$1567,"E1",data_lineitems!$F$3:$F$1567,"HATCH*",data_lineitems!$H$3:$H$1567,"iii*")</f>
        <v/>
      </c>
      <c r="G129" s="77">
        <f>SUMIFS(data_lineitems!$I$3:$I$1567,data_lineitems!$A$3:$A$1567,"UK",data_lineitems!$B$3:$B$1567,2012,data_lineitems!$C$3:$C$1567,"medium",data_lineitems!$D$3:$D$1567,"E1",data_lineitems!$F$3:$F$1567,"HATCH*",data_lineitems!$H$3:$H$1567,"iii*")</f>
        <v/>
      </c>
      <c r="H129" s="77">
        <f>SUMIFS(data_lineitems!$I$3:$I$1567,data_lineitems!$A$3:$A$1567,"UK",data_lineitems!$B$3:$B$1567,2013,data_lineitems!$C$3:$C$1567,"medium",data_lineitems!$D$3:$D$1567,"E1",data_lineitems!$F$3:$F$1567,"HATCH*",data_lineitems!$H$3:$H$1567,"iii*")</f>
        <v/>
      </c>
      <c r="I129" s="77">
        <f>SUMIFS(data_lineitems!$I$3:$I$1567,data_lineitems!$A$3:$A$1567,"UK",data_lineitems!$B$3:$B$1567,2014,data_lineitems!$C$3:$C$1567,"medium",data_lineitems!$D$3:$D$1567,"E1",data_lineitems!$F$3:$F$1567,"HATCH*",data_lineitems!$H$3:$H$1567,"iii*")</f>
        <v/>
      </c>
      <c r="J129" s="77">
        <f>SUMIFS(data_lineitems!$I$3:$I$1567,data_lineitems!$A$3:$A$1567,"UK",data_lineitems!$B$3:$B$1567,2015,data_lineitems!$C$3:$C$1567,"medium",data_lineitems!$D$3:$D$1567,"E1",data_lineitems!$F$3:$F$1567,"HATCH*",data_lineitems!$H$3:$H$1567,"iii*")</f>
        <v/>
      </c>
      <c r="K129" s="77">
        <f>SUMIFS(data_lineitems!$I$3:$I$1567,data_lineitems!$A$3:$A$1567,"UK",data_lineitems!$B$3:$B$1567,2016,data_lineitems!$C$3:$C$1567,"medium",data_lineitems!$D$3:$D$1567,"E1",data_lineitems!$F$3:$F$1567,"HATCH*",data_lineitems!$H$3:$H$1567,"iii*")</f>
        <v/>
      </c>
      <c r="L129" s="77">
        <f>SUMIFS(data_lineitems!$I$3:$I$1567,data_lineitems!$A$3:$A$1567,"UK",data_lineitems!$B$3:$B$1567,2017,data_lineitems!$C$3:$C$1567,"medium",data_lineitems!$D$3:$D$1567,"E1",data_lineitems!$F$3:$F$1567,"HATCH*",data_lineitems!$H$3:$H$1567,"iii*")</f>
        <v/>
      </c>
      <c r="M129" s="77">
        <f>SUMIFS(data_lineitems!$I$3:$I$1567,data_lineitems!$A$3:$A$1567,"UK",data_lineitems!$B$3:$B$1567,2018,data_lineitems!$C$3:$C$1567,"medium",data_lineitems!$D$3:$D$1567,"E1",data_lineitems!$F$3:$F$1567,"HATCH*",data_lineitems!$H$3:$H$1567,"iii*")</f>
        <v/>
      </c>
      <c r="N129" s="77">
        <f>SUMIFS(data_lineitems!$I$3:$I$1567,data_lineitems!$A$3:$A$1567,"UK",data_lineitems!$B$3:$B$1567,2019,data_lineitems!$C$3:$C$1567,"medium",data_lineitems!$D$3:$D$1567,"E1",data_lineitems!$F$3:$F$1567,"HATCH*",data_lineitems!$H$3:$H$1567,"iii*")</f>
        <v/>
      </c>
      <c r="O129" s="77">
        <f>SUMIFS(data_lineitems!$I$3:$I$1567,data_lineitems!$A$3:$A$1567,"UK",data_lineitems!$B$3:$B$1567,2020,data_lineitems!$C$3:$C$1567,"medium",data_lineitems!$D$3:$D$1567,"E1",data_lineitems!$F$3:$F$1567,"HATCH*",data_lineitems!$H$3:$H$1567,"iii*")</f>
        <v/>
      </c>
      <c r="P129" s="77">
        <f>SUMIFS(data_lineitems!$I$3:$I$1567,data_lineitems!$A$3:$A$1567,"UK",data_lineitems!$B$3:$B$1567,2021,data_lineitems!$C$3:$C$1567,"medium",data_lineitems!$D$3:$D$1567,"E1",data_lineitems!$F$3:$F$1567,"HATCH*",data_lineitems!$H$3:$H$1567,"iii*")</f>
        <v/>
      </c>
      <c r="Q129" s="77">
        <f>SUMIFS(data_lineitems!$I$3:$I$1567,data_lineitems!$A$3:$A$1567,"UK",data_lineitems!$B$3:$B$1567,2022,data_lineitems!$C$3:$C$1567,"medium",data_lineitems!$D$3:$D$1567,"E1",data_lineitems!$F$3:$F$1567,"HATCH*",data_lineitems!$H$3:$H$1567,"iii*")</f>
        <v/>
      </c>
      <c r="R129" s="77">
        <f>SUMIFS(data_lineitems!$I$3:$I$1567,data_lineitems!$A$3:$A$1567,"UK",data_lineitems!$B$3:$B$1567,2023,data_lineitems!$C$3:$C$1567,"medium",data_lineitems!$D$3:$D$1567,"E1",data_lineitems!$F$3:$F$1567,"HATCH*",data_lineitems!$H$3:$H$1567,"iii*")</f>
        <v/>
      </c>
      <c r="S129" s="77">
        <f>SUMIFS(data_lineitems!$I$3:$I$1567,data_lineitems!$A$3:$A$1567,"UK",data_lineitems!$B$3:$B$1567,2024,data_lineitems!$C$3:$C$1567,"medium",data_lineitems!$D$3:$D$1567,"E1",data_lineitems!$F$3:$F$1567,"HATCH*",data_lineitems!$H$3:$H$1567,"iii*")</f>
        <v/>
      </c>
      <c r="T129" s="77">
        <f>SUMIFS(data_lineitems!$I$3:$I$1567,data_lineitems!$A$3:$A$1567,"UK",data_lineitems!$B$3:$B$1567,2025,data_lineitems!$C$3:$C$1567,"medium",data_lineitems!$D$3:$D$1567,"E1",data_lineitems!$F$3:$F$1567,"HATCH*",data_lineitems!$H$3:$H$1567,"iii*")</f>
        <v/>
      </c>
    </row>
    <row r="130" ht="15" customHeight="1" s="78">
      <c r="A130" s="77" t="inlineStr">
        <is>
          <t>UK</t>
        </is>
      </c>
      <c r="B130" s="77" t="inlineStr">
        <is>
          <t>medium</t>
        </is>
      </c>
      <c r="C130" s="77" t="inlineStr">
        <is>
          <t>E2</t>
        </is>
      </c>
      <c r="D130" s="77" t="inlineStr">
        <is>
          <t>MEMO 6 Supply margin (obs - modelled E1)</t>
        </is>
      </c>
      <c r="E130" s="77">
        <f>SUMIFS(data_lineitems!$I$3:$I$1567,data_lineitems!$A$3:$A$1567,"UK",data_lineitems!$B$3:$B$1567,2010,data_lineitems!$C$3:$C$1567,"medium",data_lineitems!$D$3:$D$1567,"memo (vs E1)",data_lineitems!$F$3:$F$1567,"MEMO — 6 Supply margin*")</f>
        <v/>
      </c>
      <c r="F130" s="77">
        <f>SUMIFS(data_lineitems!$I$3:$I$1567,data_lineitems!$A$3:$A$1567,"UK",data_lineitems!$B$3:$B$1567,2011,data_lineitems!$C$3:$C$1567,"medium",data_lineitems!$D$3:$D$1567,"memo (vs E1)",data_lineitems!$F$3:$F$1567,"MEMO — 6 Supply margin*")</f>
        <v/>
      </c>
      <c r="G130" s="77">
        <f>SUMIFS(data_lineitems!$I$3:$I$1567,data_lineitems!$A$3:$A$1567,"UK",data_lineitems!$B$3:$B$1567,2012,data_lineitems!$C$3:$C$1567,"medium",data_lineitems!$D$3:$D$1567,"memo (vs E1)",data_lineitems!$F$3:$F$1567,"MEMO — 6 Supply margin*")</f>
        <v/>
      </c>
      <c r="H130" s="77">
        <f>SUMIFS(data_lineitems!$I$3:$I$1567,data_lineitems!$A$3:$A$1567,"UK",data_lineitems!$B$3:$B$1567,2013,data_lineitems!$C$3:$C$1567,"medium",data_lineitems!$D$3:$D$1567,"memo (vs E1)",data_lineitems!$F$3:$F$1567,"MEMO — 6 Supply margin*")</f>
        <v/>
      </c>
      <c r="I130" s="77">
        <f>SUMIFS(data_lineitems!$I$3:$I$1567,data_lineitems!$A$3:$A$1567,"UK",data_lineitems!$B$3:$B$1567,2014,data_lineitems!$C$3:$C$1567,"medium",data_lineitems!$D$3:$D$1567,"memo (vs E1)",data_lineitems!$F$3:$F$1567,"MEMO — 6 Supply margin*")</f>
        <v/>
      </c>
      <c r="J130" s="77">
        <f>SUMIFS(data_lineitems!$I$3:$I$1567,data_lineitems!$A$3:$A$1567,"UK",data_lineitems!$B$3:$B$1567,2015,data_lineitems!$C$3:$C$1567,"medium",data_lineitems!$D$3:$D$1567,"memo (vs E1)",data_lineitems!$F$3:$F$1567,"MEMO — 6 Supply margin*")</f>
        <v/>
      </c>
      <c r="K130" s="77">
        <f>SUMIFS(data_lineitems!$I$3:$I$1567,data_lineitems!$A$3:$A$1567,"UK",data_lineitems!$B$3:$B$1567,2016,data_lineitems!$C$3:$C$1567,"medium",data_lineitems!$D$3:$D$1567,"memo (vs E1)",data_lineitems!$F$3:$F$1567,"MEMO — 6 Supply margin*")</f>
        <v/>
      </c>
      <c r="L130" s="77">
        <f>SUMIFS(data_lineitems!$I$3:$I$1567,data_lineitems!$A$3:$A$1567,"UK",data_lineitems!$B$3:$B$1567,2017,data_lineitems!$C$3:$C$1567,"medium",data_lineitems!$D$3:$D$1567,"memo (vs E1)",data_lineitems!$F$3:$F$1567,"MEMO — 6 Supply margin*")</f>
        <v/>
      </c>
      <c r="M130" s="77">
        <f>SUMIFS(data_lineitems!$I$3:$I$1567,data_lineitems!$A$3:$A$1567,"UK",data_lineitems!$B$3:$B$1567,2018,data_lineitems!$C$3:$C$1567,"medium",data_lineitems!$D$3:$D$1567,"memo (vs E1)",data_lineitems!$F$3:$F$1567,"MEMO — 6 Supply margin*")</f>
        <v/>
      </c>
      <c r="N130" s="77">
        <f>SUMIFS(data_lineitems!$I$3:$I$1567,data_lineitems!$A$3:$A$1567,"UK",data_lineitems!$B$3:$B$1567,2019,data_lineitems!$C$3:$C$1567,"medium",data_lineitems!$D$3:$D$1567,"memo (vs E1)",data_lineitems!$F$3:$F$1567,"MEMO — 6 Supply margin*")</f>
        <v/>
      </c>
      <c r="O130" s="77">
        <f>SUMIFS(data_lineitems!$I$3:$I$1567,data_lineitems!$A$3:$A$1567,"UK",data_lineitems!$B$3:$B$1567,2020,data_lineitems!$C$3:$C$1567,"medium",data_lineitems!$D$3:$D$1567,"memo (vs E1)",data_lineitems!$F$3:$F$1567,"MEMO — 6 Supply margin*")</f>
        <v/>
      </c>
      <c r="P130" s="77">
        <f>SUMIFS(data_lineitems!$I$3:$I$1567,data_lineitems!$A$3:$A$1567,"UK",data_lineitems!$B$3:$B$1567,2021,data_lineitems!$C$3:$C$1567,"medium",data_lineitems!$D$3:$D$1567,"memo (vs E1)",data_lineitems!$F$3:$F$1567,"MEMO — 6 Supply margin*")</f>
        <v/>
      </c>
      <c r="Q130" s="77">
        <f>SUMIFS(data_lineitems!$I$3:$I$1567,data_lineitems!$A$3:$A$1567,"UK",data_lineitems!$B$3:$B$1567,2022,data_lineitems!$C$3:$C$1567,"medium",data_lineitems!$D$3:$D$1567,"memo (vs E1)",data_lineitems!$F$3:$F$1567,"MEMO — 6 Supply margin*")</f>
        <v/>
      </c>
      <c r="R130" s="77">
        <f>SUMIFS(data_lineitems!$I$3:$I$1567,data_lineitems!$A$3:$A$1567,"UK",data_lineitems!$B$3:$B$1567,2023,data_lineitems!$C$3:$C$1567,"medium",data_lineitems!$D$3:$D$1567,"memo (vs E1)",data_lineitems!$F$3:$F$1567,"MEMO — 6 Supply margin*")</f>
        <v/>
      </c>
      <c r="S130" s="77">
        <f>SUMIFS(data_lineitems!$I$3:$I$1567,data_lineitems!$A$3:$A$1567,"UK",data_lineitems!$B$3:$B$1567,2024,data_lineitems!$C$3:$C$1567,"medium",data_lineitems!$D$3:$D$1567,"memo (vs E1)",data_lineitems!$F$3:$F$1567,"MEMO — 6 Supply margin*")</f>
        <v/>
      </c>
      <c r="T130" s="77">
        <f>SUMIFS(data_lineitems!$I$3:$I$1567,data_lineitems!$A$3:$A$1567,"UK",data_lineitems!$B$3:$B$1567,2025,data_lineitems!$C$3:$C$1567,"medium",data_lineitems!$D$3:$D$1567,"memo (vs E1)",data_lineitems!$F$3:$F$1567,"MEMO — 6 Supply margin*")</f>
        <v/>
      </c>
    </row>
    <row r="131" ht="15" customHeight="1" s="78">
      <c r="A131" s="77" t="inlineStr">
        <is>
          <t>UK</t>
        </is>
      </c>
      <c r="B131" s="77" t="inlineStr">
        <is>
          <t>medium</t>
        </is>
      </c>
      <c r="C131" s="77" t="inlineStr">
        <is>
          <t>E2</t>
        </is>
      </c>
      <c r="D131" s="77" t="inlineStr">
        <is>
          <t>HATCH ii (borne by other users)</t>
        </is>
      </c>
      <c r="E131" s="77">
        <f>SUMIFS(data_lineitems!$I$3:$I$1567,data_lineitems!$A$3:$A$1567,"UK",data_lineitems!$B$3:$B$1567,2010,data_lineitems!$C$3:$C$1567,"medium",data_lineitems!$D$3:$D$1567,"E2",data_lineitems!$F$3:$F$1567,"HATCH*",data_lineitems!$H$3:$H$1567,"ii *")</f>
        <v/>
      </c>
      <c r="F131" s="77">
        <f>SUMIFS(data_lineitems!$I$3:$I$1567,data_lineitems!$A$3:$A$1567,"UK",data_lineitems!$B$3:$B$1567,2011,data_lineitems!$C$3:$C$1567,"medium",data_lineitems!$D$3:$D$1567,"E2",data_lineitems!$F$3:$F$1567,"HATCH*",data_lineitems!$H$3:$H$1567,"ii *")</f>
        <v/>
      </c>
      <c r="G131" s="77">
        <f>SUMIFS(data_lineitems!$I$3:$I$1567,data_lineitems!$A$3:$A$1567,"UK",data_lineitems!$B$3:$B$1567,2012,data_lineitems!$C$3:$C$1567,"medium",data_lineitems!$D$3:$D$1567,"E2",data_lineitems!$F$3:$F$1567,"HATCH*",data_lineitems!$H$3:$H$1567,"ii *")</f>
        <v/>
      </c>
      <c r="H131" s="77">
        <f>SUMIFS(data_lineitems!$I$3:$I$1567,data_lineitems!$A$3:$A$1567,"UK",data_lineitems!$B$3:$B$1567,2013,data_lineitems!$C$3:$C$1567,"medium",data_lineitems!$D$3:$D$1567,"E2",data_lineitems!$F$3:$F$1567,"HATCH*",data_lineitems!$H$3:$H$1567,"ii *")</f>
        <v/>
      </c>
      <c r="I131" s="77">
        <f>SUMIFS(data_lineitems!$I$3:$I$1567,data_lineitems!$A$3:$A$1567,"UK",data_lineitems!$B$3:$B$1567,2014,data_lineitems!$C$3:$C$1567,"medium",data_lineitems!$D$3:$D$1567,"E2",data_lineitems!$F$3:$F$1567,"HATCH*",data_lineitems!$H$3:$H$1567,"ii *")</f>
        <v/>
      </c>
      <c r="J131" s="77">
        <f>SUMIFS(data_lineitems!$I$3:$I$1567,data_lineitems!$A$3:$A$1567,"UK",data_lineitems!$B$3:$B$1567,2015,data_lineitems!$C$3:$C$1567,"medium",data_lineitems!$D$3:$D$1567,"E2",data_lineitems!$F$3:$F$1567,"HATCH*",data_lineitems!$H$3:$H$1567,"ii *")</f>
        <v/>
      </c>
      <c r="K131" s="77">
        <f>SUMIFS(data_lineitems!$I$3:$I$1567,data_lineitems!$A$3:$A$1567,"UK",data_lineitems!$B$3:$B$1567,2016,data_lineitems!$C$3:$C$1567,"medium",data_lineitems!$D$3:$D$1567,"E2",data_lineitems!$F$3:$F$1567,"HATCH*",data_lineitems!$H$3:$H$1567,"ii *")</f>
        <v/>
      </c>
      <c r="L131" s="77">
        <f>SUMIFS(data_lineitems!$I$3:$I$1567,data_lineitems!$A$3:$A$1567,"UK",data_lineitems!$B$3:$B$1567,2017,data_lineitems!$C$3:$C$1567,"medium",data_lineitems!$D$3:$D$1567,"E2",data_lineitems!$F$3:$F$1567,"HATCH*",data_lineitems!$H$3:$H$1567,"ii *")</f>
        <v/>
      </c>
      <c r="M131" s="77">
        <f>SUMIFS(data_lineitems!$I$3:$I$1567,data_lineitems!$A$3:$A$1567,"UK",data_lineitems!$B$3:$B$1567,2018,data_lineitems!$C$3:$C$1567,"medium",data_lineitems!$D$3:$D$1567,"E2",data_lineitems!$F$3:$F$1567,"HATCH*",data_lineitems!$H$3:$H$1567,"ii *")</f>
        <v/>
      </c>
      <c r="N131" s="77">
        <f>SUMIFS(data_lineitems!$I$3:$I$1567,data_lineitems!$A$3:$A$1567,"UK",data_lineitems!$B$3:$B$1567,2019,data_lineitems!$C$3:$C$1567,"medium",data_lineitems!$D$3:$D$1567,"E2",data_lineitems!$F$3:$F$1567,"HATCH*",data_lineitems!$H$3:$H$1567,"ii *")</f>
        <v/>
      </c>
      <c r="O131" s="77">
        <f>SUMIFS(data_lineitems!$I$3:$I$1567,data_lineitems!$A$3:$A$1567,"UK",data_lineitems!$B$3:$B$1567,2020,data_lineitems!$C$3:$C$1567,"medium",data_lineitems!$D$3:$D$1567,"E2",data_lineitems!$F$3:$F$1567,"HATCH*",data_lineitems!$H$3:$H$1567,"ii *")</f>
        <v/>
      </c>
      <c r="P131" s="77">
        <f>SUMIFS(data_lineitems!$I$3:$I$1567,data_lineitems!$A$3:$A$1567,"UK",data_lineitems!$B$3:$B$1567,2021,data_lineitems!$C$3:$C$1567,"medium",data_lineitems!$D$3:$D$1567,"E2",data_lineitems!$F$3:$F$1567,"HATCH*",data_lineitems!$H$3:$H$1567,"ii *")</f>
        <v/>
      </c>
      <c r="Q131" s="77">
        <f>SUMIFS(data_lineitems!$I$3:$I$1567,data_lineitems!$A$3:$A$1567,"UK",data_lineitems!$B$3:$B$1567,2022,data_lineitems!$C$3:$C$1567,"medium",data_lineitems!$D$3:$D$1567,"E2",data_lineitems!$F$3:$F$1567,"HATCH*",data_lineitems!$H$3:$H$1567,"ii *")</f>
        <v/>
      </c>
      <c r="R131" s="77">
        <f>SUMIFS(data_lineitems!$I$3:$I$1567,data_lineitems!$A$3:$A$1567,"UK",data_lineitems!$B$3:$B$1567,2023,data_lineitems!$C$3:$C$1567,"medium",data_lineitems!$D$3:$D$1567,"E2",data_lineitems!$F$3:$F$1567,"HATCH*",data_lineitems!$H$3:$H$1567,"ii *")</f>
        <v/>
      </c>
      <c r="S131" s="77">
        <f>SUMIFS(data_lineitems!$I$3:$I$1567,data_lineitems!$A$3:$A$1567,"UK",data_lineitems!$B$3:$B$1567,2024,data_lineitems!$C$3:$C$1567,"medium",data_lineitems!$D$3:$D$1567,"E2",data_lineitems!$F$3:$F$1567,"HATCH*",data_lineitems!$H$3:$H$1567,"ii *")</f>
        <v/>
      </c>
      <c r="T131" s="77">
        <f>SUMIFS(data_lineitems!$I$3:$I$1567,data_lineitems!$A$3:$A$1567,"UK",data_lineitems!$B$3:$B$1567,2025,data_lineitems!$C$3:$C$1567,"medium",data_lineitems!$D$3:$D$1567,"E2",data_lineitems!$F$3:$F$1567,"HATCH*",data_lineitems!$H$3:$H$1567,"ii *")</f>
        <v/>
      </c>
    </row>
    <row r="132" ht="15" customHeight="1" s="78">
      <c r="A132" s="77" t="inlineStr">
        <is>
          <t>UK</t>
        </is>
      </c>
      <c r="B132" s="77" t="inlineStr">
        <is>
          <t>medium</t>
        </is>
      </c>
      <c r="C132" s="77" t="inlineStr">
        <is>
          <t>E2</t>
        </is>
      </c>
      <c r="D132" s="77" t="inlineStr">
        <is>
          <t>HATCH iii (borne by taxpayer)</t>
        </is>
      </c>
      <c r="E132" s="77">
        <f>SUMIFS(data_lineitems!$I$3:$I$1567,data_lineitems!$A$3:$A$1567,"UK",data_lineitems!$B$3:$B$1567,2010,data_lineitems!$C$3:$C$1567,"medium",data_lineitems!$D$3:$D$1567,"E2",data_lineitems!$F$3:$F$1567,"HATCH*",data_lineitems!$H$3:$H$1567,"iii*")</f>
        <v/>
      </c>
      <c r="F132" s="77">
        <f>SUMIFS(data_lineitems!$I$3:$I$1567,data_lineitems!$A$3:$A$1567,"UK",data_lineitems!$B$3:$B$1567,2011,data_lineitems!$C$3:$C$1567,"medium",data_lineitems!$D$3:$D$1567,"E2",data_lineitems!$F$3:$F$1567,"HATCH*",data_lineitems!$H$3:$H$1567,"iii*")</f>
        <v/>
      </c>
      <c r="G132" s="77">
        <f>SUMIFS(data_lineitems!$I$3:$I$1567,data_lineitems!$A$3:$A$1567,"UK",data_lineitems!$B$3:$B$1567,2012,data_lineitems!$C$3:$C$1567,"medium",data_lineitems!$D$3:$D$1567,"E2",data_lineitems!$F$3:$F$1567,"HATCH*",data_lineitems!$H$3:$H$1567,"iii*")</f>
        <v/>
      </c>
      <c r="H132" s="77">
        <f>SUMIFS(data_lineitems!$I$3:$I$1567,data_lineitems!$A$3:$A$1567,"UK",data_lineitems!$B$3:$B$1567,2013,data_lineitems!$C$3:$C$1567,"medium",data_lineitems!$D$3:$D$1567,"E2",data_lineitems!$F$3:$F$1567,"HATCH*",data_lineitems!$H$3:$H$1567,"iii*")</f>
        <v/>
      </c>
      <c r="I132" s="77">
        <f>SUMIFS(data_lineitems!$I$3:$I$1567,data_lineitems!$A$3:$A$1567,"UK",data_lineitems!$B$3:$B$1567,2014,data_lineitems!$C$3:$C$1567,"medium",data_lineitems!$D$3:$D$1567,"E2",data_lineitems!$F$3:$F$1567,"HATCH*",data_lineitems!$H$3:$H$1567,"iii*")</f>
        <v/>
      </c>
      <c r="J132" s="77">
        <f>SUMIFS(data_lineitems!$I$3:$I$1567,data_lineitems!$A$3:$A$1567,"UK",data_lineitems!$B$3:$B$1567,2015,data_lineitems!$C$3:$C$1567,"medium",data_lineitems!$D$3:$D$1567,"E2",data_lineitems!$F$3:$F$1567,"HATCH*",data_lineitems!$H$3:$H$1567,"iii*")</f>
        <v/>
      </c>
      <c r="K132" s="77">
        <f>SUMIFS(data_lineitems!$I$3:$I$1567,data_lineitems!$A$3:$A$1567,"UK",data_lineitems!$B$3:$B$1567,2016,data_lineitems!$C$3:$C$1567,"medium",data_lineitems!$D$3:$D$1567,"E2",data_lineitems!$F$3:$F$1567,"HATCH*",data_lineitems!$H$3:$H$1567,"iii*")</f>
        <v/>
      </c>
      <c r="L132" s="77">
        <f>SUMIFS(data_lineitems!$I$3:$I$1567,data_lineitems!$A$3:$A$1567,"UK",data_lineitems!$B$3:$B$1567,2017,data_lineitems!$C$3:$C$1567,"medium",data_lineitems!$D$3:$D$1567,"E2",data_lineitems!$F$3:$F$1567,"HATCH*",data_lineitems!$H$3:$H$1567,"iii*")</f>
        <v/>
      </c>
      <c r="M132" s="77">
        <f>SUMIFS(data_lineitems!$I$3:$I$1567,data_lineitems!$A$3:$A$1567,"UK",data_lineitems!$B$3:$B$1567,2018,data_lineitems!$C$3:$C$1567,"medium",data_lineitems!$D$3:$D$1567,"E2",data_lineitems!$F$3:$F$1567,"HATCH*",data_lineitems!$H$3:$H$1567,"iii*")</f>
        <v/>
      </c>
      <c r="N132" s="77">
        <f>SUMIFS(data_lineitems!$I$3:$I$1567,data_lineitems!$A$3:$A$1567,"UK",data_lineitems!$B$3:$B$1567,2019,data_lineitems!$C$3:$C$1567,"medium",data_lineitems!$D$3:$D$1567,"E2",data_lineitems!$F$3:$F$1567,"HATCH*",data_lineitems!$H$3:$H$1567,"iii*")</f>
        <v/>
      </c>
      <c r="O132" s="77">
        <f>SUMIFS(data_lineitems!$I$3:$I$1567,data_lineitems!$A$3:$A$1567,"UK",data_lineitems!$B$3:$B$1567,2020,data_lineitems!$C$3:$C$1567,"medium",data_lineitems!$D$3:$D$1567,"E2",data_lineitems!$F$3:$F$1567,"HATCH*",data_lineitems!$H$3:$H$1567,"iii*")</f>
        <v/>
      </c>
      <c r="P132" s="77">
        <f>SUMIFS(data_lineitems!$I$3:$I$1567,data_lineitems!$A$3:$A$1567,"UK",data_lineitems!$B$3:$B$1567,2021,data_lineitems!$C$3:$C$1567,"medium",data_lineitems!$D$3:$D$1567,"E2",data_lineitems!$F$3:$F$1567,"HATCH*",data_lineitems!$H$3:$H$1567,"iii*")</f>
        <v/>
      </c>
      <c r="Q132" s="77">
        <f>SUMIFS(data_lineitems!$I$3:$I$1567,data_lineitems!$A$3:$A$1567,"UK",data_lineitems!$B$3:$B$1567,2022,data_lineitems!$C$3:$C$1567,"medium",data_lineitems!$D$3:$D$1567,"E2",data_lineitems!$F$3:$F$1567,"HATCH*",data_lineitems!$H$3:$H$1567,"iii*")</f>
        <v/>
      </c>
      <c r="R132" s="77">
        <f>SUMIFS(data_lineitems!$I$3:$I$1567,data_lineitems!$A$3:$A$1567,"UK",data_lineitems!$B$3:$B$1567,2023,data_lineitems!$C$3:$C$1567,"medium",data_lineitems!$D$3:$D$1567,"E2",data_lineitems!$F$3:$F$1567,"HATCH*",data_lineitems!$H$3:$H$1567,"iii*")</f>
        <v/>
      </c>
      <c r="S132" s="77">
        <f>SUMIFS(data_lineitems!$I$3:$I$1567,data_lineitems!$A$3:$A$1567,"UK",data_lineitems!$B$3:$B$1567,2024,data_lineitems!$C$3:$C$1567,"medium",data_lineitems!$D$3:$D$1567,"E2",data_lineitems!$F$3:$F$1567,"HATCH*",data_lineitems!$H$3:$H$1567,"iii*")</f>
        <v/>
      </c>
      <c r="T132" s="77">
        <f>SUMIFS(data_lineitems!$I$3:$I$1567,data_lineitems!$A$3:$A$1567,"UK",data_lineitems!$B$3:$B$1567,2025,data_lineitems!$C$3:$C$1567,"medium",data_lineitems!$D$3:$D$1567,"E2",data_lineitems!$F$3:$F$1567,"HATCH*",data_lineitems!$H$3:$H$1567,"iii*")</f>
        <v/>
      </c>
    </row>
    <row r="133" ht="15" customHeight="1" s="78">
      <c r="A133" s="77" t="inlineStr">
        <is>
          <t>DE</t>
        </is>
      </c>
      <c r="B133" s="77" t="inlineStr">
        <is>
          <t>large</t>
        </is>
      </c>
      <c r="C133" s="77" t="inlineStr">
        <is>
          <t>E1</t>
        </is>
      </c>
      <c r="D133" s="77" t="inlineStr">
        <is>
          <t>MEMO 6 Supply margin (obs - modelled E1)</t>
        </is>
      </c>
      <c r="E133" s="77">
        <f>SUMIFS(data_lineitems!$I$3:$I$1567,data_lineitems!$A$3:$A$1567,"DE",data_lineitems!$B$3:$B$1567,2010,data_lineitems!$C$3:$C$1567,"large",data_lineitems!$D$3:$D$1567,"memo (vs E1)",data_lineitems!$F$3:$F$1567,"MEMO — 6 Supply margin*")</f>
        <v/>
      </c>
      <c r="F133" s="77">
        <f>SUMIFS(data_lineitems!$I$3:$I$1567,data_lineitems!$A$3:$A$1567,"DE",data_lineitems!$B$3:$B$1567,2011,data_lineitems!$C$3:$C$1567,"large",data_lineitems!$D$3:$D$1567,"memo (vs E1)",data_lineitems!$F$3:$F$1567,"MEMO — 6 Supply margin*")</f>
        <v/>
      </c>
      <c r="G133" s="77">
        <f>SUMIFS(data_lineitems!$I$3:$I$1567,data_lineitems!$A$3:$A$1567,"DE",data_lineitems!$B$3:$B$1567,2012,data_lineitems!$C$3:$C$1567,"large",data_lineitems!$D$3:$D$1567,"memo (vs E1)",data_lineitems!$F$3:$F$1567,"MEMO — 6 Supply margin*")</f>
        <v/>
      </c>
      <c r="H133" s="77">
        <f>SUMIFS(data_lineitems!$I$3:$I$1567,data_lineitems!$A$3:$A$1567,"DE",data_lineitems!$B$3:$B$1567,2013,data_lineitems!$C$3:$C$1567,"large",data_lineitems!$D$3:$D$1567,"memo (vs E1)",data_lineitems!$F$3:$F$1567,"MEMO — 6 Supply margin*")</f>
        <v/>
      </c>
      <c r="I133" s="77">
        <f>SUMIFS(data_lineitems!$I$3:$I$1567,data_lineitems!$A$3:$A$1567,"DE",data_lineitems!$B$3:$B$1567,2014,data_lineitems!$C$3:$C$1567,"large",data_lineitems!$D$3:$D$1567,"memo (vs E1)",data_lineitems!$F$3:$F$1567,"MEMO — 6 Supply margin*")</f>
        <v/>
      </c>
      <c r="J133" s="77">
        <f>SUMIFS(data_lineitems!$I$3:$I$1567,data_lineitems!$A$3:$A$1567,"DE",data_lineitems!$B$3:$B$1567,2015,data_lineitems!$C$3:$C$1567,"large",data_lineitems!$D$3:$D$1567,"memo (vs E1)",data_lineitems!$F$3:$F$1567,"MEMO — 6 Supply margin*")</f>
        <v/>
      </c>
      <c r="K133" s="77">
        <f>SUMIFS(data_lineitems!$I$3:$I$1567,data_lineitems!$A$3:$A$1567,"DE",data_lineitems!$B$3:$B$1567,2016,data_lineitems!$C$3:$C$1567,"large",data_lineitems!$D$3:$D$1567,"memo (vs E1)",data_lineitems!$F$3:$F$1567,"MEMO — 6 Supply margin*")</f>
        <v/>
      </c>
      <c r="L133" s="77">
        <f>SUMIFS(data_lineitems!$I$3:$I$1567,data_lineitems!$A$3:$A$1567,"DE",data_lineitems!$B$3:$B$1567,2017,data_lineitems!$C$3:$C$1567,"large",data_lineitems!$D$3:$D$1567,"memo (vs E1)",data_lineitems!$F$3:$F$1567,"MEMO — 6 Supply margin*")</f>
        <v/>
      </c>
      <c r="M133" s="77">
        <f>SUMIFS(data_lineitems!$I$3:$I$1567,data_lineitems!$A$3:$A$1567,"DE",data_lineitems!$B$3:$B$1567,2018,data_lineitems!$C$3:$C$1567,"large",data_lineitems!$D$3:$D$1567,"memo (vs E1)",data_lineitems!$F$3:$F$1567,"MEMO — 6 Supply margin*")</f>
        <v/>
      </c>
      <c r="N133" s="77">
        <f>SUMIFS(data_lineitems!$I$3:$I$1567,data_lineitems!$A$3:$A$1567,"DE",data_lineitems!$B$3:$B$1567,2019,data_lineitems!$C$3:$C$1567,"large",data_lineitems!$D$3:$D$1567,"memo (vs E1)",data_lineitems!$F$3:$F$1567,"MEMO — 6 Supply margin*")</f>
        <v/>
      </c>
      <c r="O133" s="77">
        <f>SUMIFS(data_lineitems!$I$3:$I$1567,data_lineitems!$A$3:$A$1567,"DE",data_lineitems!$B$3:$B$1567,2020,data_lineitems!$C$3:$C$1567,"large",data_lineitems!$D$3:$D$1567,"memo (vs E1)",data_lineitems!$F$3:$F$1567,"MEMO — 6 Supply margin*")</f>
        <v/>
      </c>
      <c r="P133" s="77">
        <f>SUMIFS(data_lineitems!$I$3:$I$1567,data_lineitems!$A$3:$A$1567,"DE",data_lineitems!$B$3:$B$1567,2021,data_lineitems!$C$3:$C$1567,"large",data_lineitems!$D$3:$D$1567,"memo (vs E1)",data_lineitems!$F$3:$F$1567,"MEMO — 6 Supply margin*")</f>
        <v/>
      </c>
      <c r="Q133" s="77">
        <f>SUMIFS(data_lineitems!$I$3:$I$1567,data_lineitems!$A$3:$A$1567,"DE",data_lineitems!$B$3:$B$1567,2022,data_lineitems!$C$3:$C$1567,"large",data_lineitems!$D$3:$D$1567,"memo (vs E1)",data_lineitems!$F$3:$F$1567,"MEMO — 6 Supply margin*")</f>
        <v/>
      </c>
      <c r="R133" s="77">
        <f>SUMIFS(data_lineitems!$I$3:$I$1567,data_lineitems!$A$3:$A$1567,"DE",data_lineitems!$B$3:$B$1567,2023,data_lineitems!$C$3:$C$1567,"large",data_lineitems!$D$3:$D$1567,"memo (vs E1)",data_lineitems!$F$3:$F$1567,"MEMO — 6 Supply margin*")</f>
        <v/>
      </c>
      <c r="S133" s="77">
        <f>SUMIFS(data_lineitems!$I$3:$I$1567,data_lineitems!$A$3:$A$1567,"DE",data_lineitems!$B$3:$B$1567,2024,data_lineitems!$C$3:$C$1567,"large",data_lineitems!$D$3:$D$1567,"memo (vs E1)",data_lineitems!$F$3:$F$1567,"MEMO — 6 Supply margin*")</f>
        <v/>
      </c>
      <c r="T133" s="77">
        <f>SUMIFS(data_lineitems!$I$3:$I$1567,data_lineitems!$A$3:$A$1567,"DE",data_lineitems!$B$3:$B$1567,2025,data_lineitems!$C$3:$C$1567,"large",data_lineitems!$D$3:$D$1567,"memo (vs E1)",data_lineitems!$F$3:$F$1567,"MEMO — 6 Supply margin*")</f>
        <v/>
      </c>
    </row>
    <row r="134" ht="15" customHeight="1" s="78">
      <c r="A134" s="77" t="inlineStr">
        <is>
          <t>DE</t>
        </is>
      </c>
      <c r="B134" s="77" t="inlineStr">
        <is>
          <t>large</t>
        </is>
      </c>
      <c r="C134" s="77" t="inlineStr">
        <is>
          <t>E1</t>
        </is>
      </c>
      <c r="D134" s="77" t="inlineStr">
        <is>
          <t>HATCH ii (borne by other users)</t>
        </is>
      </c>
      <c r="E134" s="77">
        <f>SUMIFS(data_lineitems!$I$3:$I$1567,data_lineitems!$A$3:$A$1567,"DE",data_lineitems!$B$3:$B$1567,2010,data_lineitems!$C$3:$C$1567,"large",data_lineitems!$D$3:$D$1567,"E1",data_lineitems!$F$3:$F$1567,"HATCH*",data_lineitems!$H$3:$H$1567,"ii *")</f>
        <v/>
      </c>
      <c r="F134" s="77">
        <f>SUMIFS(data_lineitems!$I$3:$I$1567,data_lineitems!$A$3:$A$1567,"DE",data_lineitems!$B$3:$B$1567,2011,data_lineitems!$C$3:$C$1567,"large",data_lineitems!$D$3:$D$1567,"E1",data_lineitems!$F$3:$F$1567,"HATCH*",data_lineitems!$H$3:$H$1567,"ii *")</f>
        <v/>
      </c>
      <c r="G134" s="77">
        <f>SUMIFS(data_lineitems!$I$3:$I$1567,data_lineitems!$A$3:$A$1567,"DE",data_lineitems!$B$3:$B$1567,2012,data_lineitems!$C$3:$C$1567,"large",data_lineitems!$D$3:$D$1567,"E1",data_lineitems!$F$3:$F$1567,"HATCH*",data_lineitems!$H$3:$H$1567,"ii *")</f>
        <v/>
      </c>
      <c r="H134" s="77">
        <f>SUMIFS(data_lineitems!$I$3:$I$1567,data_lineitems!$A$3:$A$1567,"DE",data_lineitems!$B$3:$B$1567,2013,data_lineitems!$C$3:$C$1567,"large",data_lineitems!$D$3:$D$1567,"E1",data_lineitems!$F$3:$F$1567,"HATCH*",data_lineitems!$H$3:$H$1567,"ii *")</f>
        <v/>
      </c>
      <c r="I134" s="77">
        <f>SUMIFS(data_lineitems!$I$3:$I$1567,data_lineitems!$A$3:$A$1567,"DE",data_lineitems!$B$3:$B$1567,2014,data_lineitems!$C$3:$C$1567,"large",data_lineitems!$D$3:$D$1567,"E1",data_lineitems!$F$3:$F$1567,"HATCH*",data_lineitems!$H$3:$H$1567,"ii *")</f>
        <v/>
      </c>
      <c r="J134" s="77">
        <f>SUMIFS(data_lineitems!$I$3:$I$1567,data_lineitems!$A$3:$A$1567,"DE",data_lineitems!$B$3:$B$1567,2015,data_lineitems!$C$3:$C$1567,"large",data_lineitems!$D$3:$D$1567,"E1",data_lineitems!$F$3:$F$1567,"HATCH*",data_lineitems!$H$3:$H$1567,"ii *")</f>
        <v/>
      </c>
      <c r="K134" s="77">
        <f>SUMIFS(data_lineitems!$I$3:$I$1567,data_lineitems!$A$3:$A$1567,"DE",data_lineitems!$B$3:$B$1567,2016,data_lineitems!$C$3:$C$1567,"large",data_lineitems!$D$3:$D$1567,"E1",data_lineitems!$F$3:$F$1567,"HATCH*",data_lineitems!$H$3:$H$1567,"ii *")</f>
        <v/>
      </c>
      <c r="L134" s="77">
        <f>SUMIFS(data_lineitems!$I$3:$I$1567,data_lineitems!$A$3:$A$1567,"DE",data_lineitems!$B$3:$B$1567,2017,data_lineitems!$C$3:$C$1567,"large",data_lineitems!$D$3:$D$1567,"E1",data_lineitems!$F$3:$F$1567,"HATCH*",data_lineitems!$H$3:$H$1567,"ii *")</f>
        <v/>
      </c>
      <c r="M134" s="77">
        <f>SUMIFS(data_lineitems!$I$3:$I$1567,data_lineitems!$A$3:$A$1567,"DE",data_lineitems!$B$3:$B$1567,2018,data_lineitems!$C$3:$C$1567,"large",data_lineitems!$D$3:$D$1567,"E1",data_lineitems!$F$3:$F$1567,"HATCH*",data_lineitems!$H$3:$H$1567,"ii *")</f>
        <v/>
      </c>
      <c r="N134" s="77">
        <f>SUMIFS(data_lineitems!$I$3:$I$1567,data_lineitems!$A$3:$A$1567,"DE",data_lineitems!$B$3:$B$1567,2019,data_lineitems!$C$3:$C$1567,"large",data_lineitems!$D$3:$D$1567,"E1",data_lineitems!$F$3:$F$1567,"HATCH*",data_lineitems!$H$3:$H$1567,"ii *")</f>
        <v/>
      </c>
      <c r="O134" s="77">
        <f>SUMIFS(data_lineitems!$I$3:$I$1567,data_lineitems!$A$3:$A$1567,"DE",data_lineitems!$B$3:$B$1567,2020,data_lineitems!$C$3:$C$1567,"large",data_lineitems!$D$3:$D$1567,"E1",data_lineitems!$F$3:$F$1567,"HATCH*",data_lineitems!$H$3:$H$1567,"ii *")</f>
        <v/>
      </c>
      <c r="P134" s="77">
        <f>SUMIFS(data_lineitems!$I$3:$I$1567,data_lineitems!$A$3:$A$1567,"DE",data_lineitems!$B$3:$B$1567,2021,data_lineitems!$C$3:$C$1567,"large",data_lineitems!$D$3:$D$1567,"E1",data_lineitems!$F$3:$F$1567,"HATCH*",data_lineitems!$H$3:$H$1567,"ii *")</f>
        <v/>
      </c>
      <c r="Q134" s="77">
        <f>SUMIFS(data_lineitems!$I$3:$I$1567,data_lineitems!$A$3:$A$1567,"DE",data_lineitems!$B$3:$B$1567,2022,data_lineitems!$C$3:$C$1567,"large",data_lineitems!$D$3:$D$1567,"E1",data_lineitems!$F$3:$F$1567,"HATCH*",data_lineitems!$H$3:$H$1567,"ii *")</f>
        <v/>
      </c>
      <c r="R134" s="77">
        <f>SUMIFS(data_lineitems!$I$3:$I$1567,data_lineitems!$A$3:$A$1567,"DE",data_lineitems!$B$3:$B$1567,2023,data_lineitems!$C$3:$C$1567,"large",data_lineitems!$D$3:$D$1567,"E1",data_lineitems!$F$3:$F$1567,"HATCH*",data_lineitems!$H$3:$H$1567,"ii *")</f>
        <v/>
      </c>
      <c r="S134" s="77">
        <f>SUMIFS(data_lineitems!$I$3:$I$1567,data_lineitems!$A$3:$A$1567,"DE",data_lineitems!$B$3:$B$1567,2024,data_lineitems!$C$3:$C$1567,"large",data_lineitems!$D$3:$D$1567,"E1",data_lineitems!$F$3:$F$1567,"HATCH*",data_lineitems!$H$3:$H$1567,"ii *")</f>
        <v/>
      </c>
      <c r="T134" s="77">
        <f>SUMIFS(data_lineitems!$I$3:$I$1567,data_lineitems!$A$3:$A$1567,"DE",data_lineitems!$B$3:$B$1567,2025,data_lineitems!$C$3:$C$1567,"large",data_lineitems!$D$3:$D$1567,"E1",data_lineitems!$F$3:$F$1567,"HATCH*",data_lineitems!$H$3:$H$1567,"ii *")</f>
        <v/>
      </c>
    </row>
    <row r="135" ht="15" customHeight="1" s="78">
      <c r="A135" s="77" t="inlineStr">
        <is>
          <t>DE</t>
        </is>
      </c>
      <c r="B135" s="77" t="inlineStr">
        <is>
          <t>large</t>
        </is>
      </c>
      <c r="C135" s="77" t="inlineStr">
        <is>
          <t>E1</t>
        </is>
      </c>
      <c r="D135" s="77" t="inlineStr">
        <is>
          <t>HATCH iii (borne by taxpayer)</t>
        </is>
      </c>
      <c r="E135" s="77">
        <f>SUMIFS(data_lineitems!$I$3:$I$1567,data_lineitems!$A$3:$A$1567,"DE",data_lineitems!$B$3:$B$1567,2010,data_lineitems!$C$3:$C$1567,"large",data_lineitems!$D$3:$D$1567,"E1",data_lineitems!$F$3:$F$1567,"HATCH*",data_lineitems!$H$3:$H$1567,"iii*")</f>
        <v/>
      </c>
      <c r="F135" s="77">
        <f>SUMIFS(data_lineitems!$I$3:$I$1567,data_lineitems!$A$3:$A$1567,"DE",data_lineitems!$B$3:$B$1567,2011,data_lineitems!$C$3:$C$1567,"large",data_lineitems!$D$3:$D$1567,"E1",data_lineitems!$F$3:$F$1567,"HATCH*",data_lineitems!$H$3:$H$1567,"iii*")</f>
        <v/>
      </c>
      <c r="G135" s="77">
        <f>SUMIFS(data_lineitems!$I$3:$I$1567,data_lineitems!$A$3:$A$1567,"DE",data_lineitems!$B$3:$B$1567,2012,data_lineitems!$C$3:$C$1567,"large",data_lineitems!$D$3:$D$1567,"E1",data_lineitems!$F$3:$F$1567,"HATCH*",data_lineitems!$H$3:$H$1567,"iii*")</f>
        <v/>
      </c>
      <c r="H135" s="77">
        <f>SUMIFS(data_lineitems!$I$3:$I$1567,data_lineitems!$A$3:$A$1567,"DE",data_lineitems!$B$3:$B$1567,2013,data_lineitems!$C$3:$C$1567,"large",data_lineitems!$D$3:$D$1567,"E1",data_lineitems!$F$3:$F$1567,"HATCH*",data_lineitems!$H$3:$H$1567,"iii*")</f>
        <v/>
      </c>
      <c r="I135" s="77">
        <f>SUMIFS(data_lineitems!$I$3:$I$1567,data_lineitems!$A$3:$A$1567,"DE",data_lineitems!$B$3:$B$1567,2014,data_lineitems!$C$3:$C$1567,"large",data_lineitems!$D$3:$D$1567,"E1",data_lineitems!$F$3:$F$1567,"HATCH*",data_lineitems!$H$3:$H$1567,"iii*")</f>
        <v/>
      </c>
      <c r="J135" s="77">
        <f>SUMIFS(data_lineitems!$I$3:$I$1567,data_lineitems!$A$3:$A$1567,"DE",data_lineitems!$B$3:$B$1567,2015,data_lineitems!$C$3:$C$1567,"large",data_lineitems!$D$3:$D$1567,"E1",data_lineitems!$F$3:$F$1567,"HATCH*",data_lineitems!$H$3:$H$1567,"iii*")</f>
        <v/>
      </c>
      <c r="K135" s="77">
        <f>SUMIFS(data_lineitems!$I$3:$I$1567,data_lineitems!$A$3:$A$1567,"DE",data_lineitems!$B$3:$B$1567,2016,data_lineitems!$C$3:$C$1567,"large",data_lineitems!$D$3:$D$1567,"E1",data_lineitems!$F$3:$F$1567,"HATCH*",data_lineitems!$H$3:$H$1567,"iii*")</f>
        <v/>
      </c>
      <c r="L135" s="77">
        <f>SUMIFS(data_lineitems!$I$3:$I$1567,data_lineitems!$A$3:$A$1567,"DE",data_lineitems!$B$3:$B$1567,2017,data_lineitems!$C$3:$C$1567,"large",data_lineitems!$D$3:$D$1567,"E1",data_lineitems!$F$3:$F$1567,"HATCH*",data_lineitems!$H$3:$H$1567,"iii*")</f>
        <v/>
      </c>
      <c r="M135" s="77">
        <f>SUMIFS(data_lineitems!$I$3:$I$1567,data_lineitems!$A$3:$A$1567,"DE",data_lineitems!$B$3:$B$1567,2018,data_lineitems!$C$3:$C$1567,"large",data_lineitems!$D$3:$D$1567,"E1",data_lineitems!$F$3:$F$1567,"HATCH*",data_lineitems!$H$3:$H$1567,"iii*")</f>
        <v/>
      </c>
      <c r="N135" s="77">
        <f>SUMIFS(data_lineitems!$I$3:$I$1567,data_lineitems!$A$3:$A$1567,"DE",data_lineitems!$B$3:$B$1567,2019,data_lineitems!$C$3:$C$1567,"large",data_lineitems!$D$3:$D$1567,"E1",data_lineitems!$F$3:$F$1567,"HATCH*",data_lineitems!$H$3:$H$1567,"iii*")</f>
        <v/>
      </c>
      <c r="O135" s="77">
        <f>SUMIFS(data_lineitems!$I$3:$I$1567,data_lineitems!$A$3:$A$1567,"DE",data_lineitems!$B$3:$B$1567,2020,data_lineitems!$C$3:$C$1567,"large",data_lineitems!$D$3:$D$1567,"E1",data_lineitems!$F$3:$F$1567,"HATCH*",data_lineitems!$H$3:$H$1567,"iii*")</f>
        <v/>
      </c>
      <c r="P135" s="77">
        <f>SUMIFS(data_lineitems!$I$3:$I$1567,data_lineitems!$A$3:$A$1567,"DE",data_lineitems!$B$3:$B$1567,2021,data_lineitems!$C$3:$C$1567,"large",data_lineitems!$D$3:$D$1567,"E1",data_lineitems!$F$3:$F$1567,"HATCH*",data_lineitems!$H$3:$H$1567,"iii*")</f>
        <v/>
      </c>
      <c r="Q135" s="77">
        <f>SUMIFS(data_lineitems!$I$3:$I$1567,data_lineitems!$A$3:$A$1567,"DE",data_lineitems!$B$3:$B$1567,2022,data_lineitems!$C$3:$C$1567,"large",data_lineitems!$D$3:$D$1567,"E1",data_lineitems!$F$3:$F$1567,"HATCH*",data_lineitems!$H$3:$H$1567,"iii*")</f>
        <v/>
      </c>
      <c r="R135" s="77">
        <f>SUMIFS(data_lineitems!$I$3:$I$1567,data_lineitems!$A$3:$A$1567,"DE",data_lineitems!$B$3:$B$1567,2023,data_lineitems!$C$3:$C$1567,"large",data_lineitems!$D$3:$D$1567,"E1",data_lineitems!$F$3:$F$1567,"HATCH*",data_lineitems!$H$3:$H$1567,"iii*")</f>
        <v/>
      </c>
      <c r="S135" s="77">
        <f>SUMIFS(data_lineitems!$I$3:$I$1567,data_lineitems!$A$3:$A$1567,"DE",data_lineitems!$B$3:$B$1567,2024,data_lineitems!$C$3:$C$1567,"large",data_lineitems!$D$3:$D$1567,"E1",data_lineitems!$F$3:$F$1567,"HATCH*",data_lineitems!$H$3:$H$1567,"iii*")</f>
        <v/>
      </c>
      <c r="T135" s="77">
        <f>SUMIFS(data_lineitems!$I$3:$I$1567,data_lineitems!$A$3:$A$1567,"DE",data_lineitems!$B$3:$B$1567,2025,data_lineitems!$C$3:$C$1567,"large",data_lineitems!$D$3:$D$1567,"E1",data_lineitems!$F$3:$F$1567,"HATCH*",data_lineitems!$H$3:$H$1567,"iii*")</f>
        <v/>
      </c>
    </row>
    <row r="136" ht="15" customHeight="1" s="78">
      <c r="A136" s="77" t="inlineStr">
        <is>
          <t>DE</t>
        </is>
      </c>
      <c r="B136" s="77" t="inlineStr">
        <is>
          <t>large</t>
        </is>
      </c>
      <c r="C136" s="77" t="inlineStr">
        <is>
          <t>E2</t>
        </is>
      </c>
      <c r="D136" s="77" t="inlineStr">
        <is>
          <t>MEMO 6 Supply margin (obs - modelled E1)</t>
        </is>
      </c>
      <c r="E136" s="77">
        <f>SUMIFS(data_lineitems!$I$3:$I$1567,data_lineitems!$A$3:$A$1567,"DE",data_lineitems!$B$3:$B$1567,2010,data_lineitems!$C$3:$C$1567,"large",data_lineitems!$D$3:$D$1567,"memo (vs E1)",data_lineitems!$F$3:$F$1567,"MEMO — 6 Supply margin*")</f>
        <v/>
      </c>
      <c r="F136" s="77">
        <f>SUMIFS(data_lineitems!$I$3:$I$1567,data_lineitems!$A$3:$A$1567,"DE",data_lineitems!$B$3:$B$1567,2011,data_lineitems!$C$3:$C$1567,"large",data_lineitems!$D$3:$D$1567,"memo (vs E1)",data_lineitems!$F$3:$F$1567,"MEMO — 6 Supply margin*")</f>
        <v/>
      </c>
      <c r="G136" s="77">
        <f>SUMIFS(data_lineitems!$I$3:$I$1567,data_lineitems!$A$3:$A$1567,"DE",data_lineitems!$B$3:$B$1567,2012,data_lineitems!$C$3:$C$1567,"large",data_lineitems!$D$3:$D$1567,"memo (vs E1)",data_lineitems!$F$3:$F$1567,"MEMO — 6 Supply margin*")</f>
        <v/>
      </c>
      <c r="H136" s="77">
        <f>SUMIFS(data_lineitems!$I$3:$I$1567,data_lineitems!$A$3:$A$1567,"DE",data_lineitems!$B$3:$B$1567,2013,data_lineitems!$C$3:$C$1567,"large",data_lineitems!$D$3:$D$1567,"memo (vs E1)",data_lineitems!$F$3:$F$1567,"MEMO — 6 Supply margin*")</f>
        <v/>
      </c>
      <c r="I136" s="77">
        <f>SUMIFS(data_lineitems!$I$3:$I$1567,data_lineitems!$A$3:$A$1567,"DE",data_lineitems!$B$3:$B$1567,2014,data_lineitems!$C$3:$C$1567,"large",data_lineitems!$D$3:$D$1567,"memo (vs E1)",data_lineitems!$F$3:$F$1567,"MEMO — 6 Supply margin*")</f>
        <v/>
      </c>
      <c r="J136" s="77">
        <f>SUMIFS(data_lineitems!$I$3:$I$1567,data_lineitems!$A$3:$A$1567,"DE",data_lineitems!$B$3:$B$1567,2015,data_lineitems!$C$3:$C$1567,"large",data_lineitems!$D$3:$D$1567,"memo (vs E1)",data_lineitems!$F$3:$F$1567,"MEMO — 6 Supply margin*")</f>
        <v/>
      </c>
      <c r="K136" s="77">
        <f>SUMIFS(data_lineitems!$I$3:$I$1567,data_lineitems!$A$3:$A$1567,"DE",data_lineitems!$B$3:$B$1567,2016,data_lineitems!$C$3:$C$1567,"large",data_lineitems!$D$3:$D$1567,"memo (vs E1)",data_lineitems!$F$3:$F$1567,"MEMO — 6 Supply margin*")</f>
        <v/>
      </c>
      <c r="L136" s="77">
        <f>SUMIFS(data_lineitems!$I$3:$I$1567,data_lineitems!$A$3:$A$1567,"DE",data_lineitems!$B$3:$B$1567,2017,data_lineitems!$C$3:$C$1567,"large",data_lineitems!$D$3:$D$1567,"memo (vs E1)",data_lineitems!$F$3:$F$1567,"MEMO — 6 Supply margin*")</f>
        <v/>
      </c>
      <c r="M136" s="77">
        <f>SUMIFS(data_lineitems!$I$3:$I$1567,data_lineitems!$A$3:$A$1567,"DE",data_lineitems!$B$3:$B$1567,2018,data_lineitems!$C$3:$C$1567,"large",data_lineitems!$D$3:$D$1567,"memo (vs E1)",data_lineitems!$F$3:$F$1567,"MEMO — 6 Supply margin*")</f>
        <v/>
      </c>
      <c r="N136" s="77">
        <f>SUMIFS(data_lineitems!$I$3:$I$1567,data_lineitems!$A$3:$A$1567,"DE",data_lineitems!$B$3:$B$1567,2019,data_lineitems!$C$3:$C$1567,"large",data_lineitems!$D$3:$D$1567,"memo (vs E1)",data_lineitems!$F$3:$F$1567,"MEMO — 6 Supply margin*")</f>
        <v/>
      </c>
      <c r="O136" s="77">
        <f>SUMIFS(data_lineitems!$I$3:$I$1567,data_lineitems!$A$3:$A$1567,"DE",data_lineitems!$B$3:$B$1567,2020,data_lineitems!$C$3:$C$1567,"large",data_lineitems!$D$3:$D$1567,"memo (vs E1)",data_lineitems!$F$3:$F$1567,"MEMO — 6 Supply margin*")</f>
        <v/>
      </c>
      <c r="P136" s="77">
        <f>SUMIFS(data_lineitems!$I$3:$I$1567,data_lineitems!$A$3:$A$1567,"DE",data_lineitems!$B$3:$B$1567,2021,data_lineitems!$C$3:$C$1567,"large",data_lineitems!$D$3:$D$1567,"memo (vs E1)",data_lineitems!$F$3:$F$1567,"MEMO — 6 Supply margin*")</f>
        <v/>
      </c>
      <c r="Q136" s="77">
        <f>SUMIFS(data_lineitems!$I$3:$I$1567,data_lineitems!$A$3:$A$1567,"DE",data_lineitems!$B$3:$B$1567,2022,data_lineitems!$C$3:$C$1567,"large",data_lineitems!$D$3:$D$1567,"memo (vs E1)",data_lineitems!$F$3:$F$1567,"MEMO — 6 Supply margin*")</f>
        <v/>
      </c>
      <c r="R136" s="77">
        <f>SUMIFS(data_lineitems!$I$3:$I$1567,data_lineitems!$A$3:$A$1567,"DE",data_lineitems!$B$3:$B$1567,2023,data_lineitems!$C$3:$C$1567,"large",data_lineitems!$D$3:$D$1567,"memo (vs E1)",data_lineitems!$F$3:$F$1567,"MEMO — 6 Supply margin*")</f>
        <v/>
      </c>
      <c r="S136" s="77">
        <f>SUMIFS(data_lineitems!$I$3:$I$1567,data_lineitems!$A$3:$A$1567,"DE",data_lineitems!$B$3:$B$1567,2024,data_lineitems!$C$3:$C$1567,"large",data_lineitems!$D$3:$D$1567,"memo (vs E1)",data_lineitems!$F$3:$F$1567,"MEMO — 6 Supply margin*")</f>
        <v/>
      </c>
      <c r="T136" s="77">
        <f>SUMIFS(data_lineitems!$I$3:$I$1567,data_lineitems!$A$3:$A$1567,"DE",data_lineitems!$B$3:$B$1567,2025,data_lineitems!$C$3:$C$1567,"large",data_lineitems!$D$3:$D$1567,"memo (vs E1)",data_lineitems!$F$3:$F$1567,"MEMO — 6 Supply margin*")</f>
        <v/>
      </c>
    </row>
    <row r="137" ht="15" customHeight="1" s="78">
      <c r="A137" s="77" t="inlineStr">
        <is>
          <t>DE</t>
        </is>
      </c>
      <c r="B137" s="77" t="inlineStr">
        <is>
          <t>large</t>
        </is>
      </c>
      <c r="C137" s="77" t="inlineStr">
        <is>
          <t>E2</t>
        </is>
      </c>
      <c r="D137" s="77" t="inlineStr">
        <is>
          <t>HATCH ii (borne by other users)</t>
        </is>
      </c>
      <c r="E137" s="77">
        <f>SUMIFS(data_lineitems!$I$3:$I$1567,data_lineitems!$A$3:$A$1567,"DE",data_lineitems!$B$3:$B$1567,2010,data_lineitems!$C$3:$C$1567,"large",data_lineitems!$D$3:$D$1567,"E2",data_lineitems!$F$3:$F$1567,"HATCH*",data_lineitems!$H$3:$H$1567,"ii *")</f>
        <v/>
      </c>
      <c r="F137" s="77">
        <f>SUMIFS(data_lineitems!$I$3:$I$1567,data_lineitems!$A$3:$A$1567,"DE",data_lineitems!$B$3:$B$1567,2011,data_lineitems!$C$3:$C$1567,"large",data_lineitems!$D$3:$D$1567,"E2",data_lineitems!$F$3:$F$1567,"HATCH*",data_lineitems!$H$3:$H$1567,"ii *")</f>
        <v/>
      </c>
      <c r="G137" s="77">
        <f>SUMIFS(data_lineitems!$I$3:$I$1567,data_lineitems!$A$3:$A$1567,"DE",data_lineitems!$B$3:$B$1567,2012,data_lineitems!$C$3:$C$1567,"large",data_lineitems!$D$3:$D$1567,"E2",data_lineitems!$F$3:$F$1567,"HATCH*",data_lineitems!$H$3:$H$1567,"ii *")</f>
        <v/>
      </c>
      <c r="H137" s="77">
        <f>SUMIFS(data_lineitems!$I$3:$I$1567,data_lineitems!$A$3:$A$1567,"DE",data_lineitems!$B$3:$B$1567,2013,data_lineitems!$C$3:$C$1567,"large",data_lineitems!$D$3:$D$1567,"E2",data_lineitems!$F$3:$F$1567,"HATCH*",data_lineitems!$H$3:$H$1567,"ii *")</f>
        <v/>
      </c>
      <c r="I137" s="77">
        <f>SUMIFS(data_lineitems!$I$3:$I$1567,data_lineitems!$A$3:$A$1567,"DE",data_lineitems!$B$3:$B$1567,2014,data_lineitems!$C$3:$C$1567,"large",data_lineitems!$D$3:$D$1567,"E2",data_lineitems!$F$3:$F$1567,"HATCH*",data_lineitems!$H$3:$H$1567,"ii *")</f>
        <v/>
      </c>
      <c r="J137" s="77">
        <f>SUMIFS(data_lineitems!$I$3:$I$1567,data_lineitems!$A$3:$A$1567,"DE",data_lineitems!$B$3:$B$1567,2015,data_lineitems!$C$3:$C$1567,"large",data_lineitems!$D$3:$D$1567,"E2",data_lineitems!$F$3:$F$1567,"HATCH*",data_lineitems!$H$3:$H$1567,"ii *")</f>
        <v/>
      </c>
      <c r="K137" s="77">
        <f>SUMIFS(data_lineitems!$I$3:$I$1567,data_lineitems!$A$3:$A$1567,"DE",data_lineitems!$B$3:$B$1567,2016,data_lineitems!$C$3:$C$1567,"large",data_lineitems!$D$3:$D$1567,"E2",data_lineitems!$F$3:$F$1567,"HATCH*",data_lineitems!$H$3:$H$1567,"ii *")</f>
        <v/>
      </c>
      <c r="L137" s="77">
        <f>SUMIFS(data_lineitems!$I$3:$I$1567,data_lineitems!$A$3:$A$1567,"DE",data_lineitems!$B$3:$B$1567,2017,data_lineitems!$C$3:$C$1567,"large",data_lineitems!$D$3:$D$1567,"E2",data_lineitems!$F$3:$F$1567,"HATCH*",data_lineitems!$H$3:$H$1567,"ii *")</f>
        <v/>
      </c>
      <c r="M137" s="77">
        <f>SUMIFS(data_lineitems!$I$3:$I$1567,data_lineitems!$A$3:$A$1567,"DE",data_lineitems!$B$3:$B$1567,2018,data_lineitems!$C$3:$C$1567,"large",data_lineitems!$D$3:$D$1567,"E2",data_lineitems!$F$3:$F$1567,"HATCH*",data_lineitems!$H$3:$H$1567,"ii *")</f>
        <v/>
      </c>
      <c r="N137" s="77">
        <f>SUMIFS(data_lineitems!$I$3:$I$1567,data_lineitems!$A$3:$A$1567,"DE",data_lineitems!$B$3:$B$1567,2019,data_lineitems!$C$3:$C$1567,"large",data_lineitems!$D$3:$D$1567,"E2",data_lineitems!$F$3:$F$1567,"HATCH*",data_lineitems!$H$3:$H$1567,"ii *")</f>
        <v/>
      </c>
      <c r="O137" s="77">
        <f>SUMIFS(data_lineitems!$I$3:$I$1567,data_lineitems!$A$3:$A$1567,"DE",data_lineitems!$B$3:$B$1567,2020,data_lineitems!$C$3:$C$1567,"large",data_lineitems!$D$3:$D$1567,"E2",data_lineitems!$F$3:$F$1567,"HATCH*",data_lineitems!$H$3:$H$1567,"ii *")</f>
        <v/>
      </c>
      <c r="P137" s="77">
        <f>SUMIFS(data_lineitems!$I$3:$I$1567,data_lineitems!$A$3:$A$1567,"DE",data_lineitems!$B$3:$B$1567,2021,data_lineitems!$C$3:$C$1567,"large",data_lineitems!$D$3:$D$1567,"E2",data_lineitems!$F$3:$F$1567,"HATCH*",data_lineitems!$H$3:$H$1567,"ii *")</f>
        <v/>
      </c>
      <c r="Q137" s="77">
        <f>SUMIFS(data_lineitems!$I$3:$I$1567,data_lineitems!$A$3:$A$1567,"DE",data_lineitems!$B$3:$B$1567,2022,data_lineitems!$C$3:$C$1567,"large",data_lineitems!$D$3:$D$1567,"E2",data_lineitems!$F$3:$F$1567,"HATCH*",data_lineitems!$H$3:$H$1567,"ii *")</f>
        <v/>
      </c>
      <c r="R137" s="77">
        <f>SUMIFS(data_lineitems!$I$3:$I$1567,data_lineitems!$A$3:$A$1567,"DE",data_lineitems!$B$3:$B$1567,2023,data_lineitems!$C$3:$C$1567,"large",data_lineitems!$D$3:$D$1567,"E2",data_lineitems!$F$3:$F$1567,"HATCH*",data_lineitems!$H$3:$H$1567,"ii *")</f>
        <v/>
      </c>
      <c r="S137" s="77">
        <f>SUMIFS(data_lineitems!$I$3:$I$1567,data_lineitems!$A$3:$A$1567,"DE",data_lineitems!$B$3:$B$1567,2024,data_lineitems!$C$3:$C$1567,"large",data_lineitems!$D$3:$D$1567,"E2",data_lineitems!$F$3:$F$1567,"HATCH*",data_lineitems!$H$3:$H$1567,"ii *")</f>
        <v/>
      </c>
      <c r="T137" s="77">
        <f>SUMIFS(data_lineitems!$I$3:$I$1567,data_lineitems!$A$3:$A$1567,"DE",data_lineitems!$B$3:$B$1567,2025,data_lineitems!$C$3:$C$1567,"large",data_lineitems!$D$3:$D$1567,"E2",data_lineitems!$F$3:$F$1567,"HATCH*",data_lineitems!$H$3:$H$1567,"ii *")</f>
        <v/>
      </c>
    </row>
    <row r="138" ht="15" customHeight="1" s="78">
      <c r="A138" s="77" t="inlineStr">
        <is>
          <t>DE</t>
        </is>
      </c>
      <c r="B138" s="77" t="inlineStr">
        <is>
          <t>large</t>
        </is>
      </c>
      <c r="C138" s="77" t="inlineStr">
        <is>
          <t>E2</t>
        </is>
      </c>
      <c r="D138" s="77" t="inlineStr">
        <is>
          <t>HATCH iii (borne by taxpayer)</t>
        </is>
      </c>
      <c r="E138" s="77">
        <f>SUMIFS(data_lineitems!$I$3:$I$1567,data_lineitems!$A$3:$A$1567,"DE",data_lineitems!$B$3:$B$1567,2010,data_lineitems!$C$3:$C$1567,"large",data_lineitems!$D$3:$D$1567,"E2",data_lineitems!$F$3:$F$1567,"HATCH*",data_lineitems!$H$3:$H$1567,"iii*")</f>
        <v/>
      </c>
      <c r="F138" s="77">
        <f>SUMIFS(data_lineitems!$I$3:$I$1567,data_lineitems!$A$3:$A$1567,"DE",data_lineitems!$B$3:$B$1567,2011,data_lineitems!$C$3:$C$1567,"large",data_lineitems!$D$3:$D$1567,"E2",data_lineitems!$F$3:$F$1567,"HATCH*",data_lineitems!$H$3:$H$1567,"iii*")</f>
        <v/>
      </c>
      <c r="G138" s="77">
        <f>SUMIFS(data_lineitems!$I$3:$I$1567,data_lineitems!$A$3:$A$1567,"DE",data_lineitems!$B$3:$B$1567,2012,data_lineitems!$C$3:$C$1567,"large",data_lineitems!$D$3:$D$1567,"E2",data_lineitems!$F$3:$F$1567,"HATCH*",data_lineitems!$H$3:$H$1567,"iii*")</f>
        <v/>
      </c>
      <c r="H138" s="77">
        <f>SUMIFS(data_lineitems!$I$3:$I$1567,data_lineitems!$A$3:$A$1567,"DE",data_lineitems!$B$3:$B$1567,2013,data_lineitems!$C$3:$C$1567,"large",data_lineitems!$D$3:$D$1567,"E2",data_lineitems!$F$3:$F$1567,"HATCH*",data_lineitems!$H$3:$H$1567,"iii*")</f>
        <v/>
      </c>
      <c r="I138" s="77">
        <f>SUMIFS(data_lineitems!$I$3:$I$1567,data_lineitems!$A$3:$A$1567,"DE",data_lineitems!$B$3:$B$1567,2014,data_lineitems!$C$3:$C$1567,"large",data_lineitems!$D$3:$D$1567,"E2",data_lineitems!$F$3:$F$1567,"HATCH*",data_lineitems!$H$3:$H$1567,"iii*")</f>
        <v/>
      </c>
      <c r="J138" s="77">
        <f>SUMIFS(data_lineitems!$I$3:$I$1567,data_lineitems!$A$3:$A$1567,"DE",data_lineitems!$B$3:$B$1567,2015,data_lineitems!$C$3:$C$1567,"large",data_lineitems!$D$3:$D$1567,"E2",data_lineitems!$F$3:$F$1567,"HATCH*",data_lineitems!$H$3:$H$1567,"iii*")</f>
        <v/>
      </c>
      <c r="K138" s="77">
        <f>SUMIFS(data_lineitems!$I$3:$I$1567,data_lineitems!$A$3:$A$1567,"DE",data_lineitems!$B$3:$B$1567,2016,data_lineitems!$C$3:$C$1567,"large",data_lineitems!$D$3:$D$1567,"E2",data_lineitems!$F$3:$F$1567,"HATCH*",data_lineitems!$H$3:$H$1567,"iii*")</f>
        <v/>
      </c>
      <c r="L138" s="77">
        <f>SUMIFS(data_lineitems!$I$3:$I$1567,data_lineitems!$A$3:$A$1567,"DE",data_lineitems!$B$3:$B$1567,2017,data_lineitems!$C$3:$C$1567,"large",data_lineitems!$D$3:$D$1567,"E2",data_lineitems!$F$3:$F$1567,"HATCH*",data_lineitems!$H$3:$H$1567,"iii*")</f>
        <v/>
      </c>
      <c r="M138" s="77">
        <f>SUMIFS(data_lineitems!$I$3:$I$1567,data_lineitems!$A$3:$A$1567,"DE",data_lineitems!$B$3:$B$1567,2018,data_lineitems!$C$3:$C$1567,"large",data_lineitems!$D$3:$D$1567,"E2",data_lineitems!$F$3:$F$1567,"HATCH*",data_lineitems!$H$3:$H$1567,"iii*")</f>
        <v/>
      </c>
      <c r="N138" s="77">
        <f>SUMIFS(data_lineitems!$I$3:$I$1567,data_lineitems!$A$3:$A$1567,"DE",data_lineitems!$B$3:$B$1567,2019,data_lineitems!$C$3:$C$1567,"large",data_lineitems!$D$3:$D$1567,"E2",data_lineitems!$F$3:$F$1567,"HATCH*",data_lineitems!$H$3:$H$1567,"iii*")</f>
        <v/>
      </c>
      <c r="O138" s="77">
        <f>SUMIFS(data_lineitems!$I$3:$I$1567,data_lineitems!$A$3:$A$1567,"DE",data_lineitems!$B$3:$B$1567,2020,data_lineitems!$C$3:$C$1567,"large",data_lineitems!$D$3:$D$1567,"E2",data_lineitems!$F$3:$F$1567,"HATCH*",data_lineitems!$H$3:$H$1567,"iii*")</f>
        <v/>
      </c>
      <c r="P138" s="77">
        <f>SUMIFS(data_lineitems!$I$3:$I$1567,data_lineitems!$A$3:$A$1567,"DE",data_lineitems!$B$3:$B$1567,2021,data_lineitems!$C$3:$C$1567,"large",data_lineitems!$D$3:$D$1567,"E2",data_lineitems!$F$3:$F$1567,"HATCH*",data_lineitems!$H$3:$H$1567,"iii*")</f>
        <v/>
      </c>
      <c r="Q138" s="77">
        <f>SUMIFS(data_lineitems!$I$3:$I$1567,data_lineitems!$A$3:$A$1567,"DE",data_lineitems!$B$3:$B$1567,2022,data_lineitems!$C$3:$C$1567,"large",data_lineitems!$D$3:$D$1567,"E2",data_lineitems!$F$3:$F$1567,"HATCH*",data_lineitems!$H$3:$H$1567,"iii*")</f>
        <v/>
      </c>
      <c r="R138" s="77">
        <f>SUMIFS(data_lineitems!$I$3:$I$1567,data_lineitems!$A$3:$A$1567,"DE",data_lineitems!$B$3:$B$1567,2023,data_lineitems!$C$3:$C$1567,"large",data_lineitems!$D$3:$D$1567,"E2",data_lineitems!$F$3:$F$1567,"HATCH*",data_lineitems!$H$3:$H$1567,"iii*")</f>
        <v/>
      </c>
      <c r="S138" s="77">
        <f>SUMIFS(data_lineitems!$I$3:$I$1567,data_lineitems!$A$3:$A$1567,"DE",data_lineitems!$B$3:$B$1567,2024,data_lineitems!$C$3:$C$1567,"large",data_lineitems!$D$3:$D$1567,"E2",data_lineitems!$F$3:$F$1567,"HATCH*",data_lineitems!$H$3:$H$1567,"iii*")</f>
        <v/>
      </c>
      <c r="T138" s="77">
        <f>SUMIFS(data_lineitems!$I$3:$I$1567,data_lineitems!$A$3:$A$1567,"DE",data_lineitems!$B$3:$B$1567,2025,data_lineitems!$C$3:$C$1567,"large",data_lineitems!$D$3:$D$1567,"E2",data_lineitems!$F$3:$F$1567,"HATCH*",data_lineitems!$H$3:$H$1567,"iii*")</f>
        <v/>
      </c>
    </row>
    <row r="139" ht="15" customHeight="1" s="78">
      <c r="A139" s="77" t="inlineStr">
        <is>
          <t>DE</t>
        </is>
      </c>
      <c r="B139" s="77" t="inlineStr">
        <is>
          <t>medium</t>
        </is>
      </c>
      <c r="C139" s="77" t="inlineStr">
        <is>
          <t>E1</t>
        </is>
      </c>
      <c r="D139" s="77" t="inlineStr">
        <is>
          <t>MEMO 6 Supply margin (obs - modelled E1)</t>
        </is>
      </c>
      <c r="E139" s="77">
        <f>SUMIFS(data_lineitems!$I$3:$I$1567,data_lineitems!$A$3:$A$1567,"DE",data_lineitems!$B$3:$B$1567,2010,data_lineitems!$C$3:$C$1567,"medium",data_lineitems!$D$3:$D$1567,"memo (vs E1)",data_lineitems!$F$3:$F$1567,"MEMO — 6 Supply margin*")</f>
        <v/>
      </c>
      <c r="F139" s="77">
        <f>SUMIFS(data_lineitems!$I$3:$I$1567,data_lineitems!$A$3:$A$1567,"DE",data_lineitems!$B$3:$B$1567,2011,data_lineitems!$C$3:$C$1567,"medium",data_lineitems!$D$3:$D$1567,"memo (vs E1)",data_lineitems!$F$3:$F$1567,"MEMO — 6 Supply margin*")</f>
        <v/>
      </c>
      <c r="G139" s="77">
        <f>SUMIFS(data_lineitems!$I$3:$I$1567,data_lineitems!$A$3:$A$1567,"DE",data_lineitems!$B$3:$B$1567,2012,data_lineitems!$C$3:$C$1567,"medium",data_lineitems!$D$3:$D$1567,"memo (vs E1)",data_lineitems!$F$3:$F$1567,"MEMO — 6 Supply margin*")</f>
        <v/>
      </c>
      <c r="H139" s="77">
        <f>SUMIFS(data_lineitems!$I$3:$I$1567,data_lineitems!$A$3:$A$1567,"DE",data_lineitems!$B$3:$B$1567,2013,data_lineitems!$C$3:$C$1567,"medium",data_lineitems!$D$3:$D$1567,"memo (vs E1)",data_lineitems!$F$3:$F$1567,"MEMO — 6 Supply margin*")</f>
        <v/>
      </c>
      <c r="I139" s="77">
        <f>SUMIFS(data_lineitems!$I$3:$I$1567,data_lineitems!$A$3:$A$1567,"DE",data_lineitems!$B$3:$B$1567,2014,data_lineitems!$C$3:$C$1567,"medium",data_lineitems!$D$3:$D$1567,"memo (vs E1)",data_lineitems!$F$3:$F$1567,"MEMO — 6 Supply margin*")</f>
        <v/>
      </c>
      <c r="J139" s="77">
        <f>SUMIFS(data_lineitems!$I$3:$I$1567,data_lineitems!$A$3:$A$1567,"DE",data_lineitems!$B$3:$B$1567,2015,data_lineitems!$C$3:$C$1567,"medium",data_lineitems!$D$3:$D$1567,"memo (vs E1)",data_lineitems!$F$3:$F$1567,"MEMO — 6 Supply margin*")</f>
        <v/>
      </c>
      <c r="K139" s="77">
        <f>SUMIFS(data_lineitems!$I$3:$I$1567,data_lineitems!$A$3:$A$1567,"DE",data_lineitems!$B$3:$B$1567,2016,data_lineitems!$C$3:$C$1567,"medium",data_lineitems!$D$3:$D$1567,"memo (vs E1)",data_lineitems!$F$3:$F$1567,"MEMO — 6 Supply margin*")</f>
        <v/>
      </c>
      <c r="L139" s="77">
        <f>SUMIFS(data_lineitems!$I$3:$I$1567,data_lineitems!$A$3:$A$1567,"DE",data_lineitems!$B$3:$B$1567,2017,data_lineitems!$C$3:$C$1567,"medium",data_lineitems!$D$3:$D$1567,"memo (vs E1)",data_lineitems!$F$3:$F$1567,"MEMO — 6 Supply margin*")</f>
        <v/>
      </c>
      <c r="M139" s="77">
        <f>SUMIFS(data_lineitems!$I$3:$I$1567,data_lineitems!$A$3:$A$1567,"DE",data_lineitems!$B$3:$B$1567,2018,data_lineitems!$C$3:$C$1567,"medium",data_lineitems!$D$3:$D$1567,"memo (vs E1)",data_lineitems!$F$3:$F$1567,"MEMO — 6 Supply margin*")</f>
        <v/>
      </c>
      <c r="N139" s="77">
        <f>SUMIFS(data_lineitems!$I$3:$I$1567,data_lineitems!$A$3:$A$1567,"DE",data_lineitems!$B$3:$B$1567,2019,data_lineitems!$C$3:$C$1567,"medium",data_lineitems!$D$3:$D$1567,"memo (vs E1)",data_lineitems!$F$3:$F$1567,"MEMO — 6 Supply margin*")</f>
        <v/>
      </c>
      <c r="O139" s="77">
        <f>SUMIFS(data_lineitems!$I$3:$I$1567,data_lineitems!$A$3:$A$1567,"DE",data_lineitems!$B$3:$B$1567,2020,data_lineitems!$C$3:$C$1567,"medium",data_lineitems!$D$3:$D$1567,"memo (vs E1)",data_lineitems!$F$3:$F$1567,"MEMO — 6 Supply margin*")</f>
        <v/>
      </c>
      <c r="P139" s="77">
        <f>SUMIFS(data_lineitems!$I$3:$I$1567,data_lineitems!$A$3:$A$1567,"DE",data_lineitems!$B$3:$B$1567,2021,data_lineitems!$C$3:$C$1567,"medium",data_lineitems!$D$3:$D$1567,"memo (vs E1)",data_lineitems!$F$3:$F$1567,"MEMO — 6 Supply margin*")</f>
        <v/>
      </c>
      <c r="Q139" s="77">
        <f>SUMIFS(data_lineitems!$I$3:$I$1567,data_lineitems!$A$3:$A$1567,"DE",data_lineitems!$B$3:$B$1567,2022,data_lineitems!$C$3:$C$1567,"medium",data_lineitems!$D$3:$D$1567,"memo (vs E1)",data_lineitems!$F$3:$F$1567,"MEMO — 6 Supply margin*")</f>
        <v/>
      </c>
      <c r="R139" s="77">
        <f>SUMIFS(data_lineitems!$I$3:$I$1567,data_lineitems!$A$3:$A$1567,"DE",data_lineitems!$B$3:$B$1567,2023,data_lineitems!$C$3:$C$1567,"medium",data_lineitems!$D$3:$D$1567,"memo (vs E1)",data_lineitems!$F$3:$F$1567,"MEMO — 6 Supply margin*")</f>
        <v/>
      </c>
      <c r="S139" s="77">
        <f>SUMIFS(data_lineitems!$I$3:$I$1567,data_lineitems!$A$3:$A$1567,"DE",data_lineitems!$B$3:$B$1567,2024,data_lineitems!$C$3:$C$1567,"medium",data_lineitems!$D$3:$D$1567,"memo (vs E1)",data_lineitems!$F$3:$F$1567,"MEMO — 6 Supply margin*")</f>
        <v/>
      </c>
      <c r="T139" s="77">
        <f>SUMIFS(data_lineitems!$I$3:$I$1567,data_lineitems!$A$3:$A$1567,"DE",data_lineitems!$B$3:$B$1567,2025,data_lineitems!$C$3:$C$1567,"medium",data_lineitems!$D$3:$D$1567,"memo (vs E1)",data_lineitems!$F$3:$F$1567,"MEMO — 6 Supply margin*")</f>
        <v/>
      </c>
    </row>
    <row r="140" ht="15" customHeight="1" s="78">
      <c r="A140" s="77" t="inlineStr">
        <is>
          <t>DE</t>
        </is>
      </c>
      <c r="B140" s="77" t="inlineStr">
        <is>
          <t>medium</t>
        </is>
      </c>
      <c r="C140" s="77" t="inlineStr">
        <is>
          <t>E1</t>
        </is>
      </c>
      <c r="D140" s="77" t="inlineStr">
        <is>
          <t>HATCH ii (borne by other users)</t>
        </is>
      </c>
      <c r="E140" s="77">
        <f>SUMIFS(data_lineitems!$I$3:$I$1567,data_lineitems!$A$3:$A$1567,"DE",data_lineitems!$B$3:$B$1567,2010,data_lineitems!$C$3:$C$1567,"medium",data_lineitems!$D$3:$D$1567,"E1",data_lineitems!$F$3:$F$1567,"HATCH*",data_lineitems!$H$3:$H$1567,"ii *")</f>
        <v/>
      </c>
      <c r="F140" s="77">
        <f>SUMIFS(data_lineitems!$I$3:$I$1567,data_lineitems!$A$3:$A$1567,"DE",data_lineitems!$B$3:$B$1567,2011,data_lineitems!$C$3:$C$1567,"medium",data_lineitems!$D$3:$D$1567,"E1",data_lineitems!$F$3:$F$1567,"HATCH*",data_lineitems!$H$3:$H$1567,"ii *")</f>
        <v/>
      </c>
      <c r="G140" s="77">
        <f>SUMIFS(data_lineitems!$I$3:$I$1567,data_lineitems!$A$3:$A$1567,"DE",data_lineitems!$B$3:$B$1567,2012,data_lineitems!$C$3:$C$1567,"medium",data_lineitems!$D$3:$D$1567,"E1",data_lineitems!$F$3:$F$1567,"HATCH*",data_lineitems!$H$3:$H$1567,"ii *")</f>
        <v/>
      </c>
      <c r="H140" s="77">
        <f>SUMIFS(data_lineitems!$I$3:$I$1567,data_lineitems!$A$3:$A$1567,"DE",data_lineitems!$B$3:$B$1567,2013,data_lineitems!$C$3:$C$1567,"medium",data_lineitems!$D$3:$D$1567,"E1",data_lineitems!$F$3:$F$1567,"HATCH*",data_lineitems!$H$3:$H$1567,"ii *")</f>
        <v/>
      </c>
      <c r="I140" s="77">
        <f>SUMIFS(data_lineitems!$I$3:$I$1567,data_lineitems!$A$3:$A$1567,"DE",data_lineitems!$B$3:$B$1567,2014,data_lineitems!$C$3:$C$1567,"medium",data_lineitems!$D$3:$D$1567,"E1",data_lineitems!$F$3:$F$1567,"HATCH*",data_lineitems!$H$3:$H$1567,"ii *")</f>
        <v/>
      </c>
      <c r="J140" s="77">
        <f>SUMIFS(data_lineitems!$I$3:$I$1567,data_lineitems!$A$3:$A$1567,"DE",data_lineitems!$B$3:$B$1567,2015,data_lineitems!$C$3:$C$1567,"medium",data_lineitems!$D$3:$D$1567,"E1",data_lineitems!$F$3:$F$1567,"HATCH*",data_lineitems!$H$3:$H$1567,"ii *")</f>
        <v/>
      </c>
      <c r="K140" s="77">
        <f>SUMIFS(data_lineitems!$I$3:$I$1567,data_lineitems!$A$3:$A$1567,"DE",data_lineitems!$B$3:$B$1567,2016,data_lineitems!$C$3:$C$1567,"medium",data_lineitems!$D$3:$D$1567,"E1",data_lineitems!$F$3:$F$1567,"HATCH*",data_lineitems!$H$3:$H$1567,"ii *")</f>
        <v/>
      </c>
      <c r="L140" s="77">
        <f>SUMIFS(data_lineitems!$I$3:$I$1567,data_lineitems!$A$3:$A$1567,"DE",data_lineitems!$B$3:$B$1567,2017,data_lineitems!$C$3:$C$1567,"medium",data_lineitems!$D$3:$D$1567,"E1",data_lineitems!$F$3:$F$1567,"HATCH*",data_lineitems!$H$3:$H$1567,"ii *")</f>
        <v/>
      </c>
      <c r="M140" s="77">
        <f>SUMIFS(data_lineitems!$I$3:$I$1567,data_lineitems!$A$3:$A$1567,"DE",data_lineitems!$B$3:$B$1567,2018,data_lineitems!$C$3:$C$1567,"medium",data_lineitems!$D$3:$D$1567,"E1",data_lineitems!$F$3:$F$1567,"HATCH*",data_lineitems!$H$3:$H$1567,"ii *")</f>
        <v/>
      </c>
      <c r="N140" s="77">
        <f>SUMIFS(data_lineitems!$I$3:$I$1567,data_lineitems!$A$3:$A$1567,"DE",data_lineitems!$B$3:$B$1567,2019,data_lineitems!$C$3:$C$1567,"medium",data_lineitems!$D$3:$D$1567,"E1",data_lineitems!$F$3:$F$1567,"HATCH*",data_lineitems!$H$3:$H$1567,"ii *")</f>
        <v/>
      </c>
      <c r="O140" s="77">
        <f>SUMIFS(data_lineitems!$I$3:$I$1567,data_lineitems!$A$3:$A$1567,"DE",data_lineitems!$B$3:$B$1567,2020,data_lineitems!$C$3:$C$1567,"medium",data_lineitems!$D$3:$D$1567,"E1",data_lineitems!$F$3:$F$1567,"HATCH*",data_lineitems!$H$3:$H$1567,"ii *")</f>
        <v/>
      </c>
      <c r="P140" s="77">
        <f>SUMIFS(data_lineitems!$I$3:$I$1567,data_lineitems!$A$3:$A$1567,"DE",data_lineitems!$B$3:$B$1567,2021,data_lineitems!$C$3:$C$1567,"medium",data_lineitems!$D$3:$D$1567,"E1",data_lineitems!$F$3:$F$1567,"HATCH*",data_lineitems!$H$3:$H$1567,"ii *")</f>
        <v/>
      </c>
      <c r="Q140" s="77">
        <f>SUMIFS(data_lineitems!$I$3:$I$1567,data_lineitems!$A$3:$A$1567,"DE",data_lineitems!$B$3:$B$1567,2022,data_lineitems!$C$3:$C$1567,"medium",data_lineitems!$D$3:$D$1567,"E1",data_lineitems!$F$3:$F$1567,"HATCH*",data_lineitems!$H$3:$H$1567,"ii *")</f>
        <v/>
      </c>
      <c r="R140" s="77">
        <f>SUMIFS(data_lineitems!$I$3:$I$1567,data_lineitems!$A$3:$A$1567,"DE",data_lineitems!$B$3:$B$1567,2023,data_lineitems!$C$3:$C$1567,"medium",data_lineitems!$D$3:$D$1567,"E1",data_lineitems!$F$3:$F$1567,"HATCH*",data_lineitems!$H$3:$H$1567,"ii *")</f>
        <v/>
      </c>
      <c r="S140" s="77">
        <f>SUMIFS(data_lineitems!$I$3:$I$1567,data_lineitems!$A$3:$A$1567,"DE",data_lineitems!$B$3:$B$1567,2024,data_lineitems!$C$3:$C$1567,"medium",data_lineitems!$D$3:$D$1567,"E1",data_lineitems!$F$3:$F$1567,"HATCH*",data_lineitems!$H$3:$H$1567,"ii *")</f>
        <v/>
      </c>
      <c r="T140" s="77">
        <f>SUMIFS(data_lineitems!$I$3:$I$1567,data_lineitems!$A$3:$A$1567,"DE",data_lineitems!$B$3:$B$1567,2025,data_lineitems!$C$3:$C$1567,"medium",data_lineitems!$D$3:$D$1567,"E1",data_lineitems!$F$3:$F$1567,"HATCH*",data_lineitems!$H$3:$H$1567,"ii *")</f>
        <v/>
      </c>
    </row>
    <row r="141" ht="15" customHeight="1" s="78">
      <c r="A141" s="77" t="inlineStr">
        <is>
          <t>DE</t>
        </is>
      </c>
      <c r="B141" s="77" t="inlineStr">
        <is>
          <t>medium</t>
        </is>
      </c>
      <c r="C141" s="77" t="inlineStr">
        <is>
          <t>E1</t>
        </is>
      </c>
      <c r="D141" s="77" t="inlineStr">
        <is>
          <t>HATCH iii (borne by taxpayer)</t>
        </is>
      </c>
      <c r="E141" s="77">
        <f>SUMIFS(data_lineitems!$I$3:$I$1567,data_lineitems!$A$3:$A$1567,"DE",data_lineitems!$B$3:$B$1567,2010,data_lineitems!$C$3:$C$1567,"medium",data_lineitems!$D$3:$D$1567,"E1",data_lineitems!$F$3:$F$1567,"HATCH*",data_lineitems!$H$3:$H$1567,"iii*")</f>
        <v/>
      </c>
      <c r="F141" s="77">
        <f>SUMIFS(data_lineitems!$I$3:$I$1567,data_lineitems!$A$3:$A$1567,"DE",data_lineitems!$B$3:$B$1567,2011,data_lineitems!$C$3:$C$1567,"medium",data_lineitems!$D$3:$D$1567,"E1",data_lineitems!$F$3:$F$1567,"HATCH*",data_lineitems!$H$3:$H$1567,"iii*")</f>
        <v/>
      </c>
      <c r="G141" s="77">
        <f>SUMIFS(data_lineitems!$I$3:$I$1567,data_lineitems!$A$3:$A$1567,"DE",data_lineitems!$B$3:$B$1567,2012,data_lineitems!$C$3:$C$1567,"medium",data_lineitems!$D$3:$D$1567,"E1",data_lineitems!$F$3:$F$1567,"HATCH*",data_lineitems!$H$3:$H$1567,"iii*")</f>
        <v/>
      </c>
      <c r="H141" s="77">
        <f>SUMIFS(data_lineitems!$I$3:$I$1567,data_lineitems!$A$3:$A$1567,"DE",data_lineitems!$B$3:$B$1567,2013,data_lineitems!$C$3:$C$1567,"medium",data_lineitems!$D$3:$D$1567,"E1",data_lineitems!$F$3:$F$1567,"HATCH*",data_lineitems!$H$3:$H$1567,"iii*")</f>
        <v/>
      </c>
      <c r="I141" s="77">
        <f>SUMIFS(data_lineitems!$I$3:$I$1567,data_lineitems!$A$3:$A$1567,"DE",data_lineitems!$B$3:$B$1567,2014,data_lineitems!$C$3:$C$1567,"medium",data_lineitems!$D$3:$D$1567,"E1",data_lineitems!$F$3:$F$1567,"HATCH*",data_lineitems!$H$3:$H$1567,"iii*")</f>
        <v/>
      </c>
      <c r="J141" s="77">
        <f>SUMIFS(data_lineitems!$I$3:$I$1567,data_lineitems!$A$3:$A$1567,"DE",data_lineitems!$B$3:$B$1567,2015,data_lineitems!$C$3:$C$1567,"medium",data_lineitems!$D$3:$D$1567,"E1",data_lineitems!$F$3:$F$1567,"HATCH*",data_lineitems!$H$3:$H$1567,"iii*")</f>
        <v/>
      </c>
      <c r="K141" s="77">
        <f>SUMIFS(data_lineitems!$I$3:$I$1567,data_lineitems!$A$3:$A$1567,"DE",data_lineitems!$B$3:$B$1567,2016,data_lineitems!$C$3:$C$1567,"medium",data_lineitems!$D$3:$D$1567,"E1",data_lineitems!$F$3:$F$1567,"HATCH*",data_lineitems!$H$3:$H$1567,"iii*")</f>
        <v/>
      </c>
      <c r="L141" s="77">
        <f>SUMIFS(data_lineitems!$I$3:$I$1567,data_lineitems!$A$3:$A$1567,"DE",data_lineitems!$B$3:$B$1567,2017,data_lineitems!$C$3:$C$1567,"medium",data_lineitems!$D$3:$D$1567,"E1",data_lineitems!$F$3:$F$1567,"HATCH*",data_lineitems!$H$3:$H$1567,"iii*")</f>
        <v/>
      </c>
      <c r="M141" s="77">
        <f>SUMIFS(data_lineitems!$I$3:$I$1567,data_lineitems!$A$3:$A$1567,"DE",data_lineitems!$B$3:$B$1567,2018,data_lineitems!$C$3:$C$1567,"medium",data_lineitems!$D$3:$D$1567,"E1",data_lineitems!$F$3:$F$1567,"HATCH*",data_lineitems!$H$3:$H$1567,"iii*")</f>
        <v/>
      </c>
      <c r="N141" s="77">
        <f>SUMIFS(data_lineitems!$I$3:$I$1567,data_lineitems!$A$3:$A$1567,"DE",data_lineitems!$B$3:$B$1567,2019,data_lineitems!$C$3:$C$1567,"medium",data_lineitems!$D$3:$D$1567,"E1",data_lineitems!$F$3:$F$1567,"HATCH*",data_lineitems!$H$3:$H$1567,"iii*")</f>
        <v/>
      </c>
      <c r="O141" s="77">
        <f>SUMIFS(data_lineitems!$I$3:$I$1567,data_lineitems!$A$3:$A$1567,"DE",data_lineitems!$B$3:$B$1567,2020,data_lineitems!$C$3:$C$1567,"medium",data_lineitems!$D$3:$D$1567,"E1",data_lineitems!$F$3:$F$1567,"HATCH*",data_lineitems!$H$3:$H$1567,"iii*")</f>
        <v/>
      </c>
      <c r="P141" s="77">
        <f>SUMIFS(data_lineitems!$I$3:$I$1567,data_lineitems!$A$3:$A$1567,"DE",data_lineitems!$B$3:$B$1567,2021,data_lineitems!$C$3:$C$1567,"medium",data_lineitems!$D$3:$D$1567,"E1",data_lineitems!$F$3:$F$1567,"HATCH*",data_lineitems!$H$3:$H$1567,"iii*")</f>
        <v/>
      </c>
      <c r="Q141" s="77">
        <f>SUMIFS(data_lineitems!$I$3:$I$1567,data_lineitems!$A$3:$A$1567,"DE",data_lineitems!$B$3:$B$1567,2022,data_lineitems!$C$3:$C$1567,"medium",data_lineitems!$D$3:$D$1567,"E1",data_lineitems!$F$3:$F$1567,"HATCH*",data_lineitems!$H$3:$H$1567,"iii*")</f>
        <v/>
      </c>
      <c r="R141" s="77">
        <f>SUMIFS(data_lineitems!$I$3:$I$1567,data_lineitems!$A$3:$A$1567,"DE",data_lineitems!$B$3:$B$1567,2023,data_lineitems!$C$3:$C$1567,"medium",data_lineitems!$D$3:$D$1567,"E1",data_lineitems!$F$3:$F$1567,"HATCH*",data_lineitems!$H$3:$H$1567,"iii*")</f>
        <v/>
      </c>
      <c r="S141" s="77">
        <f>SUMIFS(data_lineitems!$I$3:$I$1567,data_lineitems!$A$3:$A$1567,"DE",data_lineitems!$B$3:$B$1567,2024,data_lineitems!$C$3:$C$1567,"medium",data_lineitems!$D$3:$D$1567,"E1",data_lineitems!$F$3:$F$1567,"HATCH*",data_lineitems!$H$3:$H$1567,"iii*")</f>
        <v/>
      </c>
      <c r="T141" s="77">
        <f>SUMIFS(data_lineitems!$I$3:$I$1567,data_lineitems!$A$3:$A$1567,"DE",data_lineitems!$B$3:$B$1567,2025,data_lineitems!$C$3:$C$1567,"medium",data_lineitems!$D$3:$D$1567,"E1",data_lineitems!$F$3:$F$1567,"HATCH*",data_lineitems!$H$3:$H$1567,"iii*")</f>
        <v/>
      </c>
    </row>
    <row r="142" ht="15" customHeight="1" s="78">
      <c r="A142" s="77" t="inlineStr">
        <is>
          <t>DE</t>
        </is>
      </c>
      <c r="B142" s="77" t="inlineStr">
        <is>
          <t>medium</t>
        </is>
      </c>
      <c r="C142" s="77" t="inlineStr">
        <is>
          <t>E2</t>
        </is>
      </c>
      <c r="D142" s="77" t="inlineStr">
        <is>
          <t>MEMO 6 Supply margin (obs - modelled E1)</t>
        </is>
      </c>
      <c r="E142" s="77">
        <f>SUMIFS(data_lineitems!$I$3:$I$1567,data_lineitems!$A$3:$A$1567,"DE",data_lineitems!$B$3:$B$1567,2010,data_lineitems!$C$3:$C$1567,"medium",data_lineitems!$D$3:$D$1567,"memo (vs E1)",data_lineitems!$F$3:$F$1567,"MEMO — 6 Supply margin*")</f>
        <v/>
      </c>
      <c r="F142" s="77">
        <f>SUMIFS(data_lineitems!$I$3:$I$1567,data_lineitems!$A$3:$A$1567,"DE",data_lineitems!$B$3:$B$1567,2011,data_lineitems!$C$3:$C$1567,"medium",data_lineitems!$D$3:$D$1567,"memo (vs E1)",data_lineitems!$F$3:$F$1567,"MEMO — 6 Supply margin*")</f>
        <v/>
      </c>
      <c r="G142" s="77">
        <f>SUMIFS(data_lineitems!$I$3:$I$1567,data_lineitems!$A$3:$A$1567,"DE",data_lineitems!$B$3:$B$1567,2012,data_lineitems!$C$3:$C$1567,"medium",data_lineitems!$D$3:$D$1567,"memo (vs E1)",data_lineitems!$F$3:$F$1567,"MEMO — 6 Supply margin*")</f>
        <v/>
      </c>
      <c r="H142" s="77">
        <f>SUMIFS(data_lineitems!$I$3:$I$1567,data_lineitems!$A$3:$A$1567,"DE",data_lineitems!$B$3:$B$1567,2013,data_lineitems!$C$3:$C$1567,"medium",data_lineitems!$D$3:$D$1567,"memo (vs E1)",data_lineitems!$F$3:$F$1567,"MEMO — 6 Supply margin*")</f>
        <v/>
      </c>
      <c r="I142" s="77">
        <f>SUMIFS(data_lineitems!$I$3:$I$1567,data_lineitems!$A$3:$A$1567,"DE",data_lineitems!$B$3:$B$1567,2014,data_lineitems!$C$3:$C$1567,"medium",data_lineitems!$D$3:$D$1567,"memo (vs E1)",data_lineitems!$F$3:$F$1567,"MEMO — 6 Supply margin*")</f>
        <v/>
      </c>
      <c r="J142" s="77">
        <f>SUMIFS(data_lineitems!$I$3:$I$1567,data_lineitems!$A$3:$A$1567,"DE",data_lineitems!$B$3:$B$1567,2015,data_lineitems!$C$3:$C$1567,"medium",data_lineitems!$D$3:$D$1567,"memo (vs E1)",data_lineitems!$F$3:$F$1567,"MEMO — 6 Supply margin*")</f>
        <v/>
      </c>
      <c r="K142" s="77">
        <f>SUMIFS(data_lineitems!$I$3:$I$1567,data_lineitems!$A$3:$A$1567,"DE",data_lineitems!$B$3:$B$1567,2016,data_lineitems!$C$3:$C$1567,"medium",data_lineitems!$D$3:$D$1567,"memo (vs E1)",data_lineitems!$F$3:$F$1567,"MEMO — 6 Supply margin*")</f>
        <v/>
      </c>
      <c r="L142" s="77">
        <f>SUMIFS(data_lineitems!$I$3:$I$1567,data_lineitems!$A$3:$A$1567,"DE",data_lineitems!$B$3:$B$1567,2017,data_lineitems!$C$3:$C$1567,"medium",data_lineitems!$D$3:$D$1567,"memo (vs E1)",data_lineitems!$F$3:$F$1567,"MEMO — 6 Supply margin*")</f>
        <v/>
      </c>
      <c r="M142" s="77">
        <f>SUMIFS(data_lineitems!$I$3:$I$1567,data_lineitems!$A$3:$A$1567,"DE",data_lineitems!$B$3:$B$1567,2018,data_lineitems!$C$3:$C$1567,"medium",data_lineitems!$D$3:$D$1567,"memo (vs E1)",data_lineitems!$F$3:$F$1567,"MEMO — 6 Supply margin*")</f>
        <v/>
      </c>
      <c r="N142" s="77">
        <f>SUMIFS(data_lineitems!$I$3:$I$1567,data_lineitems!$A$3:$A$1567,"DE",data_lineitems!$B$3:$B$1567,2019,data_lineitems!$C$3:$C$1567,"medium",data_lineitems!$D$3:$D$1567,"memo (vs E1)",data_lineitems!$F$3:$F$1567,"MEMO — 6 Supply margin*")</f>
        <v/>
      </c>
      <c r="O142" s="77">
        <f>SUMIFS(data_lineitems!$I$3:$I$1567,data_lineitems!$A$3:$A$1567,"DE",data_lineitems!$B$3:$B$1567,2020,data_lineitems!$C$3:$C$1567,"medium",data_lineitems!$D$3:$D$1567,"memo (vs E1)",data_lineitems!$F$3:$F$1567,"MEMO — 6 Supply margin*")</f>
        <v/>
      </c>
      <c r="P142" s="77">
        <f>SUMIFS(data_lineitems!$I$3:$I$1567,data_lineitems!$A$3:$A$1567,"DE",data_lineitems!$B$3:$B$1567,2021,data_lineitems!$C$3:$C$1567,"medium",data_lineitems!$D$3:$D$1567,"memo (vs E1)",data_lineitems!$F$3:$F$1567,"MEMO — 6 Supply margin*")</f>
        <v/>
      </c>
      <c r="Q142" s="77">
        <f>SUMIFS(data_lineitems!$I$3:$I$1567,data_lineitems!$A$3:$A$1567,"DE",data_lineitems!$B$3:$B$1567,2022,data_lineitems!$C$3:$C$1567,"medium",data_lineitems!$D$3:$D$1567,"memo (vs E1)",data_lineitems!$F$3:$F$1567,"MEMO — 6 Supply margin*")</f>
        <v/>
      </c>
      <c r="R142" s="77">
        <f>SUMIFS(data_lineitems!$I$3:$I$1567,data_lineitems!$A$3:$A$1567,"DE",data_lineitems!$B$3:$B$1567,2023,data_lineitems!$C$3:$C$1567,"medium",data_lineitems!$D$3:$D$1567,"memo (vs E1)",data_lineitems!$F$3:$F$1567,"MEMO — 6 Supply margin*")</f>
        <v/>
      </c>
      <c r="S142" s="77">
        <f>SUMIFS(data_lineitems!$I$3:$I$1567,data_lineitems!$A$3:$A$1567,"DE",data_lineitems!$B$3:$B$1567,2024,data_lineitems!$C$3:$C$1567,"medium",data_lineitems!$D$3:$D$1567,"memo (vs E1)",data_lineitems!$F$3:$F$1567,"MEMO — 6 Supply margin*")</f>
        <v/>
      </c>
      <c r="T142" s="77">
        <f>SUMIFS(data_lineitems!$I$3:$I$1567,data_lineitems!$A$3:$A$1567,"DE",data_lineitems!$B$3:$B$1567,2025,data_lineitems!$C$3:$C$1567,"medium",data_lineitems!$D$3:$D$1567,"memo (vs E1)",data_lineitems!$F$3:$F$1567,"MEMO — 6 Supply margin*")</f>
        <v/>
      </c>
    </row>
    <row r="143" ht="15" customHeight="1" s="78">
      <c r="A143" s="77" t="inlineStr">
        <is>
          <t>DE</t>
        </is>
      </c>
      <c r="B143" s="77" t="inlineStr">
        <is>
          <t>medium</t>
        </is>
      </c>
      <c r="C143" s="77" t="inlineStr">
        <is>
          <t>E2</t>
        </is>
      </c>
      <c r="D143" s="77" t="inlineStr">
        <is>
          <t>HATCH ii (borne by other users)</t>
        </is>
      </c>
      <c r="E143" s="77">
        <f>SUMIFS(data_lineitems!$I$3:$I$1567,data_lineitems!$A$3:$A$1567,"DE",data_lineitems!$B$3:$B$1567,2010,data_lineitems!$C$3:$C$1567,"medium",data_lineitems!$D$3:$D$1567,"E2",data_lineitems!$F$3:$F$1567,"HATCH*",data_lineitems!$H$3:$H$1567,"ii *")</f>
        <v/>
      </c>
      <c r="F143" s="77">
        <f>SUMIFS(data_lineitems!$I$3:$I$1567,data_lineitems!$A$3:$A$1567,"DE",data_lineitems!$B$3:$B$1567,2011,data_lineitems!$C$3:$C$1567,"medium",data_lineitems!$D$3:$D$1567,"E2",data_lineitems!$F$3:$F$1567,"HATCH*",data_lineitems!$H$3:$H$1567,"ii *")</f>
        <v/>
      </c>
      <c r="G143" s="77">
        <f>SUMIFS(data_lineitems!$I$3:$I$1567,data_lineitems!$A$3:$A$1567,"DE",data_lineitems!$B$3:$B$1567,2012,data_lineitems!$C$3:$C$1567,"medium",data_lineitems!$D$3:$D$1567,"E2",data_lineitems!$F$3:$F$1567,"HATCH*",data_lineitems!$H$3:$H$1567,"ii *")</f>
        <v/>
      </c>
      <c r="H143" s="77">
        <f>SUMIFS(data_lineitems!$I$3:$I$1567,data_lineitems!$A$3:$A$1567,"DE",data_lineitems!$B$3:$B$1567,2013,data_lineitems!$C$3:$C$1567,"medium",data_lineitems!$D$3:$D$1567,"E2",data_lineitems!$F$3:$F$1567,"HATCH*",data_lineitems!$H$3:$H$1567,"ii *")</f>
        <v/>
      </c>
      <c r="I143" s="77">
        <f>SUMIFS(data_lineitems!$I$3:$I$1567,data_lineitems!$A$3:$A$1567,"DE",data_lineitems!$B$3:$B$1567,2014,data_lineitems!$C$3:$C$1567,"medium",data_lineitems!$D$3:$D$1567,"E2",data_lineitems!$F$3:$F$1567,"HATCH*",data_lineitems!$H$3:$H$1567,"ii *")</f>
        <v/>
      </c>
      <c r="J143" s="77">
        <f>SUMIFS(data_lineitems!$I$3:$I$1567,data_lineitems!$A$3:$A$1567,"DE",data_lineitems!$B$3:$B$1567,2015,data_lineitems!$C$3:$C$1567,"medium",data_lineitems!$D$3:$D$1567,"E2",data_lineitems!$F$3:$F$1567,"HATCH*",data_lineitems!$H$3:$H$1567,"ii *")</f>
        <v/>
      </c>
      <c r="K143" s="77">
        <f>SUMIFS(data_lineitems!$I$3:$I$1567,data_lineitems!$A$3:$A$1567,"DE",data_lineitems!$B$3:$B$1567,2016,data_lineitems!$C$3:$C$1567,"medium",data_lineitems!$D$3:$D$1567,"E2",data_lineitems!$F$3:$F$1567,"HATCH*",data_lineitems!$H$3:$H$1567,"ii *")</f>
        <v/>
      </c>
      <c r="L143" s="77">
        <f>SUMIFS(data_lineitems!$I$3:$I$1567,data_lineitems!$A$3:$A$1567,"DE",data_lineitems!$B$3:$B$1567,2017,data_lineitems!$C$3:$C$1567,"medium",data_lineitems!$D$3:$D$1567,"E2",data_lineitems!$F$3:$F$1567,"HATCH*",data_lineitems!$H$3:$H$1567,"ii *")</f>
        <v/>
      </c>
      <c r="M143" s="77">
        <f>SUMIFS(data_lineitems!$I$3:$I$1567,data_lineitems!$A$3:$A$1567,"DE",data_lineitems!$B$3:$B$1567,2018,data_lineitems!$C$3:$C$1567,"medium",data_lineitems!$D$3:$D$1567,"E2",data_lineitems!$F$3:$F$1567,"HATCH*",data_lineitems!$H$3:$H$1567,"ii *")</f>
        <v/>
      </c>
      <c r="N143" s="77">
        <f>SUMIFS(data_lineitems!$I$3:$I$1567,data_lineitems!$A$3:$A$1567,"DE",data_lineitems!$B$3:$B$1567,2019,data_lineitems!$C$3:$C$1567,"medium",data_lineitems!$D$3:$D$1567,"E2",data_lineitems!$F$3:$F$1567,"HATCH*",data_lineitems!$H$3:$H$1567,"ii *")</f>
        <v/>
      </c>
      <c r="O143" s="77">
        <f>SUMIFS(data_lineitems!$I$3:$I$1567,data_lineitems!$A$3:$A$1567,"DE",data_lineitems!$B$3:$B$1567,2020,data_lineitems!$C$3:$C$1567,"medium",data_lineitems!$D$3:$D$1567,"E2",data_lineitems!$F$3:$F$1567,"HATCH*",data_lineitems!$H$3:$H$1567,"ii *")</f>
        <v/>
      </c>
      <c r="P143" s="77">
        <f>SUMIFS(data_lineitems!$I$3:$I$1567,data_lineitems!$A$3:$A$1567,"DE",data_lineitems!$B$3:$B$1567,2021,data_lineitems!$C$3:$C$1567,"medium",data_lineitems!$D$3:$D$1567,"E2",data_lineitems!$F$3:$F$1567,"HATCH*",data_lineitems!$H$3:$H$1567,"ii *")</f>
        <v/>
      </c>
      <c r="Q143" s="77">
        <f>SUMIFS(data_lineitems!$I$3:$I$1567,data_lineitems!$A$3:$A$1567,"DE",data_lineitems!$B$3:$B$1567,2022,data_lineitems!$C$3:$C$1567,"medium",data_lineitems!$D$3:$D$1567,"E2",data_lineitems!$F$3:$F$1567,"HATCH*",data_lineitems!$H$3:$H$1567,"ii *")</f>
        <v/>
      </c>
      <c r="R143" s="77">
        <f>SUMIFS(data_lineitems!$I$3:$I$1567,data_lineitems!$A$3:$A$1567,"DE",data_lineitems!$B$3:$B$1567,2023,data_lineitems!$C$3:$C$1567,"medium",data_lineitems!$D$3:$D$1567,"E2",data_lineitems!$F$3:$F$1567,"HATCH*",data_lineitems!$H$3:$H$1567,"ii *")</f>
        <v/>
      </c>
      <c r="S143" s="77">
        <f>SUMIFS(data_lineitems!$I$3:$I$1567,data_lineitems!$A$3:$A$1567,"DE",data_lineitems!$B$3:$B$1567,2024,data_lineitems!$C$3:$C$1567,"medium",data_lineitems!$D$3:$D$1567,"E2",data_lineitems!$F$3:$F$1567,"HATCH*",data_lineitems!$H$3:$H$1567,"ii *")</f>
        <v/>
      </c>
      <c r="T143" s="77">
        <f>SUMIFS(data_lineitems!$I$3:$I$1567,data_lineitems!$A$3:$A$1567,"DE",data_lineitems!$B$3:$B$1567,2025,data_lineitems!$C$3:$C$1567,"medium",data_lineitems!$D$3:$D$1567,"E2",data_lineitems!$F$3:$F$1567,"HATCH*",data_lineitems!$H$3:$H$1567,"ii *")</f>
        <v/>
      </c>
    </row>
    <row r="144" ht="15" customHeight="1" s="78">
      <c r="A144" s="77" t="inlineStr">
        <is>
          <t>DE</t>
        </is>
      </c>
      <c r="B144" s="77" t="inlineStr">
        <is>
          <t>medium</t>
        </is>
      </c>
      <c r="C144" s="77" t="inlineStr">
        <is>
          <t>E2</t>
        </is>
      </c>
      <c r="D144" s="77" t="inlineStr">
        <is>
          <t>HATCH iii (borne by taxpayer)</t>
        </is>
      </c>
      <c r="E144" s="77">
        <f>SUMIFS(data_lineitems!$I$3:$I$1567,data_lineitems!$A$3:$A$1567,"DE",data_lineitems!$B$3:$B$1567,2010,data_lineitems!$C$3:$C$1567,"medium",data_lineitems!$D$3:$D$1567,"E2",data_lineitems!$F$3:$F$1567,"HATCH*",data_lineitems!$H$3:$H$1567,"iii*")</f>
        <v/>
      </c>
      <c r="F144" s="77">
        <f>SUMIFS(data_lineitems!$I$3:$I$1567,data_lineitems!$A$3:$A$1567,"DE",data_lineitems!$B$3:$B$1567,2011,data_lineitems!$C$3:$C$1567,"medium",data_lineitems!$D$3:$D$1567,"E2",data_lineitems!$F$3:$F$1567,"HATCH*",data_lineitems!$H$3:$H$1567,"iii*")</f>
        <v/>
      </c>
      <c r="G144" s="77">
        <f>SUMIFS(data_lineitems!$I$3:$I$1567,data_lineitems!$A$3:$A$1567,"DE",data_lineitems!$B$3:$B$1567,2012,data_lineitems!$C$3:$C$1567,"medium",data_lineitems!$D$3:$D$1567,"E2",data_lineitems!$F$3:$F$1567,"HATCH*",data_lineitems!$H$3:$H$1567,"iii*")</f>
        <v/>
      </c>
      <c r="H144" s="77">
        <f>SUMIFS(data_lineitems!$I$3:$I$1567,data_lineitems!$A$3:$A$1567,"DE",data_lineitems!$B$3:$B$1567,2013,data_lineitems!$C$3:$C$1567,"medium",data_lineitems!$D$3:$D$1567,"E2",data_lineitems!$F$3:$F$1567,"HATCH*",data_lineitems!$H$3:$H$1567,"iii*")</f>
        <v/>
      </c>
      <c r="I144" s="77">
        <f>SUMIFS(data_lineitems!$I$3:$I$1567,data_lineitems!$A$3:$A$1567,"DE",data_lineitems!$B$3:$B$1567,2014,data_lineitems!$C$3:$C$1567,"medium",data_lineitems!$D$3:$D$1567,"E2",data_lineitems!$F$3:$F$1567,"HATCH*",data_lineitems!$H$3:$H$1567,"iii*")</f>
        <v/>
      </c>
      <c r="J144" s="77">
        <f>SUMIFS(data_lineitems!$I$3:$I$1567,data_lineitems!$A$3:$A$1567,"DE",data_lineitems!$B$3:$B$1567,2015,data_lineitems!$C$3:$C$1567,"medium",data_lineitems!$D$3:$D$1567,"E2",data_lineitems!$F$3:$F$1567,"HATCH*",data_lineitems!$H$3:$H$1567,"iii*")</f>
        <v/>
      </c>
      <c r="K144" s="77">
        <f>SUMIFS(data_lineitems!$I$3:$I$1567,data_lineitems!$A$3:$A$1567,"DE",data_lineitems!$B$3:$B$1567,2016,data_lineitems!$C$3:$C$1567,"medium",data_lineitems!$D$3:$D$1567,"E2",data_lineitems!$F$3:$F$1567,"HATCH*",data_lineitems!$H$3:$H$1567,"iii*")</f>
        <v/>
      </c>
      <c r="L144" s="77">
        <f>SUMIFS(data_lineitems!$I$3:$I$1567,data_lineitems!$A$3:$A$1567,"DE",data_lineitems!$B$3:$B$1567,2017,data_lineitems!$C$3:$C$1567,"medium",data_lineitems!$D$3:$D$1567,"E2",data_lineitems!$F$3:$F$1567,"HATCH*",data_lineitems!$H$3:$H$1567,"iii*")</f>
        <v/>
      </c>
      <c r="M144" s="77">
        <f>SUMIFS(data_lineitems!$I$3:$I$1567,data_lineitems!$A$3:$A$1567,"DE",data_lineitems!$B$3:$B$1567,2018,data_lineitems!$C$3:$C$1567,"medium",data_lineitems!$D$3:$D$1567,"E2",data_lineitems!$F$3:$F$1567,"HATCH*",data_lineitems!$H$3:$H$1567,"iii*")</f>
        <v/>
      </c>
      <c r="N144" s="77">
        <f>SUMIFS(data_lineitems!$I$3:$I$1567,data_lineitems!$A$3:$A$1567,"DE",data_lineitems!$B$3:$B$1567,2019,data_lineitems!$C$3:$C$1567,"medium",data_lineitems!$D$3:$D$1567,"E2",data_lineitems!$F$3:$F$1567,"HATCH*",data_lineitems!$H$3:$H$1567,"iii*")</f>
        <v/>
      </c>
      <c r="O144" s="77">
        <f>SUMIFS(data_lineitems!$I$3:$I$1567,data_lineitems!$A$3:$A$1567,"DE",data_lineitems!$B$3:$B$1567,2020,data_lineitems!$C$3:$C$1567,"medium",data_lineitems!$D$3:$D$1567,"E2",data_lineitems!$F$3:$F$1567,"HATCH*",data_lineitems!$H$3:$H$1567,"iii*")</f>
        <v/>
      </c>
      <c r="P144" s="77">
        <f>SUMIFS(data_lineitems!$I$3:$I$1567,data_lineitems!$A$3:$A$1567,"DE",data_lineitems!$B$3:$B$1567,2021,data_lineitems!$C$3:$C$1567,"medium",data_lineitems!$D$3:$D$1567,"E2",data_lineitems!$F$3:$F$1567,"HATCH*",data_lineitems!$H$3:$H$1567,"iii*")</f>
        <v/>
      </c>
      <c r="Q144" s="77">
        <f>SUMIFS(data_lineitems!$I$3:$I$1567,data_lineitems!$A$3:$A$1567,"DE",data_lineitems!$B$3:$B$1567,2022,data_lineitems!$C$3:$C$1567,"medium",data_lineitems!$D$3:$D$1567,"E2",data_lineitems!$F$3:$F$1567,"HATCH*",data_lineitems!$H$3:$H$1567,"iii*")</f>
        <v/>
      </c>
      <c r="R144" s="77">
        <f>SUMIFS(data_lineitems!$I$3:$I$1567,data_lineitems!$A$3:$A$1567,"DE",data_lineitems!$B$3:$B$1567,2023,data_lineitems!$C$3:$C$1567,"medium",data_lineitems!$D$3:$D$1567,"E2",data_lineitems!$F$3:$F$1567,"HATCH*",data_lineitems!$H$3:$H$1567,"iii*")</f>
        <v/>
      </c>
      <c r="S144" s="77">
        <f>SUMIFS(data_lineitems!$I$3:$I$1567,data_lineitems!$A$3:$A$1567,"DE",data_lineitems!$B$3:$B$1567,2024,data_lineitems!$C$3:$C$1567,"medium",data_lineitems!$D$3:$D$1567,"E2",data_lineitems!$F$3:$F$1567,"HATCH*",data_lineitems!$H$3:$H$1567,"iii*")</f>
        <v/>
      </c>
      <c r="T144" s="77">
        <f>SUMIFS(data_lineitems!$I$3:$I$1567,data_lineitems!$A$3:$A$1567,"DE",data_lineitems!$B$3:$B$1567,2025,data_lineitems!$C$3:$C$1567,"medium",data_lineitems!$D$3:$D$1567,"E2",data_lineitems!$F$3:$F$1567,"HATCH*",data_lineitems!$H$3:$H$1567,"iii*")</f>
        <v/>
      </c>
    </row>
    <row r="146" ht="15" customHeight="1" s="78">
      <c r="A146" s="77" t="inlineStr">
        <is>
          <t>T3 — WHO PAYS vs WHAT IT COSTS, 2025 snapshot (real 2025 USD/MWh). On-bill + (ii) + (iii) reallocated back onto the archetype. UK/DE symmetry: EII network relief recovered from other users (ESL | sec.19-Umlage) — same instrument, different clothes; Germany EEG sits with the taxpayer since 2022. CN runs the other way: the T&amp;D price EMBEDS a cross-subsidy industrial users PAY (~CNY 270bn/yr scale, 2019, State Grid chairmen via NPC; removal counterfactual approx -0.076 CNY/kWh for C&amp;I — Tier 1-adjacent, NOT added to the stack; no province-specific figure for the basket). LABELLING (Q82): all columns are MODELLED statutory stacks — supply margin excluded (memo r121 = obs−modelled; observed band averages timeseries r74–r90; validation gates r91–r95, Q30). BASIS (Q84): CN values are 含税 (incl VAT) as published; UK/DE exclude VAT — de-VATed CN comparators r189–r191. DE E2 privileged-umlage sensitivity r192–r193 (Q85).</t>
        </is>
      </c>
    </row>
    <row r="147" ht="15" customHeight="1" s="78">
      <c r="A147" s="77" t="inlineStr">
        <is>
          <t>Ctry</t>
        </is>
      </c>
      <c r="B147" s="77" t="inlineStr">
        <is>
          <t>Arch</t>
        </is>
      </c>
      <c r="C147" s="77" t="inlineStr">
        <is>
          <t>Case</t>
        </is>
      </c>
      <c r="D147" s="77" t="inlineStr">
        <is>
          <t>Modelled stack 2025</t>
        </is>
      </c>
      <c r="E147" s="77" t="inlineStr">
        <is>
          <t>+ (ii)</t>
        </is>
      </c>
      <c r="F147" s="77" t="inlineStr">
        <is>
          <t>+ (iii)</t>
        </is>
      </c>
      <c r="G147" s="77" t="inlineStr">
        <is>
          <t>What it costs (modelled)</t>
        </is>
      </c>
    </row>
    <row r="148" ht="15" customHeight="1" s="78">
      <c r="A148" s="77" t="inlineStr">
        <is>
          <t>UK</t>
        </is>
      </c>
      <c r="B148" s="77" t="inlineStr">
        <is>
          <t>large</t>
        </is>
      </c>
      <c r="C148" s="77" t="inlineStr">
        <is>
          <t>E1</t>
        </is>
      </c>
      <c r="D148" s="136">
        <f>IF(ISNUMBER(timeseries!S74),timeseries!S74,"")</f>
        <v/>
      </c>
      <c r="E148" s="77">
        <f>SUMIFS(data_lineitems!$I$3:$I$1567,data_lineitems!$A$3:$A$1567,"UK",data_lineitems!$B$3:$B$1567,2025,data_lineitems!$C$3:$C$1567,"large",data_lineitems!$D$3:$D$1567,"E1",data_lineitems!$F$3:$F$1567,"HATCH*",data_lineitems!$H$3:$H$1567,"ii *")</f>
        <v/>
      </c>
      <c r="F148" s="77">
        <f>SUMIFS(data_lineitems!$I$3:$I$1567,data_lineitems!$A$3:$A$1567,"UK",data_lineitems!$B$3:$B$1567,2025,data_lineitems!$C$3:$C$1567,"large",data_lineitems!$D$3:$D$1567,"E1",data_lineitems!$F$3:$F$1567,"HATCH*",data_lineitems!$H$3:$H$1567,"iii*")</f>
        <v/>
      </c>
      <c r="G148" s="77">
        <f>SUM(D148:F148)</f>
        <v/>
      </c>
    </row>
    <row r="149" ht="15" customHeight="1" s="78">
      <c r="A149" s="77" t="inlineStr">
        <is>
          <t>UK</t>
        </is>
      </c>
      <c r="B149" s="77" t="inlineStr">
        <is>
          <t>large</t>
        </is>
      </c>
      <c r="C149" s="77" t="inlineStr">
        <is>
          <t>E2</t>
        </is>
      </c>
      <c r="D149" s="136">
        <f>IF(ISNUMBER(timeseries!S75),timeseries!S75,"")</f>
        <v/>
      </c>
      <c r="E149" s="77">
        <f>SUMIFS(data_lineitems!$I$3:$I$1567,data_lineitems!$A$3:$A$1567,"UK",data_lineitems!$B$3:$B$1567,2025,data_lineitems!$C$3:$C$1567,"large",data_lineitems!$D$3:$D$1567,"E2",data_lineitems!$F$3:$F$1567,"HATCH*",data_lineitems!$H$3:$H$1567,"ii *")</f>
        <v/>
      </c>
      <c r="F149" s="77">
        <f>SUMIFS(data_lineitems!$I$3:$I$1567,data_lineitems!$A$3:$A$1567,"UK",data_lineitems!$B$3:$B$1567,2025,data_lineitems!$C$3:$C$1567,"large",data_lineitems!$D$3:$D$1567,"E2",data_lineitems!$F$3:$F$1567,"HATCH*",data_lineitems!$H$3:$H$1567,"iii*")</f>
        <v/>
      </c>
      <c r="G149" s="77">
        <f>SUM(D149:F149)</f>
        <v/>
      </c>
    </row>
    <row r="150" ht="15" customHeight="1" s="78">
      <c r="A150" s="77" t="inlineStr">
        <is>
          <t>UK</t>
        </is>
      </c>
      <c r="B150" s="77" t="inlineStr">
        <is>
          <t>medium</t>
        </is>
      </c>
      <c r="C150" s="77" t="inlineStr">
        <is>
          <t>E1</t>
        </is>
      </c>
      <c r="D150" s="136">
        <f>IF(ISNUMBER(timeseries!S76),timeseries!S76,"")</f>
        <v/>
      </c>
      <c r="E150" s="77">
        <f>SUMIFS(data_lineitems!$I$3:$I$1567,data_lineitems!$A$3:$A$1567,"UK",data_lineitems!$B$3:$B$1567,2025,data_lineitems!$C$3:$C$1567,"medium",data_lineitems!$D$3:$D$1567,"E1",data_lineitems!$F$3:$F$1567,"HATCH*",data_lineitems!$H$3:$H$1567,"ii *")</f>
        <v/>
      </c>
      <c r="F150" s="77">
        <f>SUMIFS(data_lineitems!$I$3:$I$1567,data_lineitems!$A$3:$A$1567,"UK",data_lineitems!$B$3:$B$1567,2025,data_lineitems!$C$3:$C$1567,"medium",data_lineitems!$D$3:$D$1567,"E1",data_lineitems!$F$3:$F$1567,"HATCH*",data_lineitems!$H$3:$H$1567,"iii*")</f>
        <v/>
      </c>
      <c r="G150" s="77">
        <f>SUM(D150:F150)</f>
        <v/>
      </c>
    </row>
    <row r="151" ht="15" customHeight="1" s="78">
      <c r="A151" s="77" t="inlineStr">
        <is>
          <t>UK</t>
        </is>
      </c>
      <c r="B151" s="77" t="inlineStr">
        <is>
          <t>medium</t>
        </is>
      </c>
      <c r="C151" s="77" t="inlineStr">
        <is>
          <t>E2</t>
        </is>
      </c>
      <c r="D151" s="136">
        <f>IF(ISNUMBER(timeseries!S77),timeseries!S77,"")</f>
        <v/>
      </c>
      <c r="E151" s="77">
        <f>SUMIFS(data_lineitems!$I$3:$I$1567,data_lineitems!$A$3:$A$1567,"UK",data_lineitems!$B$3:$B$1567,2025,data_lineitems!$C$3:$C$1567,"medium",data_lineitems!$D$3:$D$1567,"E2",data_lineitems!$F$3:$F$1567,"HATCH*",data_lineitems!$H$3:$H$1567,"ii *")</f>
        <v/>
      </c>
      <c r="F151" s="77">
        <f>SUMIFS(data_lineitems!$I$3:$I$1567,data_lineitems!$A$3:$A$1567,"UK",data_lineitems!$B$3:$B$1567,2025,data_lineitems!$C$3:$C$1567,"medium",data_lineitems!$D$3:$D$1567,"E2",data_lineitems!$F$3:$F$1567,"HATCH*",data_lineitems!$H$3:$H$1567,"iii*")</f>
        <v/>
      </c>
      <c r="G151" s="77">
        <f>SUM(D151:F151)</f>
        <v/>
      </c>
    </row>
    <row r="152" ht="15" customHeight="1" s="78">
      <c r="A152" s="77" t="inlineStr">
        <is>
          <t>DE</t>
        </is>
      </c>
      <c r="B152" s="77" t="inlineStr">
        <is>
          <t>large</t>
        </is>
      </c>
      <c r="C152" s="77" t="inlineStr">
        <is>
          <t>E1</t>
        </is>
      </c>
      <c r="D152" s="136">
        <f>IF(ISNUMBER(timeseries!S80),timeseries!S80,"")</f>
        <v/>
      </c>
      <c r="E152" s="77">
        <f>SUMIFS(data_lineitems!$I$3:$I$1567,data_lineitems!$A$3:$A$1567,"DE",data_lineitems!$B$3:$B$1567,2025,data_lineitems!$C$3:$C$1567,"large",data_lineitems!$D$3:$D$1567,"E1",data_lineitems!$F$3:$F$1567,"HATCH*",data_lineitems!$H$3:$H$1567,"ii *")</f>
        <v/>
      </c>
      <c r="F152" s="77">
        <f>SUMIFS(data_lineitems!$I$3:$I$1567,data_lineitems!$A$3:$A$1567,"DE",data_lineitems!$B$3:$B$1567,2025,data_lineitems!$C$3:$C$1567,"large",data_lineitems!$D$3:$D$1567,"E1",data_lineitems!$F$3:$F$1567,"HATCH*",data_lineitems!$H$3:$H$1567,"iii*")</f>
        <v/>
      </c>
      <c r="G152" s="77">
        <f>SUM(D152:F152)</f>
        <v/>
      </c>
    </row>
    <row r="153" ht="15" customHeight="1" s="78">
      <c r="A153" s="77" t="inlineStr">
        <is>
          <t>DE</t>
        </is>
      </c>
      <c r="B153" s="77" t="inlineStr">
        <is>
          <t>large</t>
        </is>
      </c>
      <c r="C153" s="77" t="inlineStr">
        <is>
          <t>E2</t>
        </is>
      </c>
      <c r="D153" s="136">
        <f>IF(ISNUMBER(timeseries!S81),timeseries!S81,"")</f>
        <v/>
      </c>
      <c r="E153" s="77">
        <f>SUMIFS(data_lineitems!$I$3:$I$1567,data_lineitems!$A$3:$A$1567,"DE",data_lineitems!$B$3:$B$1567,2025,data_lineitems!$C$3:$C$1567,"large",data_lineitems!$D$3:$D$1567,"E2",data_lineitems!$F$3:$F$1567,"HATCH*",data_lineitems!$H$3:$H$1567,"ii *")</f>
        <v/>
      </c>
      <c r="F153" s="77">
        <f>SUMIFS(data_lineitems!$I$3:$I$1567,data_lineitems!$A$3:$A$1567,"DE",data_lineitems!$B$3:$B$1567,2025,data_lineitems!$C$3:$C$1567,"large",data_lineitems!$D$3:$D$1567,"E2",data_lineitems!$F$3:$F$1567,"HATCH*",data_lineitems!$H$3:$H$1567,"iii*")</f>
        <v/>
      </c>
      <c r="G153" s="77">
        <f>SUM(D153:F153)</f>
        <v/>
      </c>
    </row>
    <row r="154" ht="15" customHeight="1" s="78">
      <c r="A154" s="77" t="inlineStr">
        <is>
          <t>DE</t>
        </is>
      </c>
      <c r="B154" s="77" t="inlineStr">
        <is>
          <t>medium</t>
        </is>
      </c>
      <c r="C154" s="77" t="inlineStr">
        <is>
          <t>E1</t>
        </is>
      </c>
      <c r="D154" s="136">
        <f>IF(ISNUMBER(timeseries!S84),timeseries!S84,"")</f>
        <v/>
      </c>
      <c r="E154" s="77">
        <f>SUMIFS(data_lineitems!$I$3:$I$1567,data_lineitems!$A$3:$A$1567,"DE",data_lineitems!$B$3:$B$1567,2025,data_lineitems!$C$3:$C$1567,"medium",data_lineitems!$D$3:$D$1567,"E1",data_lineitems!$F$3:$F$1567,"HATCH*",data_lineitems!$H$3:$H$1567,"ii *")</f>
        <v/>
      </c>
      <c r="F154" s="77">
        <f>SUMIFS(data_lineitems!$I$3:$I$1567,data_lineitems!$A$3:$A$1567,"DE",data_lineitems!$B$3:$B$1567,2025,data_lineitems!$C$3:$C$1567,"medium",data_lineitems!$D$3:$D$1567,"E1",data_lineitems!$F$3:$F$1567,"HATCH*",data_lineitems!$H$3:$H$1567,"iii*")</f>
        <v/>
      </c>
      <c r="G154" s="77">
        <f>SUM(D154:F154)</f>
        <v/>
      </c>
    </row>
    <row r="155" ht="15" customHeight="1" s="78">
      <c r="A155" s="77" t="inlineStr">
        <is>
          <t>DE</t>
        </is>
      </c>
      <c r="B155" s="77" t="inlineStr">
        <is>
          <t>medium</t>
        </is>
      </c>
      <c r="C155" s="77" t="inlineStr">
        <is>
          <t>E2</t>
        </is>
      </c>
      <c r="D155" s="136">
        <f>IF(ISNUMBER(timeseries!S85),timeseries!S85,"")</f>
        <v/>
      </c>
      <c r="E155" s="77">
        <f>SUMIFS(data_lineitems!$I$3:$I$1567,data_lineitems!$A$3:$A$1567,"DE",data_lineitems!$B$3:$B$1567,2025,data_lineitems!$C$3:$C$1567,"medium",data_lineitems!$D$3:$D$1567,"E2",data_lineitems!$F$3:$F$1567,"HATCH*",data_lineitems!$H$3:$H$1567,"ii *")</f>
        <v/>
      </c>
      <c r="F155" s="77">
        <f>SUMIFS(data_lineitems!$I$3:$I$1567,data_lineitems!$A$3:$A$1567,"DE",data_lineitems!$B$3:$B$1567,2025,data_lineitems!$C$3:$C$1567,"medium",data_lineitems!$D$3:$D$1567,"E2",data_lineitems!$F$3:$F$1567,"HATCH*",data_lineitems!$H$3:$H$1567,"iii*")</f>
        <v/>
      </c>
      <c r="G155" s="77">
        <f>SUM(D155:F155)</f>
        <v/>
      </c>
    </row>
    <row r="156" ht="15" customHeight="1" s="78">
      <c r="A156" s="77" t="inlineStr">
        <is>
          <t>CN</t>
        </is>
      </c>
      <c r="B156" s="77" t="inlineStr">
        <is>
          <t>large</t>
        </is>
      </c>
      <c r="C156" s="77" t="inlineStr">
        <is>
          <t>E1=E2</t>
        </is>
      </c>
      <c r="D156" s="77">
        <f>IF(ISNUMBER(stage4_cn!S83),stage4_cn!S83/fx_deflator!$K$20*fx_deflator!$M$20,"")</f>
        <v/>
      </c>
      <c r="E156" s="77" t="inlineStr">
        <is>
          <t>embedded cross-subsidy PAID (reverse) — see header note</t>
        </is>
      </c>
    </row>
    <row r="157" ht="15" customHeight="1" s="78">
      <c r="A157" s="77" t="inlineStr">
        <is>
          <t>CN</t>
        </is>
      </c>
      <c r="B157" s="77" t="inlineStr">
        <is>
          <t>medium</t>
        </is>
      </c>
      <c r="C157" s="77" t="inlineStr">
        <is>
          <t>E1=E2</t>
        </is>
      </c>
      <c r="D157" s="77">
        <f>IF(ISNUMBER(stage4_cn!S93),stage4_cn!S93/fx_deflator!$K$20*fx_deflator!$M$20,"")</f>
        <v/>
      </c>
      <c r="E157" s="77" t="inlineStr">
        <is>
          <t>embedded cross-subsidy PAID (reverse) — see header note</t>
        </is>
      </c>
    </row>
    <row r="159" ht="15" customHeight="1" s="78">
      <c r="A159" s="77" t="inlineStr">
        <is>
          <t>2025 vs 2026 SNAPSHOT — NOMINAL LOCAL CURRENCY per MWh (D6: no 2026 USD conversion). All three regimes change in 2026: UK NCC 60-&gt;90 pct; DE EUR 6.5bn transmission subsidy (2026 Netz incl. subsidy; counterfactual ohne Zuschuss = timeseries r34) + KWKG/Offshore/par.19 changes; CN 136-hao + 1077-hao P4 T&amp;D.</t>
        </is>
      </c>
    </row>
    <row r="160" ht="15" customHeight="1" s="78">
      <c r="A160" s="77" t="inlineStr">
        <is>
          <t>Ctry</t>
        </is>
      </c>
      <c r="B160" s="77" t="inlineStr">
        <is>
          <t>Arch</t>
        </is>
      </c>
      <c r="C160" s="77" t="inlineStr">
        <is>
          <t>Case</t>
        </is>
      </c>
      <c r="D160" s="77" t="inlineStr">
        <is>
          <t>Bucket</t>
        </is>
      </c>
      <c r="E160" s="77" t="inlineStr">
        <is>
          <t>2025 local</t>
        </is>
      </c>
      <c r="F160" s="77" t="inlineStr">
        <is>
          <t>2026 local</t>
        </is>
      </c>
      <c r="G160" s="77" t="inlineStr">
        <is>
          <t>delta</t>
        </is>
      </c>
      <c r="H160" s="77" t="inlineStr">
        <is>
          <t>delta pct</t>
        </is>
      </c>
    </row>
    <row r="161" ht="15" customHeight="1" s="78">
      <c r="A161" s="77" t="inlineStr">
        <is>
          <t>UK</t>
        </is>
      </c>
      <c r="B161" s="77" t="inlineStr">
        <is>
          <t>large</t>
        </is>
      </c>
      <c r="C161" s="77" t="inlineStr">
        <is>
          <t>E1</t>
        </is>
      </c>
      <c r="D161" s="77" t="inlineStr">
        <is>
          <t>1 Commodity (wholesale)</t>
        </is>
      </c>
      <c r="E161" s="136">
        <f>timeseries!S6</f>
        <v/>
      </c>
      <c r="F161" s="136">
        <f>timeseries!T6</f>
        <v/>
      </c>
      <c r="G161" s="77">
        <f>IF(AND(ISNUMBER(E161),ISNUMBER(F161)),F161-E161,"")</f>
        <v/>
      </c>
      <c r="H161" s="77">
        <f>IF(AND(ISNUMBER(E161),ISNUMBER(F161),E161&lt;&gt;0),F161/E161-1,"")</f>
        <v/>
      </c>
    </row>
    <row r="162" ht="15" customHeight="1" s="78">
      <c r="A162" s="77" t="inlineStr">
        <is>
          <t>UK</t>
        </is>
      </c>
      <c r="B162" s="77" t="inlineStr">
        <is>
          <t>large</t>
        </is>
      </c>
      <c r="C162" s="77" t="inlineStr">
        <is>
          <t>E1</t>
        </is>
      </c>
      <c r="D162" s="77" t="inlineStr">
        <is>
          <t>2 Gen capital recovery (RO+CfD+CM; FiT excl 2025+, Q32)</t>
        </is>
      </c>
      <c r="E162" s="77">
        <f>N(timeseries!S10)+N(timeseries!S11)+N(timeseries!S13)</f>
        <v/>
      </c>
      <c r="F162" s="77">
        <f>N(timeseries!T10)+N(timeseries!T11)+N(timeseries!T13)</f>
        <v/>
      </c>
      <c r="G162" s="77">
        <f>IF(AND(ISNUMBER(E162),ISNUMBER(F162)),F162-E162,"")</f>
        <v/>
      </c>
      <c r="H162" s="77">
        <f>IF(AND(ISNUMBER(E162),ISNUMBER(F162),E162&lt;&gt;0),F162/E162-1,"")</f>
        <v/>
      </c>
    </row>
    <row r="163" ht="15" customHeight="1" s="78">
      <c r="A163" s="77" t="inlineStr">
        <is>
          <t>UK</t>
        </is>
      </c>
      <c r="B163" s="77" t="inlineStr">
        <is>
          <t>large</t>
        </is>
      </c>
      <c r="C163" s="77" t="inlineStr">
        <is>
          <t>E1</t>
        </is>
      </c>
      <c r="D163" s="77" t="inlineStr">
        <is>
          <t>3 Network (TNUoS+AAHEDC)</t>
        </is>
      </c>
      <c r="E163" s="77">
        <f>N(timeseries!S7)+N(timeseries!S9)</f>
        <v/>
      </c>
      <c r="F163" s="77">
        <f>N(timeseries!T7)+N(timeseries!T9)</f>
        <v/>
      </c>
      <c r="G163" s="77">
        <f>IF(AND(ISNUMBER(E163),ISNUMBER(F163)),F163-E163,"")</f>
        <v/>
      </c>
      <c r="H163" s="77">
        <f>IF(AND(ISNUMBER(E163),ISNUMBER(F163),E163&lt;&gt;0),F163/E163-1,"")</f>
        <v/>
      </c>
    </row>
    <row r="164" ht="15" customHeight="1" s="78">
      <c r="A164" s="77" t="inlineStr">
        <is>
          <t>UK</t>
        </is>
      </c>
      <c r="B164" s="77" t="inlineStr">
        <is>
          <t>large</t>
        </is>
      </c>
      <c r="C164" s="77" t="inlineStr">
        <is>
          <t>E1</t>
        </is>
      </c>
      <c r="D164" s="77" t="inlineStr">
        <is>
          <t>4 System (BSUoS)</t>
        </is>
      </c>
      <c r="E164" s="77">
        <f>N(timeseries!S8)</f>
        <v/>
      </c>
      <c r="F164" s="77">
        <f>N(timeseries!T8)</f>
        <v/>
      </c>
      <c r="G164" s="77">
        <f>IF(AND(ISNUMBER(E164),ISNUMBER(F164)),F164-E164,"")</f>
        <v/>
      </c>
      <c r="H164" s="77">
        <f>IF(AND(ISNUMBER(E164),ISNUMBER(F164),E164&lt;&gt;0),F164/E164-1,"")</f>
        <v/>
      </c>
    </row>
    <row r="165" ht="15" customHeight="1" s="78">
      <c r="A165" s="77" t="inlineStr">
        <is>
          <t>UK</t>
        </is>
      </c>
      <c r="B165" s="77" t="inlineStr">
        <is>
          <t>large</t>
        </is>
      </c>
      <c r="C165" s="77" t="inlineStr">
        <is>
          <t>E1</t>
        </is>
      </c>
      <c r="D165" s="77" t="inlineStr">
        <is>
          <t>5 Taxes+ESL (CCL+ESL)</t>
        </is>
      </c>
      <c r="E165" s="77">
        <f>N(timeseries!S14)+N(stage4_uk!S53)</f>
        <v/>
      </c>
      <c r="F165" s="77">
        <f>N(timeseries!T14)+N(stage4_uk!T53)</f>
        <v/>
      </c>
      <c r="G165" s="77">
        <f>IF(AND(ISNUMBER(E165),ISNUMBER(F165)),F165-E165,"")</f>
        <v/>
      </c>
      <c r="H165" s="77">
        <f>IF(AND(ISNUMBER(E165),ISNUMBER(F165),E165&lt;&gt;0),F165/E165-1,"")</f>
        <v/>
      </c>
    </row>
    <row r="166" ht="15" customHeight="1" s="78">
      <c r="A166" s="77" t="inlineStr">
        <is>
          <t>UK</t>
        </is>
      </c>
      <c r="B166" s="77" t="inlineStr">
        <is>
          <t>large</t>
        </is>
      </c>
      <c r="C166" s="77" t="inlineStr">
        <is>
          <t>E1</t>
        </is>
      </c>
      <c r="D166" s="77" t="inlineStr">
        <is>
          <t>E1 TOTAL</t>
        </is>
      </c>
      <c r="E166" s="136">
        <f>timeseries!S15</f>
        <v/>
      </c>
      <c r="F166" s="136">
        <f>timeseries!T15</f>
        <v/>
      </c>
      <c r="G166" s="77">
        <f>IF(AND(ISNUMBER(E166),ISNUMBER(F166)),F166-E166,"")</f>
        <v/>
      </c>
      <c r="H166" s="77">
        <f>IF(AND(ISNUMBER(E166),ISNUMBER(F166),E166&lt;&gt;0),F166/E166-1,"")</f>
        <v/>
      </c>
    </row>
    <row r="167" ht="15" customHeight="1" s="78">
      <c r="A167" s="77" t="inlineStr">
        <is>
          <t>UK</t>
        </is>
      </c>
      <c r="B167" s="77" t="inlineStr">
        <is>
          <t>large</t>
        </is>
      </c>
      <c r="C167" s="77" t="inlineStr">
        <is>
          <t>E2</t>
        </is>
      </c>
      <c r="D167" s="77" t="inlineStr">
        <is>
          <t>1 Commodity (wholesale)</t>
        </is>
      </c>
      <c r="E167" s="136">
        <f>timeseries!S6</f>
        <v/>
      </c>
      <c r="F167" s="136">
        <f>timeseries!T6</f>
        <v/>
      </c>
      <c r="G167" s="77">
        <f>IF(AND(ISNUMBER(E167),ISNUMBER(F167)),F167-E167,"")</f>
        <v/>
      </c>
      <c r="H167" s="77">
        <f>IF(AND(ISNUMBER(E167),ISNUMBER(F167),E167&lt;&gt;0),F167/E167-1,"")</f>
        <v/>
      </c>
    </row>
    <row r="168" ht="15" customHeight="1" s="78">
      <c r="A168" s="77" t="inlineStr">
        <is>
          <t>UK</t>
        </is>
      </c>
      <c r="B168" s="77" t="inlineStr">
        <is>
          <t>large</t>
        </is>
      </c>
      <c r="C168" s="77" t="inlineStr">
        <is>
          <t>E2</t>
        </is>
      </c>
      <c r="D168" s="77" t="inlineStr">
        <is>
          <t>2 Gen capital (after exemptions)</t>
        </is>
      </c>
      <c r="E168" s="136">
        <f>timeseries!S18</f>
        <v/>
      </c>
      <c r="F168" s="136">
        <f>timeseries!T18</f>
        <v/>
      </c>
      <c r="G168" s="77">
        <f>IF(AND(ISNUMBER(E168),ISNUMBER(F168)),F168-E168,"")</f>
        <v/>
      </c>
      <c r="H168" s="77">
        <f>IF(AND(ISNUMBER(E168),ISNUMBER(F168),E168&lt;&gt;0),F168/E168-1,"")</f>
        <v/>
      </c>
    </row>
    <row r="169" ht="15" customHeight="1" s="78">
      <c r="A169" s="77" t="inlineStr">
        <is>
          <t>UK</t>
        </is>
      </c>
      <c r="B169" s="77" t="inlineStr">
        <is>
          <t>large</t>
        </is>
      </c>
      <c r="C169" s="77" t="inlineStr">
        <is>
          <t>E2</t>
        </is>
      </c>
      <c r="D169" s="77" t="inlineStr">
        <is>
          <t>3+4 Network+system after NCC (incl AAHEDC)</t>
        </is>
      </c>
      <c r="E169" s="136">
        <f>timeseries!S17</f>
        <v/>
      </c>
      <c r="F169" s="136">
        <f>timeseries!T17</f>
        <v/>
      </c>
      <c r="G169" s="77">
        <f>IF(AND(ISNUMBER(E169),ISNUMBER(F169)),F169-E169,"")</f>
        <v/>
      </c>
      <c r="H169" s="77">
        <f>IF(AND(ISNUMBER(E169),ISNUMBER(F169),E169&lt;&gt;0),F169/E169-1,"")</f>
        <v/>
      </c>
    </row>
    <row r="170" ht="15" customHeight="1" s="78">
      <c r="A170" s="77" t="inlineStr">
        <is>
          <t>UK</t>
        </is>
      </c>
      <c r="B170" s="77" t="inlineStr">
        <is>
          <t>large</t>
        </is>
      </c>
      <c r="C170" s="77" t="inlineStr">
        <is>
          <t>E2</t>
        </is>
      </c>
      <c r="D170" s="77" t="inlineStr">
        <is>
          <t>5 Taxes (CCL)</t>
        </is>
      </c>
      <c r="E170" s="77">
        <f>N(timeseries!S14)</f>
        <v/>
      </c>
      <c r="F170" s="77">
        <f>N(timeseries!T14)</f>
        <v/>
      </c>
      <c r="G170" s="77">
        <f>IF(AND(ISNUMBER(E170),ISNUMBER(F170)),F170-E170,"")</f>
        <v/>
      </c>
      <c r="H170" s="77">
        <f>IF(AND(ISNUMBER(E170),ISNUMBER(F170),E170&lt;&gt;0),F170/E170-1,"")</f>
        <v/>
      </c>
    </row>
    <row r="171" ht="15" customHeight="1" s="78">
      <c r="A171" s="77" t="inlineStr">
        <is>
          <t>UK</t>
        </is>
      </c>
      <c r="B171" s="77" t="inlineStr">
        <is>
          <t>large</t>
        </is>
      </c>
      <c r="C171" s="77" t="inlineStr">
        <is>
          <t>E2</t>
        </is>
      </c>
      <c r="D171" s="77" t="inlineStr">
        <is>
          <t>E2 TOTAL</t>
        </is>
      </c>
      <c r="E171" s="136">
        <f>timeseries!S19</f>
        <v/>
      </c>
      <c r="F171" s="136">
        <f>timeseries!T19</f>
        <v/>
      </c>
      <c r="G171" s="77">
        <f>IF(AND(ISNUMBER(E171),ISNUMBER(F171)),F171-E171,"")</f>
        <v/>
      </c>
      <c r="H171" s="77">
        <f>IF(AND(ISNUMBER(E171),ISNUMBER(F171),E171&lt;&gt;0),F171/E171-1,"")</f>
        <v/>
      </c>
    </row>
    <row r="172" ht="15" customHeight="1" s="78">
      <c r="A172" s="77" t="inlineStr">
        <is>
          <t>UK</t>
        </is>
      </c>
      <c r="B172" s="77" t="inlineStr">
        <is>
          <t>medium</t>
        </is>
      </c>
      <c r="C172" s="77" t="inlineStr">
        <is>
          <t>E1</t>
        </is>
      </c>
      <c r="D172" s="77" t="inlineStr">
        <is>
          <t>E1 TOTAL</t>
        </is>
      </c>
      <c r="E172" s="136">
        <f>timeseries!S28</f>
        <v/>
      </c>
      <c r="F172" s="136">
        <f>timeseries!T28</f>
        <v/>
      </c>
      <c r="G172" s="77">
        <f>IF(AND(ISNUMBER(E172),ISNUMBER(F172)),F172-E172,"")</f>
        <v/>
      </c>
      <c r="H172" s="77">
        <f>IF(AND(ISNUMBER(E172),ISNUMBER(F172),E172&lt;&gt;0),F172/E172-1,"")</f>
        <v/>
      </c>
    </row>
    <row r="173" ht="15" customHeight="1" s="78">
      <c r="A173" s="77" t="inlineStr">
        <is>
          <t>UK</t>
        </is>
      </c>
      <c r="B173" s="77" t="inlineStr">
        <is>
          <t>medium</t>
        </is>
      </c>
      <c r="C173" s="77" t="inlineStr">
        <is>
          <t>E2</t>
        </is>
      </c>
      <c r="D173" s="77" t="inlineStr">
        <is>
          <t>E2 TOTAL</t>
        </is>
      </c>
      <c r="E173" s="136">
        <f>timeseries!S29</f>
        <v/>
      </c>
      <c r="F173" s="136">
        <f>timeseries!T29</f>
        <v/>
      </c>
      <c r="G173" s="77">
        <f>IF(AND(ISNUMBER(E173),ISNUMBER(F173)),F173-E173,"")</f>
        <v/>
      </c>
      <c r="H173" s="77">
        <f>IF(AND(ISNUMBER(E173),ISNUMBER(F173),E173&lt;&gt;0),F173/E173-1,"")</f>
        <v/>
      </c>
    </row>
    <row r="174" ht="15" customHeight="1" s="78">
      <c r="A174" s="77" t="inlineStr">
        <is>
          <t>DE</t>
        </is>
      </c>
      <c r="B174" s="77" t="inlineStr">
        <is>
          <t>large</t>
        </is>
      </c>
      <c r="C174" s="77" t="inlineStr">
        <is>
          <t>E1</t>
        </is>
      </c>
      <c r="D174" s="77" t="inlineStr">
        <is>
          <t>1 Commodity (Phelix front-year)</t>
        </is>
      </c>
      <c r="E174" s="136">
        <f>timeseries!S32</f>
        <v/>
      </c>
      <c r="F174" s="77">
        <f>timeseries!T32</f>
        <v/>
      </c>
      <c r="G174" s="77">
        <f>IF(AND(ISNUMBER(E174),ISNUMBER(F174)),F174-E174,"")</f>
        <v/>
      </c>
      <c r="H174" s="77">
        <f>IF(AND(ISNUMBER(E174),ISNUMBER(F174),E174&lt;&gt;0),F174/E174-1,"")</f>
        <v/>
      </c>
    </row>
    <row r="175" ht="15" customHeight="1" s="78">
      <c r="A175" s="77" t="inlineStr">
        <is>
          <t>DE</t>
        </is>
      </c>
      <c r="B175" s="77" t="inlineStr">
        <is>
          <t>large</t>
        </is>
      </c>
      <c r="C175" s="77" t="inlineStr">
        <is>
          <t>E1</t>
        </is>
      </c>
      <c r="D175" s="77" t="inlineStr">
        <is>
          <t>2 Gen capital (EEG+KWKG+Offshore)</t>
        </is>
      </c>
      <c r="E175" s="77">
        <f>N(timeseries!S35)+N(timeseries!S36)+N(timeseries!S38)</f>
        <v/>
      </c>
      <c r="F175" s="77">
        <f>N(timeseries!T35)+N(timeseries!T36)+N(timeseries!T38)</f>
        <v/>
      </c>
      <c r="G175" s="77">
        <f>IF(AND(ISNUMBER(E175),ISNUMBER(F175)),F175-E175,"")</f>
        <v/>
      </c>
      <c r="H175" s="77">
        <f>IF(AND(ISNUMBER(E175),ISNUMBER(F175),E175&lt;&gt;0),F175/E175-1,"")</f>
        <v/>
      </c>
    </row>
    <row r="176" ht="15" customHeight="1" s="78">
      <c r="A176" s="77" t="inlineStr">
        <is>
          <t>DE</t>
        </is>
      </c>
      <c r="B176" s="77" t="inlineStr">
        <is>
          <t>large</t>
        </is>
      </c>
      <c r="C176" s="77" t="inlineStr">
        <is>
          <t>E1</t>
        </is>
      </c>
      <c r="D176" s="77" t="inlineStr">
        <is>
          <t>3 Network (HoeS; 2026 INCL EUR 6.5bn subsidy)</t>
        </is>
      </c>
      <c r="E176" s="136">
        <f>timeseries!S33</f>
        <v/>
      </c>
      <c r="F176" s="136">
        <f>timeseries!T33</f>
        <v/>
      </c>
      <c r="G176" s="77">
        <f>IF(AND(ISNUMBER(E176),ISNUMBER(F176)),F176-E176,"")</f>
        <v/>
      </c>
      <c r="H176" s="77">
        <f>IF(AND(ISNUMBER(E176),ISNUMBER(F176),E176&lt;&gt;0),F176/E176-1,"")</f>
        <v/>
      </c>
    </row>
    <row r="177" ht="15" customHeight="1" s="78">
      <c r="A177" s="77" t="inlineStr">
        <is>
          <t>DE</t>
        </is>
      </c>
      <c r="B177" s="77" t="inlineStr">
        <is>
          <t>large</t>
        </is>
      </c>
      <c r="C177" s="77" t="inlineStr">
        <is>
          <t>E1</t>
        </is>
      </c>
      <c r="D177" s="77" t="inlineStr">
        <is>
          <t>3 Network COUNTERFACTUAL ohne Bundeszuschuss (info)</t>
        </is>
      </c>
      <c r="E177" s="77">
        <f>"-"</f>
        <v/>
      </c>
      <c r="F177" s="136">
        <f>timeseries!T34</f>
        <v/>
      </c>
      <c r="G177" s="77">
        <f>IF(AND(ISNUMBER(E177),ISNUMBER(F177)),F177-E177,"")</f>
        <v/>
      </c>
      <c r="H177" s="77">
        <f>IF(AND(ISNUMBER(E177),ISNUMBER(F177),E177&lt;&gt;0),F177/E177-1,"")</f>
        <v/>
      </c>
    </row>
    <row r="178" ht="15" customHeight="1" s="78">
      <c r="A178" s="77" t="inlineStr">
        <is>
          <t>DE</t>
        </is>
      </c>
      <c r="B178" s="77" t="inlineStr">
        <is>
          <t>large</t>
        </is>
      </c>
      <c r="C178" s="77" t="inlineStr">
        <is>
          <t>E1</t>
        </is>
      </c>
      <c r="D178" s="77" t="inlineStr">
        <is>
          <t>4 System (par.19-Umlage+AbLaV)</t>
        </is>
      </c>
      <c r="E178" s="77">
        <f>N(timeseries!S37)+N(timeseries!S39)</f>
        <v/>
      </c>
      <c r="F178" s="77">
        <f>N(timeseries!T37)+N(timeseries!T39)</f>
        <v/>
      </c>
      <c r="G178" s="77">
        <f>IF(AND(ISNUMBER(E178),ISNUMBER(F178)),F178-E178,"")</f>
        <v/>
      </c>
      <c r="H178" s="77">
        <f>IF(AND(ISNUMBER(E178),ISNUMBER(F178),E178&lt;&gt;0),F178/E178-1,"")</f>
        <v/>
      </c>
    </row>
    <row r="179" ht="15" customHeight="1" s="78">
      <c r="A179" s="77" t="inlineStr">
        <is>
          <t>DE</t>
        </is>
      </c>
      <c r="B179" s="77" t="inlineStr">
        <is>
          <t>large</t>
        </is>
      </c>
      <c r="C179" s="77" t="inlineStr">
        <is>
          <t>E1</t>
        </is>
      </c>
      <c r="D179" s="77" t="inlineStr">
        <is>
          <t>5 Taxes (Stromsteuer+KA)</t>
        </is>
      </c>
      <c r="E179" s="136">
        <f>timeseries!S40</f>
        <v/>
      </c>
      <c r="F179" s="136">
        <f>timeseries!T40</f>
        <v/>
      </c>
      <c r="G179" s="77">
        <f>IF(AND(ISNUMBER(E179),ISNUMBER(F179)),F179-E179,"")</f>
        <v/>
      </c>
      <c r="H179" s="77">
        <f>IF(AND(ISNUMBER(E179),ISNUMBER(F179),E179&lt;&gt;0),F179/E179-1,"")</f>
        <v/>
      </c>
    </row>
    <row r="180" ht="15" customHeight="1" s="78">
      <c r="A180" s="77" t="inlineStr">
        <is>
          <t>DE</t>
        </is>
      </c>
      <c r="B180" s="77" t="inlineStr">
        <is>
          <t>large</t>
        </is>
      </c>
      <c r="C180" s="77" t="inlineStr">
        <is>
          <t>E1</t>
        </is>
      </c>
      <c r="D180" s="77" t="inlineStr">
        <is>
          <t>E1 TOTAL</t>
        </is>
      </c>
      <c r="E180" s="136">
        <f>timeseries!S41</f>
        <v/>
      </c>
      <c r="F180" s="136">
        <f>timeseries!T41</f>
        <v/>
      </c>
      <c r="G180" s="77">
        <f>IF(AND(ISNUMBER(E180),ISNUMBER(F180)),F180-E180,"")</f>
        <v/>
      </c>
      <c r="H180" s="77">
        <f>IF(AND(ISNUMBER(E180),ISNUMBER(F180),E180&lt;&gt;0),F180/E180-1,"")</f>
        <v/>
      </c>
    </row>
    <row r="181" ht="15" customHeight="1" s="78">
      <c r="A181" s="77" t="inlineStr">
        <is>
          <t>DE</t>
        </is>
      </c>
      <c r="B181" s="77" t="inlineStr">
        <is>
          <t>large</t>
        </is>
      </c>
      <c r="C181" s="77" t="inlineStr">
        <is>
          <t>E2</t>
        </is>
      </c>
      <c r="D181" s="77" t="inlineStr">
        <is>
          <t>1 Commodity (Phelix front-year)</t>
        </is>
      </c>
      <c r="E181" s="136">
        <f>timeseries!S32</f>
        <v/>
      </c>
      <c r="F181" s="77">
        <f>timeseries!T32</f>
        <v/>
      </c>
      <c r="G181" s="77">
        <f>IF(AND(ISNUMBER(E181),ISNUMBER(F181)),F181-E181,"")</f>
        <v/>
      </c>
      <c r="H181" s="77">
        <f>IF(AND(ISNUMBER(E181),ISNUMBER(F181),E181&lt;&gt;0),F181/E181-1,"")</f>
        <v/>
      </c>
    </row>
    <row r="182" ht="15" customHeight="1" s="78">
      <c r="A182" s="77" t="inlineStr">
        <is>
          <t>DE</t>
        </is>
      </c>
      <c r="B182" s="77" t="inlineStr">
        <is>
          <t>large</t>
        </is>
      </c>
      <c r="C182" s="77" t="inlineStr">
        <is>
          <t>E2</t>
        </is>
      </c>
      <c r="D182" s="77" t="inlineStr">
        <is>
          <t>E2 TOTAL</t>
        </is>
      </c>
      <c r="E182" s="136">
        <f>timeseries!S51</f>
        <v/>
      </c>
      <c r="F182" s="136">
        <f>timeseries!T51</f>
        <v/>
      </c>
      <c r="G182" s="77">
        <f>IF(AND(ISNUMBER(E182),ISNUMBER(F182)),F182-E182,"")</f>
        <v/>
      </c>
      <c r="H182" s="77">
        <f>IF(AND(ISNUMBER(E182),ISNUMBER(F182),E182&lt;&gt;0),F182/E182-1,"")</f>
        <v/>
      </c>
    </row>
    <row r="183" ht="15" customHeight="1" s="78">
      <c r="A183" s="77" t="inlineStr">
        <is>
          <t>DE</t>
        </is>
      </c>
      <c r="B183" s="77" t="inlineStr">
        <is>
          <t>medium</t>
        </is>
      </c>
      <c r="C183" s="77" t="inlineStr">
        <is>
          <t>E1</t>
        </is>
      </c>
      <c r="D183" s="77" t="inlineStr">
        <is>
          <t>E1 TOTAL</t>
        </is>
      </c>
      <c r="E183" s="136">
        <f>timeseries!S61</f>
        <v/>
      </c>
      <c r="F183" s="136">
        <f>timeseries!T61</f>
        <v/>
      </c>
      <c r="G183" s="77">
        <f>IF(AND(ISNUMBER(E183),ISNUMBER(F183)),F183-E183,"")</f>
        <v/>
      </c>
      <c r="H183" s="77">
        <f>IF(AND(ISNUMBER(E183),ISNUMBER(F183),E183&lt;&gt;0),F183/E183-1,"")</f>
        <v/>
      </c>
    </row>
    <row r="184" ht="15" customHeight="1" s="78">
      <c r="A184" s="77" t="inlineStr">
        <is>
          <t>DE</t>
        </is>
      </c>
      <c r="B184" s="77" t="inlineStr">
        <is>
          <t>medium</t>
        </is>
      </c>
      <c r="C184" s="77" t="inlineStr">
        <is>
          <t>E2</t>
        </is>
      </c>
      <c r="D184" s="77" t="inlineStr">
        <is>
          <t>E2 TOTAL</t>
        </is>
      </c>
      <c r="E184" s="136">
        <f>timeseries!S64</f>
        <v/>
      </c>
      <c r="F184" s="136">
        <f>timeseries!T64</f>
        <v/>
      </c>
      <c r="G184" s="77">
        <f>IF(AND(ISNUMBER(E184),ISNUMBER(F184)),F184-E184,"")</f>
        <v/>
      </c>
      <c r="H184" s="77">
        <f>IF(AND(ISNUMBER(E184),ISNUMBER(F184),E184&lt;&gt;0),F184/E184-1,"")</f>
        <v/>
      </c>
    </row>
    <row r="185" ht="15" customHeight="1" s="78">
      <c r="A185" s="77" t="inlineStr">
        <is>
          <t>CN</t>
        </is>
      </c>
      <c r="B185" s="77" t="inlineStr">
        <is>
          <t>large</t>
        </is>
      </c>
      <c r="C185" s="77" t="inlineStr">
        <is>
          <t>E1=E2</t>
        </is>
      </c>
      <c r="D185" s="77" t="inlineStr">
        <is>
          <t>JS all-in (D41 representative)</t>
        </is>
      </c>
      <c r="E185" s="77">
        <f>stage4_cn!S83</f>
        <v/>
      </c>
      <c r="F185" s="77">
        <f>stage4_cn!T83</f>
        <v/>
      </c>
      <c r="G185" s="77">
        <f>IF(AND(ISNUMBER(E185),ISNUMBER(F185)),F185-E185,"")</f>
        <v/>
      </c>
      <c r="H185" s="77">
        <f>IF(AND(ISNUMBER(E185),ISNUMBER(F185),E185&lt;&gt;0),F185/E185-1,"")</f>
        <v/>
      </c>
    </row>
    <row r="186" ht="15" customHeight="1" s="78">
      <c r="A186" s="77" t="inlineStr">
        <is>
          <t>CN</t>
        </is>
      </c>
      <c r="B186" s="77" t="inlineStr">
        <is>
          <t>large</t>
        </is>
      </c>
      <c r="C186" s="77" t="inlineStr">
        <is>
          <t>E1=E2</t>
        </is>
      </c>
      <c r="D186" s="77" t="inlineStr">
        <is>
          <t>Basket all-in (headline)</t>
        </is>
      </c>
      <c r="E186" s="136">
        <f>timeseries!S67</f>
        <v/>
      </c>
      <c r="F186" s="136">
        <f>timeseries!T67</f>
        <v/>
      </c>
      <c r="G186" s="77">
        <f>IF(AND(ISNUMBER(E186),ISNUMBER(F186)),F186-E186,"")</f>
        <v/>
      </c>
      <c r="H186" s="77">
        <f>IF(AND(ISNUMBER(E186),ISNUMBER(F186),E186&lt;&gt;0),F186/E186-1,"")</f>
        <v/>
      </c>
    </row>
    <row r="187" ht="15" customHeight="1" s="78">
      <c r="A187" s="77" t="inlineStr">
        <is>
          <t>CN</t>
        </is>
      </c>
      <c r="B187" s="77" t="inlineStr">
        <is>
          <t>medium</t>
        </is>
      </c>
      <c r="C187" s="77" t="inlineStr">
        <is>
          <t>E1=E2</t>
        </is>
      </c>
      <c r="D187" s="77" t="inlineStr">
        <is>
          <t>JS all-in (D41)</t>
        </is>
      </c>
      <c r="E187" s="77">
        <f>stage4_cn!S93</f>
        <v/>
      </c>
      <c r="F187" s="77">
        <f>stage4_cn!T93</f>
        <v/>
      </c>
      <c r="G187" s="77">
        <f>IF(AND(ISNUMBER(E187),ISNUMBER(F187)),F187-E187,"")</f>
        <v/>
      </c>
      <c r="H187" s="77">
        <f>IF(AND(ISNUMBER(E187),ISNUMBER(F187),E187&lt;&gt;0),F187/E187-1,"")</f>
        <v/>
      </c>
    </row>
    <row r="188" ht="15" customHeight="1" s="78">
      <c r="A188" s="77" t="inlineStr">
        <is>
          <t>CN</t>
        </is>
      </c>
      <c r="B188" s="77" t="inlineStr">
        <is>
          <t>medium</t>
        </is>
      </c>
      <c r="C188" s="77" t="inlineStr">
        <is>
          <t>E1=E2</t>
        </is>
      </c>
      <c r="D188" s="77" t="inlineStr">
        <is>
          <t>Basket all-in (headline)</t>
        </is>
      </c>
      <c r="E188" s="136">
        <f>timeseries!S70</f>
        <v/>
      </c>
      <c r="F188" s="136">
        <f>timeseries!T70</f>
        <v/>
      </c>
      <c r="G188" s="77">
        <f>IF(AND(ISNUMBER(E188),ISNUMBER(F188)),F188-E188,"")</f>
        <v/>
      </c>
      <c r="H188" s="77">
        <f>IF(AND(ISNUMBER(E188),ISNUMBER(F188),E188&lt;&gt;0),F188/E188-1,"")</f>
        <v/>
      </c>
    </row>
    <row r="189">
      <c r="A189" s="77" t="inlineStr">
        <is>
          <t>CN</t>
        </is>
      </c>
      <c r="B189" s="77" t="inlineStr">
        <is>
          <t>—</t>
        </is>
      </c>
      <c r="C189" s="77" t="inlineStr">
        <is>
          <t>memo</t>
        </is>
      </c>
      <c r="D189" s="77" t="inlineStr">
        <is>
          <t>MEMO Q84 — VAT divisor (1+rate): 17% to Apr-2018, 16% to Mar-2019, 13% after; switch years month-weighted</t>
        </is>
      </c>
      <c r="E189" s="156" t="n">
        <v>1.17</v>
      </c>
      <c r="F189" s="156" t="n">
        <v>1.17</v>
      </c>
      <c r="G189" s="156" t="n">
        <v>1.17</v>
      </c>
      <c r="H189" s="156" t="n">
        <v>1.17</v>
      </c>
      <c r="I189" s="156" t="n">
        <v>1.17</v>
      </c>
      <c r="J189" s="156" t="n">
        <v>1.17</v>
      </c>
      <c r="K189" s="156" t="n">
        <v>1.17</v>
      </c>
      <c r="L189" s="156" t="n">
        <v>1.17</v>
      </c>
      <c r="M189" s="156" t="n">
        <v>1.1633</v>
      </c>
      <c r="N189" s="156" t="n">
        <v>1.1375</v>
      </c>
      <c r="O189" s="156" t="n">
        <v>1.13</v>
      </c>
      <c r="P189" s="156" t="n">
        <v>1.13</v>
      </c>
      <c r="Q189" s="156" t="n">
        <v>1.13</v>
      </c>
      <c r="R189" s="156" t="n">
        <v>1.13</v>
      </c>
      <c r="S189" s="156" t="n">
        <v>1.13</v>
      </c>
      <c r="T189" s="156" t="n">
        <v>1.13</v>
      </c>
    </row>
    <row r="190">
      <c r="A190" s="77" t="inlineStr">
        <is>
          <t>CN</t>
        </is>
      </c>
      <c r="B190" s="77" t="inlineStr">
        <is>
          <t>large</t>
        </is>
      </c>
      <c r="C190" s="77" t="inlineStr">
        <is>
          <t>E1=E2</t>
        </is>
      </c>
      <c r="D190" s="77" t="inlineStr">
        <is>
          <t>MEMO Q84 — CN large de-VATed (basket ÷ divisor; UK/DE-comparable ex-VAT basis)</t>
        </is>
      </c>
      <c r="E190" s="157">
        <f>IF(ISNUMBER(E101),E101/E189,"")</f>
        <v/>
      </c>
      <c r="F190" s="157">
        <f>IF(ISNUMBER(F101),F101/F189,"")</f>
        <v/>
      </c>
      <c r="G190" s="157">
        <f>IF(ISNUMBER(G101),G101/G189,"")</f>
        <v/>
      </c>
      <c r="H190" s="157">
        <f>IF(ISNUMBER(H101),H101/H189,"")</f>
        <v/>
      </c>
      <c r="I190" s="157">
        <f>IF(ISNUMBER(I101),I101/I189,"")</f>
        <v/>
      </c>
      <c r="J190" s="157">
        <f>IF(ISNUMBER(J101),J101/J189,"")</f>
        <v/>
      </c>
      <c r="K190" s="157">
        <f>IF(ISNUMBER(K101),K101/K189,"")</f>
        <v/>
      </c>
      <c r="L190" s="157">
        <f>IF(ISNUMBER(L101),L101/L189,"")</f>
        <v/>
      </c>
      <c r="M190" s="157">
        <f>IF(ISNUMBER(M101),M101/M189,"")</f>
        <v/>
      </c>
      <c r="N190" s="157">
        <f>IF(ISNUMBER(N101),N101/N189,"")</f>
        <v/>
      </c>
      <c r="O190" s="157">
        <f>IF(ISNUMBER(O101),O101/O189,"")</f>
        <v/>
      </c>
      <c r="P190" s="157">
        <f>IF(ISNUMBER(P101),P101/P189,"")</f>
        <v/>
      </c>
      <c r="Q190" s="157">
        <f>IF(ISNUMBER(Q101),Q101/Q189,"")</f>
        <v/>
      </c>
      <c r="R190" s="157">
        <f>IF(ISNUMBER(R101),R101/R189,"")</f>
        <v/>
      </c>
      <c r="S190" s="157">
        <f>IF(ISNUMBER(S101),S101/S189,"")</f>
        <v/>
      </c>
      <c r="T190" s="157">
        <f>IF(ISNUMBER(T101),T101/T189,"")</f>
        <v/>
      </c>
    </row>
    <row r="191">
      <c r="A191" s="77" t="inlineStr">
        <is>
          <t>CN</t>
        </is>
      </c>
      <c r="B191" s="77" t="inlineStr">
        <is>
          <t>medium</t>
        </is>
      </c>
      <c r="C191" s="77" t="inlineStr">
        <is>
          <t>E1=E2</t>
        </is>
      </c>
      <c r="D191" s="77" t="inlineStr">
        <is>
          <t>MEMO Q84 — CN medium de-VATed (basket ÷ divisor)</t>
        </is>
      </c>
      <c r="E191" s="157">
        <f>IF(ISNUMBER(E113),E113/E189,"")</f>
        <v/>
      </c>
      <c r="F191" s="157">
        <f>IF(ISNUMBER(F113),F113/F189,"")</f>
        <v/>
      </c>
      <c r="G191" s="157">
        <f>IF(ISNUMBER(G113),G113/G189,"")</f>
        <v/>
      </c>
      <c r="H191" s="157">
        <f>IF(ISNUMBER(H113),H113/H189,"")</f>
        <v/>
      </c>
      <c r="I191" s="157">
        <f>IF(ISNUMBER(I113),I113/I189,"")</f>
        <v/>
      </c>
      <c r="J191" s="157">
        <f>IF(ISNUMBER(J113),J113/J189,"")</f>
        <v/>
      </c>
      <c r="K191" s="157">
        <f>IF(ISNUMBER(K113),K113/K189,"")</f>
        <v/>
      </c>
      <c r="L191" s="157">
        <f>IF(ISNUMBER(L113),L113/L189,"")</f>
        <v/>
      </c>
      <c r="M191" s="157">
        <f>IF(ISNUMBER(M113),M113/M189,"")</f>
        <v/>
      </c>
      <c r="N191" s="157">
        <f>IF(ISNUMBER(N113),N113/N189,"")</f>
        <v/>
      </c>
      <c r="O191" s="157">
        <f>IF(ISNUMBER(O113),O113/O189,"")</f>
        <v/>
      </c>
      <c r="P191" s="157">
        <f>IF(ISNUMBER(P113),P113/P189,"")</f>
        <v/>
      </c>
      <c r="Q191" s="157">
        <f>IF(ISNUMBER(Q113),Q113/Q189,"")</f>
        <v/>
      </c>
      <c r="R191" s="157">
        <f>IF(ISNUMBER(R113),R113/R189,"")</f>
        <v/>
      </c>
      <c r="S191" s="157">
        <f>IF(ISNUMBER(S113),S113/S189,"")</f>
        <v/>
      </c>
      <c r="T191" s="157">
        <f>IF(ISNUMBER(T113),T113/T189,"")</f>
        <v/>
      </c>
    </row>
    <row r="192">
      <c r="A192" s="77" t="inlineStr">
        <is>
          <t>DE</t>
        </is>
      </c>
      <c r="B192" s="77" t="inlineStr">
        <is>
          <t>large</t>
        </is>
      </c>
      <c r="C192" s="77" t="inlineStr">
        <is>
          <t>E2 memo</t>
        </is>
      </c>
      <c r="D192" s="77" t="inlineStr">
        <is>
          <t>MEMO Q85 — DE large E2 with EnFG BesAR 15% cap on KWKG+Offshore-Umlage (list-1, &gt;1 GWh; first-GWh full rate negligible at 500 GWh; EnFG regime 2023+; estimated=Y; S179)</t>
        </is>
      </c>
      <c r="R192" s="157">
        <f>R66-0.85*9.48*fx_deflator!$J$18*fx_deflator!$M$18</f>
        <v/>
      </c>
      <c r="S192" s="157">
        <f>S66-0.85*9.31*fx_deflator!$J$19*fx_deflator!$M$19</f>
        <v/>
      </c>
      <c r="T192" s="157">
        <f>T66-0.85*10.93*fx_deflator!$J$20*fx_deflator!$M$20</f>
        <v/>
      </c>
    </row>
    <row r="193">
      <c r="A193" s="77" t="inlineStr">
        <is>
          <t>DE</t>
        </is>
      </c>
      <c r="B193" s="77" t="inlineStr">
        <is>
          <t>medium</t>
        </is>
      </c>
      <c r="C193" s="77" t="inlineStr">
        <is>
          <t>E2 memo</t>
        </is>
      </c>
      <c r="D193" s="77" t="inlineStr">
        <is>
          <t>MEMO Q85 — DE medium E2, same 15%-cap variant (umlagen identical per MWh; estimated=Y)</t>
        </is>
      </c>
      <c r="R193" s="157">
        <f>R88-0.85*9.48*fx_deflator!$J$18*fx_deflator!$M$18</f>
        <v/>
      </c>
      <c r="S193" s="157">
        <f>S88-0.85*9.31*fx_deflator!$J$19*fx_deflator!$M$19</f>
        <v/>
      </c>
      <c r="T193" s="157">
        <f>T88-0.85*10.93*fx_deflator!$J$20*fx_deflator!$M$20</f>
        <v/>
      </c>
    </row>
    <row r="195">
      <c r="A195" s="77" t="inlineStr">
        <is>
          <t>SECTION R — D66 FOUR-BUCKET PRESENTATION RECUT (re-applied 2026-07-24 after Excel-save revert; see D66/Q88). Additive presentation layer over the 5-bucket engine (rows 5–115) — engine UNCHANGED. Buckets: (i) Wholesale = engine b1; (ii) Network incl system services &amp; balancing = b3+b4; (iii) Levies &amp; taxes incl levy-routed gen-capital recovery = b2+b5; (iv) Supply wedge (obs − modelled E1; retail costs, margin, hedging timing, band mix — relabelled from "Supplier margin" per Q88; same under E1/E2; UK/DE only, CN n/a). Rows gated on each block's REFERENCE row (blank-not-zero). RECON rows are NUMERIC (four-bucket total − engine total; must be 0). D67/D68 (2026-07-24): wedge is PER-CASE — each block's wedge = observed − that block's stack, so stack + wedge ≈ observed in EVERY view. Interpretation varies by population match: UK E1 and DE E2 are the headline views (UK QEP band unrelieved-dominated; DE Eurostat band relieved-dominated); the opposite views carry the relief premium/deficit. UK basis CCL-consistent; DE raw (Eurostat X_VAT).</t>
        </is>
      </c>
    </row>
    <row r="196">
      <c r="A196" s="77" t="inlineStr">
        <is>
          <t>UK</t>
        </is>
      </c>
      <c r="B196" s="77" t="inlineStr">
        <is>
          <t>large</t>
        </is>
      </c>
      <c r="C196" s="77" t="inlineStr">
        <is>
          <t>E1</t>
        </is>
      </c>
      <c r="D196" s="77" t="inlineStr">
        <is>
          <t>R leg header — four buckets (D66)</t>
        </is>
      </c>
    </row>
    <row r="197">
      <c r="A197" s="77" t="inlineStr">
        <is>
          <t>UK</t>
        </is>
      </c>
      <c r="B197" s="77" t="inlineStr">
        <is>
          <t>large</t>
        </is>
      </c>
      <c r="C197" s="77" t="inlineStr">
        <is>
          <t>E1</t>
        </is>
      </c>
      <c r="D197" s="77" t="inlineStr">
        <is>
          <t>R (i) Wholesale [= b1]</t>
        </is>
      </c>
      <c r="E197" s="77">
        <f>IF(ISNUMBER(E12),E6,"")</f>
        <v/>
      </c>
      <c r="F197" s="77">
        <f>IF(ISNUMBER(F12),F6,"")</f>
        <v/>
      </c>
      <c r="G197" s="77">
        <f>IF(ISNUMBER(G12),G6,"")</f>
        <v/>
      </c>
      <c r="H197" s="77">
        <f>IF(ISNUMBER(H12),H6,"")</f>
        <v/>
      </c>
      <c r="I197" s="77">
        <f>IF(ISNUMBER(I12),I6,"")</f>
        <v/>
      </c>
      <c r="J197" s="77">
        <f>IF(ISNUMBER(J12),J6,"")</f>
        <v/>
      </c>
      <c r="K197" s="77">
        <f>IF(ISNUMBER(K12),K6,"")</f>
        <v/>
      </c>
      <c r="L197" s="77">
        <f>IF(ISNUMBER(L12),L6,"")</f>
        <v/>
      </c>
      <c r="M197" s="77">
        <f>IF(ISNUMBER(M12),M6,"")</f>
        <v/>
      </c>
      <c r="N197" s="77">
        <f>IF(ISNUMBER(N12),N6,"")</f>
        <v/>
      </c>
      <c r="O197" s="77">
        <f>IF(ISNUMBER(O12),O6,"")</f>
        <v/>
      </c>
      <c r="P197" s="77">
        <f>IF(ISNUMBER(P12),P6,"")</f>
        <v/>
      </c>
      <c r="Q197" s="77">
        <f>IF(ISNUMBER(Q12),Q6,"")</f>
        <v/>
      </c>
      <c r="R197" s="77">
        <f>IF(ISNUMBER(R12),R6,"")</f>
        <v/>
      </c>
      <c r="S197" s="77">
        <f>IF(ISNUMBER(S12),S6,"")</f>
        <v/>
      </c>
      <c r="T197" s="77">
        <f>IF(ISNUMBER(T12),T6,"")</f>
        <v/>
      </c>
    </row>
    <row r="198">
      <c r="A198" s="77" t="inlineStr">
        <is>
          <t>UK</t>
        </is>
      </c>
      <c r="B198" s="77" t="inlineStr">
        <is>
          <t>large</t>
        </is>
      </c>
      <c r="C198" s="77" t="inlineStr">
        <is>
          <t>E1</t>
        </is>
      </c>
      <c r="D198" s="77" t="inlineStr">
        <is>
          <t>R (ii) Network incl system services &amp; balancing [= b3+b4]</t>
        </is>
      </c>
      <c r="E198" s="77">
        <f>IF(ISNUMBER(E12),E8+E9,"")</f>
        <v/>
      </c>
      <c r="F198" s="77">
        <f>IF(ISNUMBER(F12),F8+F9,"")</f>
        <v/>
      </c>
      <c r="G198" s="77">
        <f>IF(ISNUMBER(G12),G8+G9,"")</f>
        <v/>
      </c>
      <c r="H198" s="77">
        <f>IF(ISNUMBER(H12),H8+H9,"")</f>
        <v/>
      </c>
      <c r="I198" s="77">
        <f>IF(ISNUMBER(I12),I8+I9,"")</f>
        <v/>
      </c>
      <c r="J198" s="77">
        <f>IF(ISNUMBER(J12),J8+J9,"")</f>
        <v/>
      </c>
      <c r="K198" s="77">
        <f>IF(ISNUMBER(K12),K8+K9,"")</f>
        <v/>
      </c>
      <c r="L198" s="77">
        <f>IF(ISNUMBER(L12),L8+L9,"")</f>
        <v/>
      </c>
      <c r="M198" s="77">
        <f>IF(ISNUMBER(M12),M8+M9,"")</f>
        <v/>
      </c>
      <c r="N198" s="77">
        <f>IF(ISNUMBER(N12),N8+N9,"")</f>
        <v/>
      </c>
      <c r="O198" s="77">
        <f>IF(ISNUMBER(O12),O8+O9,"")</f>
        <v/>
      </c>
      <c r="P198" s="77">
        <f>IF(ISNUMBER(P12),P8+P9,"")</f>
        <v/>
      </c>
      <c r="Q198" s="77">
        <f>IF(ISNUMBER(Q12),Q8+Q9,"")</f>
        <v/>
      </c>
      <c r="R198" s="77">
        <f>IF(ISNUMBER(R12),R8+R9,"")</f>
        <v/>
      </c>
      <c r="S198" s="77">
        <f>IF(ISNUMBER(S12),S8+S9,"")</f>
        <v/>
      </c>
      <c r="T198" s="77">
        <f>IF(ISNUMBER(T12),T8+T9,"")</f>
        <v/>
      </c>
    </row>
    <row r="199">
      <c r="A199" s="77" t="inlineStr">
        <is>
          <t>UK</t>
        </is>
      </c>
      <c r="B199" s="77" t="inlineStr">
        <is>
          <t>large</t>
        </is>
      </c>
      <c r="C199" s="77" t="inlineStr">
        <is>
          <t>E1</t>
        </is>
      </c>
      <c r="D199" s="77" t="inlineStr">
        <is>
          <t>R (iii) Levies &amp; taxes incl gen-capital recovery [= b2+b5]</t>
        </is>
      </c>
      <c r="E199" s="77">
        <f>IF(ISNUMBER(E12),E7+E10,"")</f>
        <v/>
      </c>
      <c r="F199" s="77">
        <f>IF(ISNUMBER(F12),F7+F10,"")</f>
        <v/>
      </c>
      <c r="G199" s="77">
        <f>IF(ISNUMBER(G12),G7+G10,"")</f>
        <v/>
      </c>
      <c r="H199" s="77">
        <f>IF(ISNUMBER(H12),H7+H10,"")</f>
        <v/>
      </c>
      <c r="I199" s="77">
        <f>IF(ISNUMBER(I12),I7+I10,"")</f>
        <v/>
      </c>
      <c r="J199" s="77">
        <f>IF(ISNUMBER(J12),J7+J10,"")</f>
        <v/>
      </c>
      <c r="K199" s="77">
        <f>IF(ISNUMBER(K12),K7+K10,"")</f>
        <v/>
      </c>
      <c r="L199" s="77">
        <f>IF(ISNUMBER(L12),L7+L10,"")</f>
        <v/>
      </c>
      <c r="M199" s="77">
        <f>IF(ISNUMBER(M12),M7+M10,"")</f>
        <v/>
      </c>
      <c r="N199" s="77">
        <f>IF(ISNUMBER(N12),N7+N10,"")</f>
        <v/>
      </c>
      <c r="O199" s="77">
        <f>IF(ISNUMBER(O12),O7+O10,"")</f>
        <v/>
      </c>
      <c r="P199" s="77">
        <f>IF(ISNUMBER(P12),P7+P10,"")</f>
        <v/>
      </c>
      <c r="Q199" s="77">
        <f>IF(ISNUMBER(Q12),Q7+Q10,"")</f>
        <v/>
      </c>
      <c r="R199" s="77">
        <f>IF(ISNUMBER(R12),R7+R10,"")</f>
        <v/>
      </c>
      <c r="S199" s="77">
        <f>IF(ISNUMBER(S12),S7+S10,"")</f>
        <v/>
      </c>
      <c r="T199" s="77">
        <f>IF(ISNUMBER(T12),T7+T10,"")</f>
        <v/>
      </c>
    </row>
    <row r="200">
      <c r="A200" s="77" t="inlineStr">
        <is>
          <t>UK</t>
        </is>
      </c>
      <c r="B200" s="77" t="inlineStr">
        <is>
          <t>large</t>
        </is>
      </c>
      <c r="C200" s="77" t="inlineStr">
        <is>
          <t>E1</t>
        </is>
      </c>
      <c r="D200" s="77" t="inlineStr">
        <is>
          <t>R TOTAL (i)+(ii)+(iii) [= engine total]</t>
        </is>
      </c>
      <c r="E200" s="77">
        <f>IF(ISNUMBER(E12),SUM(E197:E199),"")</f>
        <v/>
      </c>
      <c r="F200" s="77">
        <f>IF(ISNUMBER(F12),SUM(F197:F199),"")</f>
        <v/>
      </c>
      <c r="G200" s="77">
        <f>IF(ISNUMBER(G12),SUM(G197:G199),"")</f>
        <v/>
      </c>
      <c r="H200" s="77">
        <f>IF(ISNUMBER(H12),SUM(H197:H199),"")</f>
        <v/>
      </c>
      <c r="I200" s="77">
        <f>IF(ISNUMBER(I12),SUM(I197:I199),"")</f>
        <v/>
      </c>
      <c r="J200" s="77">
        <f>IF(ISNUMBER(J12),SUM(J197:J199),"")</f>
        <v/>
      </c>
      <c r="K200" s="77">
        <f>IF(ISNUMBER(K12),SUM(K197:K199),"")</f>
        <v/>
      </c>
      <c r="L200" s="77">
        <f>IF(ISNUMBER(L12),SUM(L197:L199),"")</f>
        <v/>
      </c>
      <c r="M200" s="77">
        <f>IF(ISNUMBER(M12),SUM(M197:M199),"")</f>
        <v/>
      </c>
      <c r="N200" s="77">
        <f>IF(ISNUMBER(N12),SUM(N197:N199),"")</f>
        <v/>
      </c>
      <c r="O200" s="77">
        <f>IF(ISNUMBER(O12),SUM(O197:O199),"")</f>
        <v/>
      </c>
      <c r="P200" s="77">
        <f>IF(ISNUMBER(P12),SUM(P197:P199),"")</f>
        <v/>
      </c>
      <c r="Q200" s="77">
        <f>IF(ISNUMBER(Q12),SUM(Q197:Q199),"")</f>
        <v/>
      </c>
      <c r="R200" s="77">
        <f>IF(ISNUMBER(R12),SUM(R197:R199),"")</f>
        <v/>
      </c>
      <c r="S200" s="77">
        <f>IF(ISNUMBER(S12),SUM(S197:S199),"")</f>
        <v/>
      </c>
      <c r="T200" s="77">
        <f>IF(ISNUMBER(T12),SUM(T197:T199),"")</f>
        <v/>
      </c>
    </row>
    <row r="201">
      <c r="A201" s="77" t="inlineStr">
        <is>
          <t>UK</t>
        </is>
      </c>
      <c r="B201" s="77" t="inlineStr">
        <is>
          <t>large</t>
        </is>
      </c>
      <c r="C201" s="77" t="inlineStr">
        <is>
          <t>E1</t>
        </is>
      </c>
      <c r="D201" s="77" t="inlineStr">
        <is>
          <t>R (iv) Wedge to observed = obs − E1 stack (D68 per-case; CCL-consistent). Population-matched headline view: ≈ retail costs + margin + band mix (CSS split, Q88).</t>
        </is>
      </c>
      <c r="E201" s="77">
        <f>IF(OR(NOT(ISNUMBER(E12)),E121=0),"",E121)</f>
        <v/>
      </c>
      <c r="F201" s="77">
        <f>IF(OR(NOT(ISNUMBER(F12)),F121=0),"",F121)</f>
        <v/>
      </c>
      <c r="G201" s="77">
        <f>IF(OR(NOT(ISNUMBER(G12)),G121=0),"",G121)</f>
        <v/>
      </c>
      <c r="H201" s="77">
        <f>IF(OR(NOT(ISNUMBER(H12)),H121=0),"",H121)</f>
        <v/>
      </c>
      <c r="I201" s="77">
        <f>IF(OR(NOT(ISNUMBER(I12)),I121=0),"",I121)</f>
        <v/>
      </c>
      <c r="J201" s="77">
        <f>IF(OR(NOT(ISNUMBER(J12)),J121=0),"",J121)</f>
        <v/>
      </c>
      <c r="K201" s="77">
        <f>IF(OR(NOT(ISNUMBER(K12)),K121=0),"",K121)</f>
        <v/>
      </c>
      <c r="L201" s="77">
        <f>IF(OR(NOT(ISNUMBER(L12)),L121=0),"",L121)</f>
        <v/>
      </c>
      <c r="M201" s="77">
        <f>IF(OR(NOT(ISNUMBER(M12)),M121=0),"",M121)</f>
        <v/>
      </c>
      <c r="N201" s="77">
        <f>IF(OR(NOT(ISNUMBER(N12)),N121=0),"",N121)</f>
        <v/>
      </c>
      <c r="O201" s="77">
        <f>IF(OR(NOT(ISNUMBER(O12)),O121=0),"",O121)</f>
        <v/>
      </c>
      <c r="P201" s="77">
        <f>IF(OR(NOT(ISNUMBER(P12)),P121=0),"",P121)</f>
        <v/>
      </c>
      <c r="Q201" s="77">
        <f>IF(OR(NOT(ISNUMBER(Q12)),Q121=0),"",Q121)</f>
        <v/>
      </c>
      <c r="R201" s="77">
        <f>IF(OR(NOT(ISNUMBER(R12)),R121=0),"",R121)</f>
        <v/>
      </c>
      <c r="S201" s="77">
        <f>IF(OR(NOT(ISNUMBER(S12)),S121=0),"",S121)</f>
        <v/>
      </c>
      <c r="T201" s="77">
        <f>IF(OR(NOT(ISNUMBER(T12)),T121=0),"",T121)</f>
        <v/>
      </c>
    </row>
    <row r="202">
      <c r="A202" s="77" t="inlineStr">
        <is>
          <t>UK</t>
        </is>
      </c>
      <c r="B202" s="77" t="inlineStr">
        <is>
          <t>large</t>
        </is>
      </c>
      <c r="C202" s="77" t="inlineStr">
        <is>
          <t>E1</t>
        </is>
      </c>
      <c r="D202" s="77" t="inlineStr">
        <is>
          <t>R RECON (numeric): four-bucket total − engine total</t>
        </is>
      </c>
      <c r="E202" s="77">
        <f>IF(AND(ISNUMBER(E200),ISNUMBER(E11)),ROUND(E200-E11,6),"")</f>
        <v/>
      </c>
      <c r="F202" s="77">
        <f>IF(AND(ISNUMBER(F200),ISNUMBER(F11)),ROUND(F200-F11,6),"")</f>
        <v/>
      </c>
      <c r="G202" s="77">
        <f>IF(AND(ISNUMBER(G200),ISNUMBER(G11)),ROUND(G200-G11,6),"")</f>
        <v/>
      </c>
      <c r="H202" s="77">
        <f>IF(AND(ISNUMBER(H200),ISNUMBER(H11)),ROUND(H200-H11,6),"")</f>
        <v/>
      </c>
      <c r="I202" s="77">
        <f>IF(AND(ISNUMBER(I200),ISNUMBER(I11)),ROUND(I200-I11,6),"")</f>
        <v/>
      </c>
      <c r="J202" s="77">
        <f>IF(AND(ISNUMBER(J200),ISNUMBER(J11)),ROUND(J200-J11,6),"")</f>
        <v/>
      </c>
      <c r="K202" s="77">
        <f>IF(AND(ISNUMBER(K200),ISNUMBER(K11)),ROUND(K200-K11,6),"")</f>
        <v/>
      </c>
      <c r="L202" s="77">
        <f>IF(AND(ISNUMBER(L200),ISNUMBER(L11)),ROUND(L200-L11,6),"")</f>
        <v/>
      </c>
      <c r="M202" s="77">
        <f>IF(AND(ISNUMBER(M200),ISNUMBER(M11)),ROUND(M200-M11,6),"")</f>
        <v/>
      </c>
      <c r="N202" s="77">
        <f>IF(AND(ISNUMBER(N200),ISNUMBER(N11)),ROUND(N200-N11,6),"")</f>
        <v/>
      </c>
      <c r="O202" s="77">
        <f>IF(AND(ISNUMBER(O200),ISNUMBER(O11)),ROUND(O200-O11,6),"")</f>
        <v/>
      </c>
      <c r="P202" s="77">
        <f>IF(AND(ISNUMBER(P200),ISNUMBER(P11)),ROUND(P200-P11,6),"")</f>
        <v/>
      </c>
      <c r="Q202" s="77">
        <f>IF(AND(ISNUMBER(Q200),ISNUMBER(Q11)),ROUND(Q200-Q11,6),"")</f>
        <v/>
      </c>
      <c r="R202" s="77">
        <f>IF(AND(ISNUMBER(R200),ISNUMBER(R11)),ROUND(R200-R11,6),"")</f>
        <v/>
      </c>
      <c r="S202" s="77">
        <f>IF(AND(ISNUMBER(S200),ISNUMBER(S11)),ROUND(S200-S11,6),"")</f>
        <v/>
      </c>
      <c r="T202" s="77">
        <f>IF(AND(ISNUMBER(T200),ISNUMBER(T11)),ROUND(T200-T11,6),"")</f>
        <v/>
      </c>
    </row>
    <row r="203">
      <c r="A203" s="77" t="inlineStr">
        <is>
          <t>UK</t>
        </is>
      </c>
      <c r="B203" s="77" t="inlineStr">
        <is>
          <t>large</t>
        </is>
      </c>
      <c r="C203" s="77" t="inlineStr">
        <is>
          <t>E2</t>
        </is>
      </c>
      <c r="D203" s="77" t="inlineStr">
        <is>
          <t>R leg header — four buckets (D66)</t>
        </is>
      </c>
    </row>
    <row r="204">
      <c r="A204" s="77" t="inlineStr">
        <is>
          <t>UK</t>
        </is>
      </c>
      <c r="B204" s="77" t="inlineStr">
        <is>
          <t>large</t>
        </is>
      </c>
      <c r="C204" s="77" t="inlineStr">
        <is>
          <t>E2</t>
        </is>
      </c>
      <c r="D204" s="77" t="inlineStr">
        <is>
          <t>R (i) Wholesale [= b1]</t>
        </is>
      </c>
      <c r="E204" s="77">
        <f>IF(ISNUMBER(E23),E17,"")</f>
        <v/>
      </c>
      <c r="F204" s="77">
        <f>IF(ISNUMBER(F23),F17,"")</f>
        <v/>
      </c>
      <c r="G204" s="77">
        <f>IF(ISNUMBER(G23),G17,"")</f>
        <v/>
      </c>
      <c r="H204" s="77">
        <f>IF(ISNUMBER(H23),H17,"")</f>
        <v/>
      </c>
      <c r="I204" s="77">
        <f>IF(ISNUMBER(I23),I17,"")</f>
        <v/>
      </c>
      <c r="J204" s="77">
        <f>IF(ISNUMBER(J23),J17,"")</f>
        <v/>
      </c>
      <c r="K204" s="77">
        <f>IF(ISNUMBER(K23),K17,"")</f>
        <v/>
      </c>
      <c r="L204" s="77">
        <f>IF(ISNUMBER(L23),L17,"")</f>
        <v/>
      </c>
      <c r="M204" s="77">
        <f>IF(ISNUMBER(M23),M17,"")</f>
        <v/>
      </c>
      <c r="N204" s="77">
        <f>IF(ISNUMBER(N23),N17,"")</f>
        <v/>
      </c>
      <c r="O204" s="77">
        <f>IF(ISNUMBER(O23),O17,"")</f>
        <v/>
      </c>
      <c r="P204" s="77">
        <f>IF(ISNUMBER(P23),P17,"")</f>
        <v/>
      </c>
      <c r="Q204" s="77">
        <f>IF(ISNUMBER(Q23),Q17,"")</f>
        <v/>
      </c>
      <c r="R204" s="77">
        <f>IF(ISNUMBER(R23),R17,"")</f>
        <v/>
      </c>
      <c r="S204" s="77">
        <f>IF(ISNUMBER(S23),S17,"")</f>
        <v/>
      </c>
      <c r="T204" s="77">
        <f>IF(ISNUMBER(T23),T17,"")</f>
        <v/>
      </c>
    </row>
    <row r="205">
      <c r="A205" s="77" t="inlineStr">
        <is>
          <t>UK</t>
        </is>
      </c>
      <c r="B205" s="77" t="inlineStr">
        <is>
          <t>large</t>
        </is>
      </c>
      <c r="C205" s="77" t="inlineStr">
        <is>
          <t>E2</t>
        </is>
      </c>
      <c r="D205" s="77" t="inlineStr">
        <is>
          <t>R (ii) Network incl system services &amp; balancing [= b3+b4]</t>
        </is>
      </c>
      <c r="E205" s="77">
        <f>IF(ISNUMBER(E23),E19+E20,"")</f>
        <v/>
      </c>
      <c r="F205" s="77">
        <f>IF(ISNUMBER(F23),F19+F20,"")</f>
        <v/>
      </c>
      <c r="G205" s="77">
        <f>IF(ISNUMBER(G23),G19+G20,"")</f>
        <v/>
      </c>
      <c r="H205" s="77">
        <f>IF(ISNUMBER(H23),H19+H20,"")</f>
        <v/>
      </c>
      <c r="I205" s="77">
        <f>IF(ISNUMBER(I23),I19+I20,"")</f>
        <v/>
      </c>
      <c r="J205" s="77">
        <f>IF(ISNUMBER(J23),J19+J20,"")</f>
        <v/>
      </c>
      <c r="K205" s="77">
        <f>IF(ISNUMBER(K23),K19+K20,"")</f>
        <v/>
      </c>
      <c r="L205" s="77">
        <f>IF(ISNUMBER(L23),L19+L20,"")</f>
        <v/>
      </c>
      <c r="M205" s="77">
        <f>IF(ISNUMBER(M23),M19+M20,"")</f>
        <v/>
      </c>
      <c r="N205" s="77">
        <f>IF(ISNUMBER(N23),N19+N20,"")</f>
        <v/>
      </c>
      <c r="O205" s="77">
        <f>IF(ISNUMBER(O23),O19+O20,"")</f>
        <v/>
      </c>
      <c r="P205" s="77">
        <f>IF(ISNUMBER(P23),P19+P20,"")</f>
        <v/>
      </c>
      <c r="Q205" s="77">
        <f>IF(ISNUMBER(Q23),Q19+Q20,"")</f>
        <v/>
      </c>
      <c r="R205" s="77">
        <f>IF(ISNUMBER(R23),R19+R20,"")</f>
        <v/>
      </c>
      <c r="S205" s="77">
        <f>IF(ISNUMBER(S23),S19+S20,"")</f>
        <v/>
      </c>
      <c r="T205" s="77">
        <f>IF(ISNUMBER(T23),T19+T20,"")</f>
        <v/>
      </c>
    </row>
    <row r="206">
      <c r="A206" s="77" t="inlineStr">
        <is>
          <t>UK</t>
        </is>
      </c>
      <c r="B206" s="77" t="inlineStr">
        <is>
          <t>large</t>
        </is>
      </c>
      <c r="C206" s="77" t="inlineStr">
        <is>
          <t>E2</t>
        </is>
      </c>
      <c r="D206" s="77" t="inlineStr">
        <is>
          <t>R (iii) Levies &amp; taxes incl gen-capital recovery [= b2+b5]</t>
        </is>
      </c>
      <c r="E206" s="77">
        <f>IF(ISNUMBER(E23),E18+E21,"")</f>
        <v/>
      </c>
      <c r="F206" s="77">
        <f>IF(ISNUMBER(F23),F18+F21,"")</f>
        <v/>
      </c>
      <c r="G206" s="77">
        <f>IF(ISNUMBER(G23),G18+G21,"")</f>
        <v/>
      </c>
      <c r="H206" s="77">
        <f>IF(ISNUMBER(H23),H18+H21,"")</f>
        <v/>
      </c>
      <c r="I206" s="77">
        <f>IF(ISNUMBER(I23),I18+I21,"")</f>
        <v/>
      </c>
      <c r="J206" s="77">
        <f>IF(ISNUMBER(J23),J18+J21,"")</f>
        <v/>
      </c>
      <c r="K206" s="77">
        <f>IF(ISNUMBER(K23),K18+K21,"")</f>
        <v/>
      </c>
      <c r="L206" s="77">
        <f>IF(ISNUMBER(L23),L18+L21,"")</f>
        <v/>
      </c>
      <c r="M206" s="77">
        <f>IF(ISNUMBER(M23),M18+M21,"")</f>
        <v/>
      </c>
      <c r="N206" s="77">
        <f>IF(ISNUMBER(N23),N18+N21,"")</f>
        <v/>
      </c>
      <c r="O206" s="77">
        <f>IF(ISNUMBER(O23),O18+O21,"")</f>
        <v/>
      </c>
      <c r="P206" s="77">
        <f>IF(ISNUMBER(P23),P18+P21,"")</f>
        <v/>
      </c>
      <c r="Q206" s="77">
        <f>IF(ISNUMBER(Q23),Q18+Q21,"")</f>
        <v/>
      </c>
      <c r="R206" s="77">
        <f>IF(ISNUMBER(R23),R18+R21,"")</f>
        <v/>
      </c>
      <c r="S206" s="77">
        <f>IF(ISNUMBER(S23),S18+S21,"")</f>
        <v/>
      </c>
      <c r="T206" s="77">
        <f>IF(ISNUMBER(T23),T18+T21,"")</f>
        <v/>
      </c>
    </row>
    <row r="207">
      <c r="A207" s="77" t="inlineStr">
        <is>
          <t>UK</t>
        </is>
      </c>
      <c r="B207" s="77" t="inlineStr">
        <is>
          <t>large</t>
        </is>
      </c>
      <c r="C207" s="77" t="inlineStr">
        <is>
          <t>E2</t>
        </is>
      </c>
      <c r="D207" s="77" t="inlineStr">
        <is>
          <t>R TOTAL (i)+(ii)+(iii) [= engine total]</t>
        </is>
      </c>
      <c r="E207" s="77">
        <f>IF(ISNUMBER(E23),SUM(E204:E206),"")</f>
        <v/>
      </c>
      <c r="F207" s="77">
        <f>IF(ISNUMBER(F23),SUM(F204:F206),"")</f>
        <v/>
      </c>
      <c r="G207" s="77">
        <f>IF(ISNUMBER(G23),SUM(G204:G206),"")</f>
        <v/>
      </c>
      <c r="H207" s="77">
        <f>IF(ISNUMBER(H23),SUM(H204:H206),"")</f>
        <v/>
      </c>
      <c r="I207" s="77">
        <f>IF(ISNUMBER(I23),SUM(I204:I206),"")</f>
        <v/>
      </c>
      <c r="J207" s="77">
        <f>IF(ISNUMBER(J23),SUM(J204:J206),"")</f>
        <v/>
      </c>
      <c r="K207" s="77">
        <f>IF(ISNUMBER(K23),SUM(K204:K206),"")</f>
        <v/>
      </c>
      <c r="L207" s="77">
        <f>IF(ISNUMBER(L23),SUM(L204:L206),"")</f>
        <v/>
      </c>
      <c r="M207" s="77">
        <f>IF(ISNUMBER(M23),SUM(M204:M206),"")</f>
        <v/>
      </c>
      <c r="N207" s="77">
        <f>IF(ISNUMBER(N23),SUM(N204:N206),"")</f>
        <v/>
      </c>
      <c r="O207" s="77">
        <f>IF(ISNUMBER(O23),SUM(O204:O206),"")</f>
        <v/>
      </c>
      <c r="P207" s="77">
        <f>IF(ISNUMBER(P23),SUM(P204:P206),"")</f>
        <v/>
      </c>
      <c r="Q207" s="77">
        <f>IF(ISNUMBER(Q23),SUM(Q204:Q206),"")</f>
        <v/>
      </c>
      <c r="R207" s="77">
        <f>IF(ISNUMBER(R23),SUM(R204:R206),"")</f>
        <v/>
      </c>
      <c r="S207" s="77">
        <f>IF(ISNUMBER(S23),SUM(S204:S206),"")</f>
        <v/>
      </c>
      <c r="T207" s="77">
        <f>IF(ISNUMBER(T23),SUM(T204:T206),"")</f>
        <v/>
      </c>
    </row>
    <row r="208">
      <c r="A208" s="77" t="inlineStr">
        <is>
          <t>UK</t>
        </is>
      </c>
      <c r="B208" s="77" t="inlineStr">
        <is>
          <t>large</t>
        </is>
      </c>
      <c r="C208" s="77" t="inlineStr">
        <is>
          <t>E2</t>
        </is>
      </c>
      <c r="D208" s="77" t="inlineStr">
        <is>
          <t>R (iv) Wedge to observed = obs − E2 stack (D68 per-case; CCL-consistent: QEP obs excl CCL vs stack excl CCL). Mostly UNCLAIMED-RELIEF premium — the QEP band is unrelieved-dominated (Q88 exempt share ≈15%).</t>
        </is>
      </c>
      <c r="E208" s="77">
        <f>IF(OR(NOT(ISNUMBER(E23)),E124=0),"",E124+(E11-E22))</f>
        <v/>
      </c>
      <c r="F208" s="77">
        <f>IF(OR(NOT(ISNUMBER(F23)),F124=0),"",F124+(F11-F22))</f>
        <v/>
      </c>
      <c r="G208" s="77">
        <f>IF(OR(NOT(ISNUMBER(G23)),G124=0),"",G124+(G11-G22))</f>
        <v/>
      </c>
      <c r="H208" s="77">
        <f>IF(OR(NOT(ISNUMBER(H23)),H124=0),"",H124+(H11-H22))</f>
        <v/>
      </c>
      <c r="I208" s="77">
        <f>IF(OR(NOT(ISNUMBER(I23)),I124=0),"",I124+(I11-I22))</f>
        <v/>
      </c>
      <c r="J208" s="77">
        <f>IF(OR(NOT(ISNUMBER(J23)),J124=0),"",J124+(J11-J22))</f>
        <v/>
      </c>
      <c r="K208" s="77">
        <f>IF(OR(NOT(ISNUMBER(K23)),K124=0),"",K124+(K11-K22))</f>
        <v/>
      </c>
      <c r="L208" s="77">
        <f>IF(OR(NOT(ISNUMBER(L23)),L124=0),"",L124+(L11-L22))</f>
        <v/>
      </c>
      <c r="M208" s="77">
        <f>IF(OR(NOT(ISNUMBER(M23)),M124=0),"",M124+(M11-M22))</f>
        <v/>
      </c>
      <c r="N208" s="77">
        <f>IF(OR(NOT(ISNUMBER(N23)),N124=0),"",N124+(N11-N22))</f>
        <v/>
      </c>
      <c r="O208" s="77">
        <f>IF(OR(NOT(ISNUMBER(O23)),O124=0),"",O124+(O11-O22))</f>
        <v/>
      </c>
      <c r="P208" s="77">
        <f>IF(OR(NOT(ISNUMBER(P23)),P124=0),"",P124+(P11-P22))</f>
        <v/>
      </c>
      <c r="Q208" s="77">
        <f>IF(OR(NOT(ISNUMBER(Q23)),Q124=0),"",Q124+(Q11-Q22))</f>
        <v/>
      </c>
      <c r="R208" s="77">
        <f>IF(OR(NOT(ISNUMBER(R23)),R124=0),"",R124+(R11-R22))</f>
        <v/>
      </c>
      <c r="S208" s="77">
        <f>IF(OR(NOT(ISNUMBER(S23)),S124=0),"",S124+(S11-S22))</f>
        <v/>
      </c>
      <c r="T208" s="77">
        <f>IF(OR(NOT(ISNUMBER(T23)),T124=0),"",T124+(T11-T22))</f>
        <v/>
      </c>
    </row>
    <row r="209">
      <c r="A209" s="77" t="inlineStr">
        <is>
          <t>UK</t>
        </is>
      </c>
      <c r="B209" s="77" t="inlineStr">
        <is>
          <t>large</t>
        </is>
      </c>
      <c r="C209" s="77" t="inlineStr">
        <is>
          <t>E2</t>
        </is>
      </c>
      <c r="D209" s="77" t="inlineStr">
        <is>
          <t>R RECON (numeric): four-bucket total − engine total</t>
        </is>
      </c>
      <c r="E209" s="77">
        <f>IF(AND(ISNUMBER(E207),ISNUMBER(E22)),ROUND(E207-E22,6),"")</f>
        <v/>
      </c>
      <c r="F209" s="77">
        <f>IF(AND(ISNUMBER(F207),ISNUMBER(F22)),ROUND(F207-F22,6),"")</f>
        <v/>
      </c>
      <c r="G209" s="77">
        <f>IF(AND(ISNUMBER(G207),ISNUMBER(G22)),ROUND(G207-G22,6),"")</f>
        <v/>
      </c>
      <c r="H209" s="77">
        <f>IF(AND(ISNUMBER(H207),ISNUMBER(H22)),ROUND(H207-H22,6),"")</f>
        <v/>
      </c>
      <c r="I209" s="77">
        <f>IF(AND(ISNUMBER(I207),ISNUMBER(I22)),ROUND(I207-I22,6),"")</f>
        <v/>
      </c>
      <c r="J209" s="77">
        <f>IF(AND(ISNUMBER(J207),ISNUMBER(J22)),ROUND(J207-J22,6),"")</f>
        <v/>
      </c>
      <c r="K209" s="77">
        <f>IF(AND(ISNUMBER(K207),ISNUMBER(K22)),ROUND(K207-K22,6),"")</f>
        <v/>
      </c>
      <c r="L209" s="77">
        <f>IF(AND(ISNUMBER(L207),ISNUMBER(L22)),ROUND(L207-L22,6),"")</f>
        <v/>
      </c>
      <c r="M209" s="77">
        <f>IF(AND(ISNUMBER(M207),ISNUMBER(M22)),ROUND(M207-M22,6),"")</f>
        <v/>
      </c>
      <c r="N209" s="77">
        <f>IF(AND(ISNUMBER(N207),ISNUMBER(N22)),ROUND(N207-N22,6),"")</f>
        <v/>
      </c>
      <c r="O209" s="77">
        <f>IF(AND(ISNUMBER(O207),ISNUMBER(O22)),ROUND(O207-O22,6),"")</f>
        <v/>
      </c>
      <c r="P209" s="77">
        <f>IF(AND(ISNUMBER(P207),ISNUMBER(P22)),ROUND(P207-P22,6),"")</f>
        <v/>
      </c>
      <c r="Q209" s="77">
        <f>IF(AND(ISNUMBER(Q207),ISNUMBER(Q22)),ROUND(Q207-Q22,6),"")</f>
        <v/>
      </c>
      <c r="R209" s="77">
        <f>IF(AND(ISNUMBER(R207),ISNUMBER(R22)),ROUND(R207-R22,6),"")</f>
        <v/>
      </c>
      <c r="S209" s="77">
        <f>IF(AND(ISNUMBER(S207),ISNUMBER(S22)),ROUND(S207-S22,6),"")</f>
        <v/>
      </c>
      <c r="T209" s="77">
        <f>IF(AND(ISNUMBER(T207),ISNUMBER(T22)),ROUND(T207-T22,6),"")</f>
        <v/>
      </c>
    </row>
    <row r="210">
      <c r="A210" s="77" t="inlineStr">
        <is>
          <t>UK</t>
        </is>
      </c>
      <c r="B210" s="77" t="inlineStr">
        <is>
          <t>medium</t>
        </is>
      </c>
      <c r="C210" s="77" t="inlineStr">
        <is>
          <t>E1</t>
        </is>
      </c>
      <c r="D210" s="77" t="inlineStr">
        <is>
          <t>R leg header — four buckets (D66)</t>
        </is>
      </c>
    </row>
    <row r="211">
      <c r="A211" s="77" t="inlineStr">
        <is>
          <t>UK</t>
        </is>
      </c>
      <c r="B211" s="77" t="inlineStr">
        <is>
          <t>medium</t>
        </is>
      </c>
      <c r="C211" s="77" t="inlineStr">
        <is>
          <t>E1</t>
        </is>
      </c>
      <c r="D211" s="77" t="inlineStr">
        <is>
          <t>R (i) Wholesale [= b1]</t>
        </is>
      </c>
      <c r="E211" s="77">
        <f>IF(ISNUMBER(E34),E28,"")</f>
        <v/>
      </c>
      <c r="F211" s="77">
        <f>IF(ISNUMBER(F34),F28,"")</f>
        <v/>
      </c>
      <c r="G211" s="77">
        <f>IF(ISNUMBER(G34),G28,"")</f>
        <v/>
      </c>
      <c r="H211" s="77">
        <f>IF(ISNUMBER(H34),H28,"")</f>
        <v/>
      </c>
      <c r="I211" s="77">
        <f>IF(ISNUMBER(I34),I28,"")</f>
        <v/>
      </c>
      <c r="J211" s="77">
        <f>IF(ISNUMBER(J34),J28,"")</f>
        <v/>
      </c>
      <c r="K211" s="77">
        <f>IF(ISNUMBER(K34),K28,"")</f>
        <v/>
      </c>
      <c r="L211" s="77">
        <f>IF(ISNUMBER(L34),L28,"")</f>
        <v/>
      </c>
      <c r="M211" s="77">
        <f>IF(ISNUMBER(M34),M28,"")</f>
        <v/>
      </c>
      <c r="N211" s="77">
        <f>IF(ISNUMBER(N34),N28,"")</f>
        <v/>
      </c>
      <c r="O211" s="77">
        <f>IF(ISNUMBER(O34),O28,"")</f>
        <v/>
      </c>
      <c r="P211" s="77">
        <f>IF(ISNUMBER(P34),P28,"")</f>
        <v/>
      </c>
      <c r="Q211" s="77">
        <f>IF(ISNUMBER(Q34),Q28,"")</f>
        <v/>
      </c>
      <c r="R211" s="77">
        <f>IF(ISNUMBER(R34),R28,"")</f>
        <v/>
      </c>
      <c r="S211" s="77">
        <f>IF(ISNUMBER(S34),S28,"")</f>
        <v/>
      </c>
      <c r="T211" s="77">
        <f>IF(ISNUMBER(T34),T28,"")</f>
        <v/>
      </c>
    </row>
    <row r="212">
      <c r="A212" s="77" t="inlineStr">
        <is>
          <t>UK</t>
        </is>
      </c>
      <c r="B212" s="77" t="inlineStr">
        <is>
          <t>medium</t>
        </is>
      </c>
      <c r="C212" s="77" t="inlineStr">
        <is>
          <t>E1</t>
        </is>
      </c>
      <c r="D212" s="77" t="inlineStr">
        <is>
          <t>R (ii) Network incl system services &amp; balancing [= b3+b4]</t>
        </is>
      </c>
      <c r="E212" s="77">
        <f>IF(ISNUMBER(E34),E30+E31,"")</f>
        <v/>
      </c>
      <c r="F212" s="77">
        <f>IF(ISNUMBER(F34),F30+F31,"")</f>
        <v/>
      </c>
      <c r="G212" s="77">
        <f>IF(ISNUMBER(G34),G30+G31,"")</f>
        <v/>
      </c>
      <c r="H212" s="77">
        <f>IF(ISNUMBER(H34),H30+H31,"")</f>
        <v/>
      </c>
      <c r="I212" s="77">
        <f>IF(ISNUMBER(I34),I30+I31,"")</f>
        <v/>
      </c>
      <c r="J212" s="77">
        <f>IF(ISNUMBER(J34),J30+J31,"")</f>
        <v/>
      </c>
      <c r="K212" s="77">
        <f>IF(ISNUMBER(K34),K30+K31,"")</f>
        <v/>
      </c>
      <c r="L212" s="77">
        <f>IF(ISNUMBER(L34),L30+L31,"")</f>
        <v/>
      </c>
      <c r="M212" s="77">
        <f>IF(ISNUMBER(M34),M30+M31,"")</f>
        <v/>
      </c>
      <c r="N212" s="77">
        <f>IF(ISNUMBER(N34),N30+N31,"")</f>
        <v/>
      </c>
      <c r="O212" s="77">
        <f>IF(ISNUMBER(O34),O30+O31,"")</f>
        <v/>
      </c>
      <c r="P212" s="77">
        <f>IF(ISNUMBER(P34),P30+P31,"")</f>
        <v/>
      </c>
      <c r="Q212" s="77">
        <f>IF(ISNUMBER(Q34),Q30+Q31,"")</f>
        <v/>
      </c>
      <c r="R212" s="77">
        <f>IF(ISNUMBER(R34),R30+R31,"")</f>
        <v/>
      </c>
      <c r="S212" s="77">
        <f>IF(ISNUMBER(S34),S30+S31,"")</f>
        <v/>
      </c>
      <c r="T212" s="77">
        <f>IF(ISNUMBER(T34),T30+T31,"")</f>
        <v/>
      </c>
    </row>
    <row r="213">
      <c r="A213" s="77" t="inlineStr">
        <is>
          <t>UK</t>
        </is>
      </c>
      <c r="B213" s="77" t="inlineStr">
        <is>
          <t>medium</t>
        </is>
      </c>
      <c r="C213" s="77" t="inlineStr">
        <is>
          <t>E1</t>
        </is>
      </c>
      <c r="D213" s="77" t="inlineStr">
        <is>
          <t>R (iii) Levies &amp; taxes incl gen-capital recovery [= b2+b5]</t>
        </is>
      </c>
      <c r="E213" s="77">
        <f>IF(ISNUMBER(E34),E29+E32,"")</f>
        <v/>
      </c>
      <c r="F213" s="77">
        <f>IF(ISNUMBER(F34),F29+F32,"")</f>
        <v/>
      </c>
      <c r="G213" s="77">
        <f>IF(ISNUMBER(G34),G29+G32,"")</f>
        <v/>
      </c>
      <c r="H213" s="77">
        <f>IF(ISNUMBER(H34),H29+H32,"")</f>
        <v/>
      </c>
      <c r="I213" s="77">
        <f>IF(ISNUMBER(I34),I29+I32,"")</f>
        <v/>
      </c>
      <c r="J213" s="77">
        <f>IF(ISNUMBER(J34),J29+J32,"")</f>
        <v/>
      </c>
      <c r="K213" s="77">
        <f>IF(ISNUMBER(K34),K29+K32,"")</f>
        <v/>
      </c>
      <c r="L213" s="77">
        <f>IF(ISNUMBER(L34),L29+L32,"")</f>
        <v/>
      </c>
      <c r="M213" s="77">
        <f>IF(ISNUMBER(M34),M29+M32,"")</f>
        <v/>
      </c>
      <c r="N213" s="77">
        <f>IF(ISNUMBER(N34),N29+N32,"")</f>
        <v/>
      </c>
      <c r="O213" s="77">
        <f>IF(ISNUMBER(O34),O29+O32,"")</f>
        <v/>
      </c>
      <c r="P213" s="77">
        <f>IF(ISNUMBER(P34),P29+P32,"")</f>
        <v/>
      </c>
      <c r="Q213" s="77">
        <f>IF(ISNUMBER(Q34),Q29+Q32,"")</f>
        <v/>
      </c>
      <c r="R213" s="77">
        <f>IF(ISNUMBER(R34),R29+R32,"")</f>
        <v/>
      </c>
      <c r="S213" s="77">
        <f>IF(ISNUMBER(S34),S29+S32,"")</f>
        <v/>
      </c>
      <c r="T213" s="77">
        <f>IF(ISNUMBER(T34),T29+T32,"")</f>
        <v/>
      </c>
    </row>
    <row r="214">
      <c r="A214" s="77" t="inlineStr">
        <is>
          <t>UK</t>
        </is>
      </c>
      <c r="B214" s="77" t="inlineStr">
        <is>
          <t>medium</t>
        </is>
      </c>
      <c r="C214" s="77" t="inlineStr">
        <is>
          <t>E1</t>
        </is>
      </c>
      <c r="D214" s="77" t="inlineStr">
        <is>
          <t>R TOTAL (i)+(ii)+(iii) [= engine total]</t>
        </is>
      </c>
      <c r="E214" s="77">
        <f>IF(ISNUMBER(E34),SUM(E211:E213),"")</f>
        <v/>
      </c>
      <c r="F214" s="77">
        <f>IF(ISNUMBER(F34),SUM(F211:F213),"")</f>
        <v/>
      </c>
      <c r="G214" s="77">
        <f>IF(ISNUMBER(G34),SUM(G211:G213),"")</f>
        <v/>
      </c>
      <c r="H214" s="77">
        <f>IF(ISNUMBER(H34),SUM(H211:H213),"")</f>
        <v/>
      </c>
      <c r="I214" s="77">
        <f>IF(ISNUMBER(I34),SUM(I211:I213),"")</f>
        <v/>
      </c>
      <c r="J214" s="77">
        <f>IF(ISNUMBER(J34),SUM(J211:J213),"")</f>
        <v/>
      </c>
      <c r="K214" s="77">
        <f>IF(ISNUMBER(K34),SUM(K211:K213),"")</f>
        <v/>
      </c>
      <c r="L214" s="77">
        <f>IF(ISNUMBER(L34),SUM(L211:L213),"")</f>
        <v/>
      </c>
      <c r="M214" s="77">
        <f>IF(ISNUMBER(M34),SUM(M211:M213),"")</f>
        <v/>
      </c>
      <c r="N214" s="77">
        <f>IF(ISNUMBER(N34),SUM(N211:N213),"")</f>
        <v/>
      </c>
      <c r="O214" s="77">
        <f>IF(ISNUMBER(O34),SUM(O211:O213),"")</f>
        <v/>
      </c>
      <c r="P214" s="77">
        <f>IF(ISNUMBER(P34),SUM(P211:P213),"")</f>
        <v/>
      </c>
      <c r="Q214" s="77">
        <f>IF(ISNUMBER(Q34),SUM(Q211:Q213),"")</f>
        <v/>
      </c>
      <c r="R214" s="77">
        <f>IF(ISNUMBER(R34),SUM(R211:R213),"")</f>
        <v/>
      </c>
      <c r="S214" s="77">
        <f>IF(ISNUMBER(S34),SUM(S211:S213),"")</f>
        <v/>
      </c>
      <c r="T214" s="77">
        <f>IF(ISNUMBER(T34),SUM(T211:T213),"")</f>
        <v/>
      </c>
    </row>
    <row r="215">
      <c r="A215" s="77" t="inlineStr">
        <is>
          <t>UK</t>
        </is>
      </c>
      <c r="B215" s="77" t="inlineStr">
        <is>
          <t>medium</t>
        </is>
      </c>
      <c r="C215" s="77" t="inlineStr">
        <is>
          <t>E1</t>
        </is>
      </c>
      <c r="D215" s="77" t="inlineStr">
        <is>
          <t>R (iv) Wedge to observed = obs − E1 stack (D68 per-case; CCL-consistent). Population-matched headline view: ≈ retail costs + margin + band mix (CSS split, Q88).</t>
        </is>
      </c>
      <c r="E215" s="77">
        <f>IF(OR(NOT(ISNUMBER(E34)),E127=0),"",E127)</f>
        <v/>
      </c>
      <c r="F215" s="77">
        <f>IF(OR(NOT(ISNUMBER(F34)),F127=0),"",F127)</f>
        <v/>
      </c>
      <c r="G215" s="77">
        <f>IF(OR(NOT(ISNUMBER(G34)),G127=0),"",G127)</f>
        <v/>
      </c>
      <c r="H215" s="77">
        <f>IF(OR(NOT(ISNUMBER(H34)),H127=0),"",H127)</f>
        <v/>
      </c>
      <c r="I215" s="77">
        <f>IF(OR(NOT(ISNUMBER(I34)),I127=0),"",I127)</f>
        <v/>
      </c>
      <c r="J215" s="77">
        <f>IF(OR(NOT(ISNUMBER(J34)),J127=0),"",J127)</f>
        <v/>
      </c>
      <c r="K215" s="77">
        <f>IF(OR(NOT(ISNUMBER(K34)),K127=0),"",K127)</f>
        <v/>
      </c>
      <c r="L215" s="77">
        <f>IF(OR(NOT(ISNUMBER(L34)),L127=0),"",L127)</f>
        <v/>
      </c>
      <c r="M215" s="77">
        <f>IF(OR(NOT(ISNUMBER(M34)),M127=0),"",M127)</f>
        <v/>
      </c>
      <c r="N215" s="77">
        <f>IF(OR(NOT(ISNUMBER(N34)),N127=0),"",N127)</f>
        <v/>
      </c>
      <c r="O215" s="77">
        <f>IF(OR(NOT(ISNUMBER(O34)),O127=0),"",O127)</f>
        <v/>
      </c>
      <c r="P215" s="77">
        <f>IF(OR(NOT(ISNUMBER(P34)),P127=0),"",P127)</f>
        <v/>
      </c>
      <c r="Q215" s="77">
        <f>IF(OR(NOT(ISNUMBER(Q34)),Q127=0),"",Q127)</f>
        <v/>
      </c>
      <c r="R215" s="77">
        <f>IF(OR(NOT(ISNUMBER(R34)),R127=0),"",R127)</f>
        <v/>
      </c>
      <c r="S215" s="77">
        <f>IF(OR(NOT(ISNUMBER(S34)),S127=0),"",S127)</f>
        <v/>
      </c>
      <c r="T215" s="77">
        <f>IF(OR(NOT(ISNUMBER(T34)),T127=0),"",T127)</f>
        <v/>
      </c>
    </row>
    <row r="216">
      <c r="A216" s="77" t="inlineStr">
        <is>
          <t>UK</t>
        </is>
      </c>
      <c r="B216" s="77" t="inlineStr">
        <is>
          <t>medium</t>
        </is>
      </c>
      <c r="C216" s="77" t="inlineStr">
        <is>
          <t>E1</t>
        </is>
      </c>
      <c r="D216" s="77" t="inlineStr">
        <is>
          <t>R RECON (numeric): four-bucket total − engine total</t>
        </is>
      </c>
      <c r="E216" s="77">
        <f>IF(AND(ISNUMBER(E214),ISNUMBER(E33)),ROUND(E214-E33,6),"")</f>
        <v/>
      </c>
      <c r="F216" s="77">
        <f>IF(AND(ISNUMBER(F214),ISNUMBER(F33)),ROUND(F214-F33,6),"")</f>
        <v/>
      </c>
      <c r="G216" s="77">
        <f>IF(AND(ISNUMBER(G214),ISNUMBER(G33)),ROUND(G214-G33,6),"")</f>
        <v/>
      </c>
      <c r="H216" s="77">
        <f>IF(AND(ISNUMBER(H214),ISNUMBER(H33)),ROUND(H214-H33,6),"")</f>
        <v/>
      </c>
      <c r="I216" s="77">
        <f>IF(AND(ISNUMBER(I214),ISNUMBER(I33)),ROUND(I214-I33,6),"")</f>
        <v/>
      </c>
      <c r="J216" s="77">
        <f>IF(AND(ISNUMBER(J214),ISNUMBER(J33)),ROUND(J214-J33,6),"")</f>
        <v/>
      </c>
      <c r="K216" s="77">
        <f>IF(AND(ISNUMBER(K214),ISNUMBER(K33)),ROUND(K214-K33,6),"")</f>
        <v/>
      </c>
      <c r="L216" s="77">
        <f>IF(AND(ISNUMBER(L214),ISNUMBER(L33)),ROUND(L214-L33,6),"")</f>
        <v/>
      </c>
      <c r="M216" s="77">
        <f>IF(AND(ISNUMBER(M214),ISNUMBER(M33)),ROUND(M214-M33,6),"")</f>
        <v/>
      </c>
      <c r="N216" s="77">
        <f>IF(AND(ISNUMBER(N214),ISNUMBER(N33)),ROUND(N214-N33,6),"")</f>
        <v/>
      </c>
      <c r="O216" s="77">
        <f>IF(AND(ISNUMBER(O214),ISNUMBER(O33)),ROUND(O214-O33,6),"")</f>
        <v/>
      </c>
      <c r="P216" s="77">
        <f>IF(AND(ISNUMBER(P214),ISNUMBER(P33)),ROUND(P214-P33,6),"")</f>
        <v/>
      </c>
      <c r="Q216" s="77">
        <f>IF(AND(ISNUMBER(Q214),ISNUMBER(Q33)),ROUND(Q214-Q33,6),"")</f>
        <v/>
      </c>
      <c r="R216" s="77">
        <f>IF(AND(ISNUMBER(R214),ISNUMBER(R33)),ROUND(R214-R33,6),"")</f>
        <v/>
      </c>
      <c r="S216" s="77">
        <f>IF(AND(ISNUMBER(S214),ISNUMBER(S33)),ROUND(S214-S33,6),"")</f>
        <v/>
      </c>
      <c r="T216" s="77">
        <f>IF(AND(ISNUMBER(T214),ISNUMBER(T33)),ROUND(T214-T33,6),"")</f>
        <v/>
      </c>
    </row>
    <row r="217">
      <c r="A217" s="77" t="inlineStr">
        <is>
          <t>UK</t>
        </is>
      </c>
      <c r="B217" s="77" t="inlineStr">
        <is>
          <t>medium</t>
        </is>
      </c>
      <c r="C217" s="77" t="inlineStr">
        <is>
          <t>E2</t>
        </is>
      </c>
      <c r="D217" s="77" t="inlineStr">
        <is>
          <t>R leg header — four buckets (D66)</t>
        </is>
      </c>
    </row>
    <row r="218">
      <c r="A218" s="77" t="inlineStr">
        <is>
          <t>UK</t>
        </is>
      </c>
      <c r="B218" s="77" t="inlineStr">
        <is>
          <t>medium</t>
        </is>
      </c>
      <c r="C218" s="77" t="inlineStr">
        <is>
          <t>E2</t>
        </is>
      </c>
      <c r="D218" s="77" t="inlineStr">
        <is>
          <t>R (i) Wholesale [= b1]</t>
        </is>
      </c>
      <c r="E218" s="77">
        <f>IF(ISNUMBER(E45),E39,"")</f>
        <v/>
      </c>
      <c r="F218" s="77">
        <f>IF(ISNUMBER(F45),F39,"")</f>
        <v/>
      </c>
      <c r="G218" s="77">
        <f>IF(ISNUMBER(G45),G39,"")</f>
        <v/>
      </c>
      <c r="H218" s="77">
        <f>IF(ISNUMBER(H45),H39,"")</f>
        <v/>
      </c>
      <c r="I218" s="77">
        <f>IF(ISNUMBER(I45),I39,"")</f>
        <v/>
      </c>
      <c r="J218" s="77">
        <f>IF(ISNUMBER(J45),J39,"")</f>
        <v/>
      </c>
      <c r="K218" s="77">
        <f>IF(ISNUMBER(K45),K39,"")</f>
        <v/>
      </c>
      <c r="L218" s="77">
        <f>IF(ISNUMBER(L45),L39,"")</f>
        <v/>
      </c>
      <c r="M218" s="77">
        <f>IF(ISNUMBER(M45),M39,"")</f>
        <v/>
      </c>
      <c r="N218" s="77">
        <f>IF(ISNUMBER(N45),N39,"")</f>
        <v/>
      </c>
      <c r="O218" s="77">
        <f>IF(ISNUMBER(O45),O39,"")</f>
        <v/>
      </c>
      <c r="P218" s="77">
        <f>IF(ISNUMBER(P45),P39,"")</f>
        <v/>
      </c>
      <c r="Q218" s="77">
        <f>IF(ISNUMBER(Q45),Q39,"")</f>
        <v/>
      </c>
      <c r="R218" s="77">
        <f>IF(ISNUMBER(R45),R39,"")</f>
        <v/>
      </c>
      <c r="S218" s="77">
        <f>IF(ISNUMBER(S45),S39,"")</f>
        <v/>
      </c>
      <c r="T218" s="77">
        <f>IF(ISNUMBER(T45),T39,"")</f>
        <v/>
      </c>
    </row>
    <row r="219">
      <c r="A219" s="77" t="inlineStr">
        <is>
          <t>UK</t>
        </is>
      </c>
      <c r="B219" s="77" t="inlineStr">
        <is>
          <t>medium</t>
        </is>
      </c>
      <c r="C219" s="77" t="inlineStr">
        <is>
          <t>E2</t>
        </is>
      </c>
      <c r="D219" s="77" t="inlineStr">
        <is>
          <t>R (ii) Network incl system services &amp; balancing [= b3+b4]</t>
        </is>
      </c>
      <c r="E219" s="77">
        <f>IF(ISNUMBER(E45),E41+E42,"")</f>
        <v/>
      </c>
      <c r="F219" s="77">
        <f>IF(ISNUMBER(F45),F41+F42,"")</f>
        <v/>
      </c>
      <c r="G219" s="77">
        <f>IF(ISNUMBER(G45),G41+G42,"")</f>
        <v/>
      </c>
      <c r="H219" s="77">
        <f>IF(ISNUMBER(H45),H41+H42,"")</f>
        <v/>
      </c>
      <c r="I219" s="77">
        <f>IF(ISNUMBER(I45),I41+I42,"")</f>
        <v/>
      </c>
      <c r="J219" s="77">
        <f>IF(ISNUMBER(J45),J41+J42,"")</f>
        <v/>
      </c>
      <c r="K219" s="77">
        <f>IF(ISNUMBER(K45),K41+K42,"")</f>
        <v/>
      </c>
      <c r="L219" s="77">
        <f>IF(ISNUMBER(L45),L41+L42,"")</f>
        <v/>
      </c>
      <c r="M219" s="77">
        <f>IF(ISNUMBER(M45),M41+M42,"")</f>
        <v/>
      </c>
      <c r="N219" s="77">
        <f>IF(ISNUMBER(N45),N41+N42,"")</f>
        <v/>
      </c>
      <c r="O219" s="77">
        <f>IF(ISNUMBER(O45),O41+O42,"")</f>
        <v/>
      </c>
      <c r="P219" s="77">
        <f>IF(ISNUMBER(P45),P41+P42,"")</f>
        <v/>
      </c>
      <c r="Q219" s="77">
        <f>IF(ISNUMBER(Q45),Q41+Q42,"")</f>
        <v/>
      </c>
      <c r="R219" s="77">
        <f>IF(ISNUMBER(R45),R41+R42,"")</f>
        <v/>
      </c>
      <c r="S219" s="77">
        <f>IF(ISNUMBER(S45),S41+S42,"")</f>
        <v/>
      </c>
      <c r="T219" s="77">
        <f>IF(ISNUMBER(T45),T41+T42,"")</f>
        <v/>
      </c>
    </row>
    <row r="220">
      <c r="A220" s="77" t="inlineStr">
        <is>
          <t>UK</t>
        </is>
      </c>
      <c r="B220" s="77" t="inlineStr">
        <is>
          <t>medium</t>
        </is>
      </c>
      <c r="C220" s="77" t="inlineStr">
        <is>
          <t>E2</t>
        </is>
      </c>
      <c r="D220" s="77" t="inlineStr">
        <is>
          <t>R (iii) Levies &amp; taxes incl gen-capital recovery [= b2+b5]</t>
        </is>
      </c>
      <c r="E220" s="77">
        <f>IF(ISNUMBER(E45),E40+E43,"")</f>
        <v/>
      </c>
      <c r="F220" s="77">
        <f>IF(ISNUMBER(F45),F40+F43,"")</f>
        <v/>
      </c>
      <c r="G220" s="77">
        <f>IF(ISNUMBER(G45),G40+G43,"")</f>
        <v/>
      </c>
      <c r="H220" s="77">
        <f>IF(ISNUMBER(H45),H40+H43,"")</f>
        <v/>
      </c>
      <c r="I220" s="77">
        <f>IF(ISNUMBER(I45),I40+I43,"")</f>
        <v/>
      </c>
      <c r="J220" s="77">
        <f>IF(ISNUMBER(J45),J40+J43,"")</f>
        <v/>
      </c>
      <c r="K220" s="77">
        <f>IF(ISNUMBER(K45),K40+K43,"")</f>
        <v/>
      </c>
      <c r="L220" s="77">
        <f>IF(ISNUMBER(L45),L40+L43,"")</f>
        <v/>
      </c>
      <c r="M220" s="77">
        <f>IF(ISNUMBER(M45),M40+M43,"")</f>
        <v/>
      </c>
      <c r="N220" s="77">
        <f>IF(ISNUMBER(N45),N40+N43,"")</f>
        <v/>
      </c>
      <c r="O220" s="77">
        <f>IF(ISNUMBER(O45),O40+O43,"")</f>
        <v/>
      </c>
      <c r="P220" s="77">
        <f>IF(ISNUMBER(P45),P40+P43,"")</f>
        <v/>
      </c>
      <c r="Q220" s="77">
        <f>IF(ISNUMBER(Q45),Q40+Q43,"")</f>
        <v/>
      </c>
      <c r="R220" s="77">
        <f>IF(ISNUMBER(R45),R40+R43,"")</f>
        <v/>
      </c>
      <c r="S220" s="77">
        <f>IF(ISNUMBER(S45),S40+S43,"")</f>
        <v/>
      </c>
      <c r="T220" s="77">
        <f>IF(ISNUMBER(T45),T40+T43,"")</f>
        <v/>
      </c>
    </row>
    <row r="221">
      <c r="A221" s="77" t="inlineStr">
        <is>
          <t>UK</t>
        </is>
      </c>
      <c r="B221" s="77" t="inlineStr">
        <is>
          <t>medium</t>
        </is>
      </c>
      <c r="C221" s="77" t="inlineStr">
        <is>
          <t>E2</t>
        </is>
      </c>
      <c r="D221" s="77" t="inlineStr">
        <is>
          <t>R TOTAL (i)+(ii)+(iii) [= engine total]</t>
        </is>
      </c>
      <c r="E221" s="77">
        <f>IF(ISNUMBER(E45),SUM(E218:E220),"")</f>
        <v/>
      </c>
      <c r="F221" s="77">
        <f>IF(ISNUMBER(F45),SUM(F218:F220),"")</f>
        <v/>
      </c>
      <c r="G221" s="77">
        <f>IF(ISNUMBER(G45),SUM(G218:G220),"")</f>
        <v/>
      </c>
      <c r="H221" s="77">
        <f>IF(ISNUMBER(H45),SUM(H218:H220),"")</f>
        <v/>
      </c>
      <c r="I221" s="77">
        <f>IF(ISNUMBER(I45),SUM(I218:I220),"")</f>
        <v/>
      </c>
      <c r="J221" s="77">
        <f>IF(ISNUMBER(J45),SUM(J218:J220),"")</f>
        <v/>
      </c>
      <c r="K221" s="77">
        <f>IF(ISNUMBER(K45),SUM(K218:K220),"")</f>
        <v/>
      </c>
      <c r="L221" s="77">
        <f>IF(ISNUMBER(L45),SUM(L218:L220),"")</f>
        <v/>
      </c>
      <c r="M221" s="77">
        <f>IF(ISNUMBER(M45),SUM(M218:M220),"")</f>
        <v/>
      </c>
      <c r="N221" s="77">
        <f>IF(ISNUMBER(N45),SUM(N218:N220),"")</f>
        <v/>
      </c>
      <c r="O221" s="77">
        <f>IF(ISNUMBER(O45),SUM(O218:O220),"")</f>
        <v/>
      </c>
      <c r="P221" s="77">
        <f>IF(ISNUMBER(P45),SUM(P218:P220),"")</f>
        <v/>
      </c>
      <c r="Q221" s="77">
        <f>IF(ISNUMBER(Q45),SUM(Q218:Q220),"")</f>
        <v/>
      </c>
      <c r="R221" s="77">
        <f>IF(ISNUMBER(R45),SUM(R218:R220),"")</f>
        <v/>
      </c>
      <c r="S221" s="77">
        <f>IF(ISNUMBER(S45),SUM(S218:S220),"")</f>
        <v/>
      </c>
      <c r="T221" s="77">
        <f>IF(ISNUMBER(T45),SUM(T218:T220),"")</f>
        <v/>
      </c>
    </row>
    <row r="222">
      <c r="A222" s="77" t="inlineStr">
        <is>
          <t>UK</t>
        </is>
      </c>
      <c r="B222" s="77" t="inlineStr">
        <is>
          <t>medium</t>
        </is>
      </c>
      <c r="C222" s="77" t="inlineStr">
        <is>
          <t>E2</t>
        </is>
      </c>
      <c r="D222" s="77" t="inlineStr">
        <is>
          <t>R (iv) Wedge to observed = obs − E2 stack (D68 per-case; CCL-consistent: QEP obs excl CCL vs stack excl CCL). Mostly UNCLAIMED-RELIEF premium — the QEP band is unrelieved-dominated (Q88 exempt share ≈15%).</t>
        </is>
      </c>
      <c r="E222" s="77">
        <f>IF(OR(NOT(ISNUMBER(E45)),E130=0),"",E130+(E33-E44))</f>
        <v/>
      </c>
      <c r="F222" s="77">
        <f>IF(OR(NOT(ISNUMBER(F45)),F130=0),"",F130+(F33-F44))</f>
        <v/>
      </c>
      <c r="G222" s="77">
        <f>IF(OR(NOT(ISNUMBER(G45)),G130=0),"",G130+(G33-G44))</f>
        <v/>
      </c>
      <c r="H222" s="77">
        <f>IF(OR(NOT(ISNUMBER(H45)),H130=0),"",H130+(H33-H44))</f>
        <v/>
      </c>
      <c r="I222" s="77">
        <f>IF(OR(NOT(ISNUMBER(I45)),I130=0),"",I130+(I33-I44))</f>
        <v/>
      </c>
      <c r="J222" s="77">
        <f>IF(OR(NOT(ISNUMBER(J45)),J130=0),"",J130+(J33-J44))</f>
        <v/>
      </c>
      <c r="K222" s="77">
        <f>IF(OR(NOT(ISNUMBER(K45)),K130=0),"",K130+(K33-K44))</f>
        <v/>
      </c>
      <c r="L222" s="77">
        <f>IF(OR(NOT(ISNUMBER(L45)),L130=0),"",L130+(L33-L44))</f>
        <v/>
      </c>
      <c r="M222" s="77">
        <f>IF(OR(NOT(ISNUMBER(M45)),M130=0),"",M130+(M33-M44))</f>
        <v/>
      </c>
      <c r="N222" s="77">
        <f>IF(OR(NOT(ISNUMBER(N45)),N130=0),"",N130+(N33-N44))</f>
        <v/>
      </c>
      <c r="O222" s="77">
        <f>IF(OR(NOT(ISNUMBER(O45)),O130=0),"",O130+(O33-O44))</f>
        <v/>
      </c>
      <c r="P222" s="77">
        <f>IF(OR(NOT(ISNUMBER(P45)),P130=0),"",P130+(P33-P44))</f>
        <v/>
      </c>
      <c r="Q222" s="77">
        <f>IF(OR(NOT(ISNUMBER(Q45)),Q130=0),"",Q130+(Q33-Q44))</f>
        <v/>
      </c>
      <c r="R222" s="77">
        <f>IF(OR(NOT(ISNUMBER(R45)),R130=0),"",R130+(R33-R44))</f>
        <v/>
      </c>
      <c r="S222" s="77">
        <f>IF(OR(NOT(ISNUMBER(S45)),S130=0),"",S130+(S33-S44))</f>
        <v/>
      </c>
      <c r="T222" s="77">
        <f>IF(OR(NOT(ISNUMBER(T45)),T130=0),"",T130+(T33-T44))</f>
        <v/>
      </c>
    </row>
    <row r="223">
      <c r="A223" s="77" t="inlineStr">
        <is>
          <t>UK</t>
        </is>
      </c>
      <c r="B223" s="77" t="inlineStr">
        <is>
          <t>medium</t>
        </is>
      </c>
      <c r="C223" s="77" t="inlineStr">
        <is>
          <t>E2</t>
        </is>
      </c>
      <c r="D223" s="77" t="inlineStr">
        <is>
          <t>R RECON (numeric): four-bucket total − engine total</t>
        </is>
      </c>
      <c r="E223" s="77">
        <f>IF(AND(ISNUMBER(E221),ISNUMBER(E44)),ROUND(E221-E44,6),"")</f>
        <v/>
      </c>
      <c r="F223" s="77">
        <f>IF(AND(ISNUMBER(F221),ISNUMBER(F44)),ROUND(F221-F44,6),"")</f>
        <v/>
      </c>
      <c r="G223" s="77">
        <f>IF(AND(ISNUMBER(G221),ISNUMBER(G44)),ROUND(G221-G44,6),"")</f>
        <v/>
      </c>
      <c r="H223" s="77">
        <f>IF(AND(ISNUMBER(H221),ISNUMBER(H44)),ROUND(H221-H44,6),"")</f>
        <v/>
      </c>
      <c r="I223" s="77">
        <f>IF(AND(ISNUMBER(I221),ISNUMBER(I44)),ROUND(I221-I44,6),"")</f>
        <v/>
      </c>
      <c r="J223" s="77">
        <f>IF(AND(ISNUMBER(J221),ISNUMBER(J44)),ROUND(J221-J44,6),"")</f>
        <v/>
      </c>
      <c r="K223" s="77">
        <f>IF(AND(ISNUMBER(K221),ISNUMBER(K44)),ROUND(K221-K44,6),"")</f>
        <v/>
      </c>
      <c r="L223" s="77">
        <f>IF(AND(ISNUMBER(L221),ISNUMBER(L44)),ROUND(L221-L44,6),"")</f>
        <v/>
      </c>
      <c r="M223" s="77">
        <f>IF(AND(ISNUMBER(M221),ISNUMBER(M44)),ROUND(M221-M44,6),"")</f>
        <v/>
      </c>
      <c r="N223" s="77">
        <f>IF(AND(ISNUMBER(N221),ISNUMBER(N44)),ROUND(N221-N44,6),"")</f>
        <v/>
      </c>
      <c r="O223" s="77">
        <f>IF(AND(ISNUMBER(O221),ISNUMBER(O44)),ROUND(O221-O44,6),"")</f>
        <v/>
      </c>
      <c r="P223" s="77">
        <f>IF(AND(ISNUMBER(P221),ISNUMBER(P44)),ROUND(P221-P44,6),"")</f>
        <v/>
      </c>
      <c r="Q223" s="77">
        <f>IF(AND(ISNUMBER(Q221),ISNUMBER(Q44)),ROUND(Q221-Q44,6),"")</f>
        <v/>
      </c>
      <c r="R223" s="77">
        <f>IF(AND(ISNUMBER(R221),ISNUMBER(R44)),ROUND(R221-R44,6),"")</f>
        <v/>
      </c>
      <c r="S223" s="77">
        <f>IF(AND(ISNUMBER(S221),ISNUMBER(S44)),ROUND(S221-S44,6),"")</f>
        <v/>
      </c>
      <c r="T223" s="77">
        <f>IF(AND(ISNUMBER(T221),ISNUMBER(T44)),ROUND(T221-T44,6),"")</f>
        <v/>
      </c>
    </row>
    <row r="224">
      <c r="A224" s="77" t="inlineStr">
        <is>
          <t>DE</t>
        </is>
      </c>
      <c r="B224" s="77" t="inlineStr">
        <is>
          <t>large</t>
        </is>
      </c>
      <c r="C224" s="77" t="inlineStr">
        <is>
          <t>E1</t>
        </is>
      </c>
      <c r="D224" s="77" t="inlineStr">
        <is>
          <t>R leg header — four buckets (D66)</t>
        </is>
      </c>
    </row>
    <row r="225">
      <c r="A225" s="77" t="inlineStr">
        <is>
          <t>DE</t>
        </is>
      </c>
      <c r="B225" s="77" t="inlineStr">
        <is>
          <t>large</t>
        </is>
      </c>
      <c r="C225" s="77" t="inlineStr">
        <is>
          <t>E1</t>
        </is>
      </c>
      <c r="D225" s="77" t="inlineStr">
        <is>
          <t>R (i) Wholesale [= b1]</t>
        </is>
      </c>
      <c r="E225" s="77">
        <f>IF(ISNUMBER(E56),E50,"")</f>
        <v/>
      </c>
      <c r="F225" s="77">
        <f>IF(ISNUMBER(F56),F50,"")</f>
        <v/>
      </c>
      <c r="G225" s="77">
        <f>IF(ISNUMBER(G56),G50,"")</f>
        <v/>
      </c>
      <c r="H225" s="77">
        <f>IF(ISNUMBER(H56),H50,"")</f>
        <v/>
      </c>
      <c r="I225" s="77">
        <f>IF(ISNUMBER(I56),I50,"")</f>
        <v/>
      </c>
      <c r="J225" s="77">
        <f>IF(ISNUMBER(J56),J50,"")</f>
        <v/>
      </c>
      <c r="K225" s="77">
        <f>IF(ISNUMBER(K56),K50,"")</f>
        <v/>
      </c>
      <c r="L225" s="77">
        <f>IF(ISNUMBER(L56),L50,"")</f>
        <v/>
      </c>
      <c r="M225" s="77">
        <f>IF(ISNUMBER(M56),M50,"")</f>
        <v/>
      </c>
      <c r="N225" s="77">
        <f>IF(ISNUMBER(N56),N50,"")</f>
        <v/>
      </c>
      <c r="O225" s="77">
        <f>IF(ISNUMBER(O56),O50,"")</f>
        <v/>
      </c>
      <c r="P225" s="77">
        <f>IF(ISNUMBER(P56),P50,"")</f>
        <v/>
      </c>
      <c r="Q225" s="77">
        <f>IF(ISNUMBER(Q56),Q50,"")</f>
        <v/>
      </c>
      <c r="R225" s="77">
        <f>IF(ISNUMBER(R56),R50,"")</f>
        <v/>
      </c>
      <c r="S225" s="77">
        <f>IF(ISNUMBER(S56),S50,"")</f>
        <v/>
      </c>
      <c r="T225" s="77">
        <f>IF(ISNUMBER(T56),T50,"")</f>
        <v/>
      </c>
    </row>
    <row r="226">
      <c r="A226" s="77" t="inlineStr">
        <is>
          <t>DE</t>
        </is>
      </c>
      <c r="B226" s="77" t="inlineStr">
        <is>
          <t>large</t>
        </is>
      </c>
      <c r="C226" s="77" t="inlineStr">
        <is>
          <t>E1</t>
        </is>
      </c>
      <c r="D226" s="77" t="inlineStr">
        <is>
          <t>R (ii) Network incl system services &amp; balancing [= b3+b4]</t>
        </is>
      </c>
      <c r="E226" s="77">
        <f>IF(ISNUMBER(E56),E52+E53,"")</f>
        <v/>
      </c>
      <c r="F226" s="77">
        <f>IF(ISNUMBER(F56),F52+F53,"")</f>
        <v/>
      </c>
      <c r="G226" s="77">
        <f>IF(ISNUMBER(G56),G52+G53,"")</f>
        <v/>
      </c>
      <c r="H226" s="77">
        <f>IF(ISNUMBER(H56),H52+H53,"")</f>
        <v/>
      </c>
      <c r="I226" s="77">
        <f>IF(ISNUMBER(I56),I52+I53,"")</f>
        <v/>
      </c>
      <c r="J226" s="77">
        <f>IF(ISNUMBER(J56),J52+J53,"")</f>
        <v/>
      </c>
      <c r="K226" s="77">
        <f>IF(ISNUMBER(K56),K52+K53,"")</f>
        <v/>
      </c>
      <c r="L226" s="77">
        <f>IF(ISNUMBER(L56),L52+L53,"")</f>
        <v/>
      </c>
      <c r="M226" s="77">
        <f>IF(ISNUMBER(M56),M52+M53,"")</f>
        <v/>
      </c>
      <c r="N226" s="77">
        <f>IF(ISNUMBER(N56),N52+N53,"")</f>
        <v/>
      </c>
      <c r="O226" s="77">
        <f>IF(ISNUMBER(O56),O52+O53,"")</f>
        <v/>
      </c>
      <c r="P226" s="77">
        <f>IF(ISNUMBER(P56),P52+P53,"")</f>
        <v/>
      </c>
      <c r="Q226" s="77">
        <f>IF(ISNUMBER(Q56),Q52+Q53,"")</f>
        <v/>
      </c>
      <c r="R226" s="77">
        <f>IF(ISNUMBER(R56),R52+R53,"")</f>
        <v/>
      </c>
      <c r="S226" s="77">
        <f>IF(ISNUMBER(S56),S52+S53,"")</f>
        <v/>
      </c>
      <c r="T226" s="77">
        <f>IF(ISNUMBER(T56),T52+T53,"")</f>
        <v/>
      </c>
    </row>
    <row r="227">
      <c r="A227" s="77" t="inlineStr">
        <is>
          <t>DE</t>
        </is>
      </c>
      <c r="B227" s="77" t="inlineStr">
        <is>
          <t>large</t>
        </is>
      </c>
      <c r="C227" s="77" t="inlineStr">
        <is>
          <t>E1</t>
        </is>
      </c>
      <c r="D227" s="77" t="inlineStr">
        <is>
          <t>R (iii) Levies &amp; taxes incl gen-capital recovery [= b2+b5]</t>
        </is>
      </c>
      <c r="E227" s="77">
        <f>IF(ISNUMBER(E56),E51+E54,"")</f>
        <v/>
      </c>
      <c r="F227" s="77">
        <f>IF(ISNUMBER(F56),F51+F54,"")</f>
        <v/>
      </c>
      <c r="G227" s="77">
        <f>IF(ISNUMBER(G56),G51+G54,"")</f>
        <v/>
      </c>
      <c r="H227" s="77">
        <f>IF(ISNUMBER(H56),H51+H54,"")</f>
        <v/>
      </c>
      <c r="I227" s="77">
        <f>IF(ISNUMBER(I56),I51+I54,"")</f>
        <v/>
      </c>
      <c r="J227" s="77">
        <f>IF(ISNUMBER(J56),J51+J54,"")</f>
        <v/>
      </c>
      <c r="K227" s="77">
        <f>IF(ISNUMBER(K56),K51+K54,"")</f>
        <v/>
      </c>
      <c r="L227" s="77">
        <f>IF(ISNUMBER(L56),L51+L54,"")</f>
        <v/>
      </c>
      <c r="M227" s="77">
        <f>IF(ISNUMBER(M56),M51+M54,"")</f>
        <v/>
      </c>
      <c r="N227" s="77">
        <f>IF(ISNUMBER(N56),N51+N54,"")</f>
        <v/>
      </c>
      <c r="O227" s="77">
        <f>IF(ISNUMBER(O56),O51+O54,"")</f>
        <v/>
      </c>
      <c r="P227" s="77">
        <f>IF(ISNUMBER(P56),P51+P54,"")</f>
        <v/>
      </c>
      <c r="Q227" s="77">
        <f>IF(ISNUMBER(Q56),Q51+Q54,"")</f>
        <v/>
      </c>
      <c r="R227" s="77">
        <f>IF(ISNUMBER(R56),R51+R54,"")</f>
        <v/>
      </c>
      <c r="S227" s="77">
        <f>IF(ISNUMBER(S56),S51+S54,"")</f>
        <v/>
      </c>
      <c r="T227" s="77">
        <f>IF(ISNUMBER(T56),T51+T54,"")</f>
        <v/>
      </c>
    </row>
    <row r="228">
      <c r="A228" s="77" t="inlineStr">
        <is>
          <t>DE</t>
        </is>
      </c>
      <c r="B228" s="77" t="inlineStr">
        <is>
          <t>large</t>
        </is>
      </c>
      <c r="C228" s="77" t="inlineStr">
        <is>
          <t>E1</t>
        </is>
      </c>
      <c r="D228" s="77" t="inlineStr">
        <is>
          <t>R TOTAL (i)+(ii)+(iii) [= engine total]</t>
        </is>
      </c>
      <c r="E228" s="77">
        <f>IF(ISNUMBER(E56),SUM(E225:E227),"")</f>
        <v/>
      </c>
      <c r="F228" s="77">
        <f>IF(ISNUMBER(F56),SUM(F225:F227),"")</f>
        <v/>
      </c>
      <c r="G228" s="77">
        <f>IF(ISNUMBER(G56),SUM(G225:G227),"")</f>
        <v/>
      </c>
      <c r="H228" s="77">
        <f>IF(ISNUMBER(H56),SUM(H225:H227),"")</f>
        <v/>
      </c>
      <c r="I228" s="77">
        <f>IF(ISNUMBER(I56),SUM(I225:I227),"")</f>
        <v/>
      </c>
      <c r="J228" s="77">
        <f>IF(ISNUMBER(J56),SUM(J225:J227),"")</f>
        <v/>
      </c>
      <c r="K228" s="77">
        <f>IF(ISNUMBER(K56),SUM(K225:K227),"")</f>
        <v/>
      </c>
      <c r="L228" s="77">
        <f>IF(ISNUMBER(L56),SUM(L225:L227),"")</f>
        <v/>
      </c>
      <c r="M228" s="77">
        <f>IF(ISNUMBER(M56),SUM(M225:M227),"")</f>
        <v/>
      </c>
      <c r="N228" s="77">
        <f>IF(ISNUMBER(N56),SUM(N225:N227),"")</f>
        <v/>
      </c>
      <c r="O228" s="77">
        <f>IF(ISNUMBER(O56),SUM(O225:O227),"")</f>
        <v/>
      </c>
      <c r="P228" s="77">
        <f>IF(ISNUMBER(P56),SUM(P225:P227),"")</f>
        <v/>
      </c>
      <c r="Q228" s="77">
        <f>IF(ISNUMBER(Q56),SUM(Q225:Q227),"")</f>
        <v/>
      </c>
      <c r="R228" s="77">
        <f>IF(ISNUMBER(R56),SUM(R225:R227),"")</f>
        <v/>
      </c>
      <c r="S228" s="77">
        <f>IF(ISNUMBER(S56),SUM(S225:S227),"")</f>
        <v/>
      </c>
      <c r="T228" s="77">
        <f>IF(ISNUMBER(T56),SUM(T225:T227),"")</f>
        <v/>
      </c>
    </row>
    <row r="229">
      <c r="A229" s="77" t="inlineStr">
        <is>
          <t>DE</t>
        </is>
      </c>
      <c r="B229" s="77" t="inlineStr">
        <is>
          <t>large</t>
        </is>
      </c>
      <c r="C229" s="77" t="inlineStr">
        <is>
          <t>E1</t>
        </is>
      </c>
      <c r="D229" s="77" t="inlineStr">
        <is>
          <t>R (iv) Wedge to observed = obs − E1 stack (D68 per-case; raw Eurostat X_VAT basis). NEGATIVE ≈ supply costs − relief embedded in the band average (relieved-dominated).</t>
        </is>
      </c>
      <c r="E229" s="77">
        <f>IF(OR(NOT(ISNUMBER(E56)),E133=0),"",E133)</f>
        <v/>
      </c>
      <c r="F229" s="77">
        <f>IF(OR(NOT(ISNUMBER(F56)),F133=0),"",F133)</f>
        <v/>
      </c>
      <c r="G229" s="77">
        <f>IF(OR(NOT(ISNUMBER(G56)),G133=0),"",G133)</f>
        <v/>
      </c>
      <c r="H229" s="77">
        <f>IF(OR(NOT(ISNUMBER(H56)),H133=0),"",H133)</f>
        <v/>
      </c>
      <c r="I229" s="77">
        <f>IF(OR(NOT(ISNUMBER(I56)),I133=0),"",I133)</f>
        <v/>
      </c>
      <c r="J229" s="77">
        <f>IF(OR(NOT(ISNUMBER(J56)),J133=0),"",J133)</f>
        <v/>
      </c>
      <c r="K229" s="77">
        <f>IF(OR(NOT(ISNUMBER(K56)),K133=0),"",K133)</f>
        <v/>
      </c>
      <c r="L229" s="77">
        <f>IF(OR(NOT(ISNUMBER(L56)),L133=0),"",L133)</f>
        <v/>
      </c>
      <c r="M229" s="77">
        <f>IF(OR(NOT(ISNUMBER(M56)),M133=0),"",M133)</f>
        <v/>
      </c>
      <c r="N229" s="77">
        <f>IF(OR(NOT(ISNUMBER(N56)),N133=0),"",N133)</f>
        <v/>
      </c>
      <c r="O229" s="77">
        <f>IF(OR(NOT(ISNUMBER(O56)),O133=0),"",O133)</f>
        <v/>
      </c>
      <c r="P229" s="77">
        <f>IF(OR(NOT(ISNUMBER(P56)),P133=0),"",P133)</f>
        <v/>
      </c>
      <c r="Q229" s="77">
        <f>IF(OR(NOT(ISNUMBER(Q56)),Q133=0),"",Q133)</f>
        <v/>
      </c>
      <c r="R229" s="77">
        <f>IF(OR(NOT(ISNUMBER(R56)),R133=0),"",R133)</f>
        <v/>
      </c>
      <c r="S229" s="77">
        <f>IF(OR(NOT(ISNUMBER(S56)),S133=0),"",S133)</f>
        <v/>
      </c>
      <c r="T229" s="77">
        <f>IF(OR(NOT(ISNUMBER(T56)),T133=0),"",T133)</f>
        <v/>
      </c>
    </row>
    <row r="230">
      <c r="A230" s="77" t="inlineStr">
        <is>
          <t>DE</t>
        </is>
      </c>
      <c r="B230" s="77" t="inlineStr">
        <is>
          <t>large</t>
        </is>
      </c>
      <c r="C230" s="77" t="inlineStr">
        <is>
          <t>E1</t>
        </is>
      </c>
      <c r="D230" s="77" t="inlineStr">
        <is>
          <t>R RECON (numeric): four-bucket total − engine total</t>
        </is>
      </c>
      <c r="E230" s="77">
        <f>IF(AND(ISNUMBER(E228),ISNUMBER(E55)),ROUND(E228-E55,6),"")</f>
        <v/>
      </c>
      <c r="F230" s="77">
        <f>IF(AND(ISNUMBER(F228),ISNUMBER(F55)),ROUND(F228-F55,6),"")</f>
        <v/>
      </c>
      <c r="G230" s="77">
        <f>IF(AND(ISNUMBER(G228),ISNUMBER(G55)),ROUND(G228-G55,6),"")</f>
        <v/>
      </c>
      <c r="H230" s="77">
        <f>IF(AND(ISNUMBER(H228),ISNUMBER(H55)),ROUND(H228-H55,6),"")</f>
        <v/>
      </c>
      <c r="I230" s="77">
        <f>IF(AND(ISNUMBER(I228),ISNUMBER(I55)),ROUND(I228-I55,6),"")</f>
        <v/>
      </c>
      <c r="J230" s="77">
        <f>IF(AND(ISNUMBER(J228),ISNUMBER(J55)),ROUND(J228-J55,6),"")</f>
        <v/>
      </c>
      <c r="K230" s="77">
        <f>IF(AND(ISNUMBER(K228),ISNUMBER(K55)),ROUND(K228-K55,6),"")</f>
        <v/>
      </c>
      <c r="L230" s="77">
        <f>IF(AND(ISNUMBER(L228),ISNUMBER(L55)),ROUND(L228-L55,6),"")</f>
        <v/>
      </c>
      <c r="M230" s="77">
        <f>IF(AND(ISNUMBER(M228),ISNUMBER(M55)),ROUND(M228-M55,6),"")</f>
        <v/>
      </c>
      <c r="N230" s="77">
        <f>IF(AND(ISNUMBER(N228),ISNUMBER(N55)),ROUND(N228-N55,6),"")</f>
        <v/>
      </c>
      <c r="O230" s="77">
        <f>IF(AND(ISNUMBER(O228),ISNUMBER(O55)),ROUND(O228-O55,6),"")</f>
        <v/>
      </c>
      <c r="P230" s="77">
        <f>IF(AND(ISNUMBER(P228),ISNUMBER(P55)),ROUND(P228-P55,6),"")</f>
        <v/>
      </c>
      <c r="Q230" s="77">
        <f>IF(AND(ISNUMBER(Q228),ISNUMBER(Q55)),ROUND(Q228-Q55,6),"")</f>
        <v/>
      </c>
      <c r="R230" s="77">
        <f>IF(AND(ISNUMBER(R228),ISNUMBER(R55)),ROUND(R228-R55,6),"")</f>
        <v/>
      </c>
      <c r="S230" s="77">
        <f>IF(AND(ISNUMBER(S228),ISNUMBER(S55)),ROUND(S228-S55,6),"")</f>
        <v/>
      </c>
      <c r="T230" s="77">
        <f>IF(AND(ISNUMBER(T228),ISNUMBER(T55)),ROUND(T228-T55,6),"")</f>
        <v/>
      </c>
    </row>
    <row r="231">
      <c r="A231" s="77" t="inlineStr">
        <is>
          <t>DE</t>
        </is>
      </c>
      <c r="B231" s="77" t="inlineStr">
        <is>
          <t>large</t>
        </is>
      </c>
      <c r="C231" s="77" t="inlineStr">
        <is>
          <t>E2</t>
        </is>
      </c>
      <c r="D231" s="77" t="inlineStr">
        <is>
          <t>R leg header — four buckets (D66)</t>
        </is>
      </c>
    </row>
    <row r="232">
      <c r="A232" s="77" t="inlineStr">
        <is>
          <t>DE</t>
        </is>
      </c>
      <c r="B232" s="77" t="inlineStr">
        <is>
          <t>large</t>
        </is>
      </c>
      <c r="C232" s="77" t="inlineStr">
        <is>
          <t>E2</t>
        </is>
      </c>
      <c r="D232" s="77" t="inlineStr">
        <is>
          <t>R (i) Wholesale [= b1]</t>
        </is>
      </c>
      <c r="E232" s="77">
        <f>IF(ISNUMBER(E67),E61,"")</f>
        <v/>
      </c>
      <c r="F232" s="77">
        <f>IF(ISNUMBER(F67),F61,"")</f>
        <v/>
      </c>
      <c r="G232" s="77">
        <f>IF(ISNUMBER(G67),G61,"")</f>
        <v/>
      </c>
      <c r="H232" s="77">
        <f>IF(ISNUMBER(H67),H61,"")</f>
        <v/>
      </c>
      <c r="I232" s="77">
        <f>IF(ISNUMBER(I67),I61,"")</f>
        <v/>
      </c>
      <c r="J232" s="77">
        <f>IF(ISNUMBER(J67),J61,"")</f>
        <v/>
      </c>
      <c r="K232" s="77">
        <f>IF(ISNUMBER(K67),K61,"")</f>
        <v/>
      </c>
      <c r="L232" s="77">
        <f>IF(ISNUMBER(L67),L61,"")</f>
        <v/>
      </c>
      <c r="M232" s="77">
        <f>IF(ISNUMBER(M67),M61,"")</f>
        <v/>
      </c>
      <c r="N232" s="77">
        <f>IF(ISNUMBER(N67),N61,"")</f>
        <v/>
      </c>
      <c r="O232" s="77">
        <f>IF(ISNUMBER(O67),O61,"")</f>
        <v/>
      </c>
      <c r="P232" s="77">
        <f>IF(ISNUMBER(P67),P61,"")</f>
        <v/>
      </c>
      <c r="Q232" s="77">
        <f>IF(ISNUMBER(Q67),Q61,"")</f>
        <v/>
      </c>
      <c r="R232" s="77">
        <f>IF(ISNUMBER(R67),R61,"")</f>
        <v/>
      </c>
      <c r="S232" s="77">
        <f>IF(ISNUMBER(S67),S61,"")</f>
        <v/>
      </c>
      <c r="T232" s="77">
        <f>IF(ISNUMBER(T67),T61,"")</f>
        <v/>
      </c>
    </row>
    <row r="233">
      <c r="A233" s="77" t="inlineStr">
        <is>
          <t>DE</t>
        </is>
      </c>
      <c r="B233" s="77" t="inlineStr">
        <is>
          <t>large</t>
        </is>
      </c>
      <c r="C233" s="77" t="inlineStr">
        <is>
          <t>E2</t>
        </is>
      </c>
      <c r="D233" s="77" t="inlineStr">
        <is>
          <t>R (ii) Network incl system services &amp; balancing [= b3+b4]</t>
        </is>
      </c>
      <c r="E233" s="77">
        <f>IF(ISNUMBER(E67),E63+E64,"")</f>
        <v/>
      </c>
      <c r="F233" s="77">
        <f>IF(ISNUMBER(F67),F63+F64,"")</f>
        <v/>
      </c>
      <c r="G233" s="77">
        <f>IF(ISNUMBER(G67),G63+G64,"")</f>
        <v/>
      </c>
      <c r="H233" s="77">
        <f>IF(ISNUMBER(H67),H63+H64,"")</f>
        <v/>
      </c>
      <c r="I233" s="77">
        <f>IF(ISNUMBER(I67),I63+I64,"")</f>
        <v/>
      </c>
      <c r="J233" s="77">
        <f>IF(ISNUMBER(J67),J63+J64,"")</f>
        <v/>
      </c>
      <c r="K233" s="77">
        <f>IF(ISNUMBER(K67),K63+K64,"")</f>
        <v/>
      </c>
      <c r="L233" s="77">
        <f>IF(ISNUMBER(L67),L63+L64,"")</f>
        <v/>
      </c>
      <c r="M233" s="77">
        <f>IF(ISNUMBER(M67),M63+M64,"")</f>
        <v/>
      </c>
      <c r="N233" s="77">
        <f>IF(ISNUMBER(N67),N63+N64,"")</f>
        <v/>
      </c>
      <c r="O233" s="77">
        <f>IF(ISNUMBER(O67),O63+O64,"")</f>
        <v/>
      </c>
      <c r="P233" s="77">
        <f>IF(ISNUMBER(P67),P63+P64,"")</f>
        <v/>
      </c>
      <c r="Q233" s="77">
        <f>IF(ISNUMBER(Q67),Q63+Q64,"")</f>
        <v/>
      </c>
      <c r="R233" s="77">
        <f>IF(ISNUMBER(R67),R63+R64,"")</f>
        <v/>
      </c>
      <c r="S233" s="77">
        <f>IF(ISNUMBER(S67),S63+S64,"")</f>
        <v/>
      </c>
      <c r="T233" s="77">
        <f>IF(ISNUMBER(T67),T63+T64,"")</f>
        <v/>
      </c>
    </row>
    <row r="234">
      <c r="A234" s="77" t="inlineStr">
        <is>
          <t>DE</t>
        </is>
      </c>
      <c r="B234" s="77" t="inlineStr">
        <is>
          <t>large</t>
        </is>
      </c>
      <c r="C234" s="77" t="inlineStr">
        <is>
          <t>E2</t>
        </is>
      </c>
      <c r="D234" s="77" t="inlineStr">
        <is>
          <t>R (iii) Levies &amp; taxes incl gen-capital recovery [= b2+b5]</t>
        </is>
      </c>
      <c r="E234" s="77">
        <f>IF(ISNUMBER(E67),E62+E65,"")</f>
        <v/>
      </c>
      <c r="F234" s="77">
        <f>IF(ISNUMBER(F67),F62+F65,"")</f>
        <v/>
      </c>
      <c r="G234" s="77">
        <f>IF(ISNUMBER(G67),G62+G65,"")</f>
        <v/>
      </c>
      <c r="H234" s="77">
        <f>IF(ISNUMBER(H67),H62+H65,"")</f>
        <v/>
      </c>
      <c r="I234" s="77">
        <f>IF(ISNUMBER(I67),I62+I65,"")</f>
        <v/>
      </c>
      <c r="J234" s="77">
        <f>IF(ISNUMBER(J67),J62+J65,"")</f>
        <v/>
      </c>
      <c r="K234" s="77">
        <f>IF(ISNUMBER(K67),K62+K65,"")</f>
        <v/>
      </c>
      <c r="L234" s="77">
        <f>IF(ISNUMBER(L67),L62+L65,"")</f>
        <v/>
      </c>
      <c r="M234" s="77">
        <f>IF(ISNUMBER(M67),M62+M65,"")</f>
        <v/>
      </c>
      <c r="N234" s="77">
        <f>IF(ISNUMBER(N67),N62+N65,"")</f>
        <v/>
      </c>
      <c r="O234" s="77">
        <f>IF(ISNUMBER(O67),O62+O65,"")</f>
        <v/>
      </c>
      <c r="P234" s="77">
        <f>IF(ISNUMBER(P67),P62+P65,"")</f>
        <v/>
      </c>
      <c r="Q234" s="77">
        <f>IF(ISNUMBER(Q67),Q62+Q65,"")</f>
        <v/>
      </c>
      <c r="R234" s="77">
        <f>IF(ISNUMBER(R67),R62+R65,"")</f>
        <v/>
      </c>
      <c r="S234" s="77">
        <f>IF(ISNUMBER(S67),S62+S65,"")</f>
        <v/>
      </c>
      <c r="T234" s="77">
        <f>IF(ISNUMBER(T67),T62+T65,"")</f>
        <v/>
      </c>
    </row>
    <row r="235">
      <c r="A235" s="77" t="inlineStr">
        <is>
          <t>DE</t>
        </is>
      </c>
      <c r="B235" s="77" t="inlineStr">
        <is>
          <t>large</t>
        </is>
      </c>
      <c r="C235" s="77" t="inlineStr">
        <is>
          <t>E2</t>
        </is>
      </c>
      <c r="D235" s="77" t="inlineStr">
        <is>
          <t>R TOTAL (i)+(ii)+(iii) [= engine total]</t>
        </is>
      </c>
      <c r="E235" s="77">
        <f>IF(ISNUMBER(E67),SUM(E232:E234),"")</f>
        <v/>
      </c>
      <c r="F235" s="77">
        <f>IF(ISNUMBER(F67),SUM(F232:F234),"")</f>
        <v/>
      </c>
      <c r="G235" s="77">
        <f>IF(ISNUMBER(G67),SUM(G232:G234),"")</f>
        <v/>
      </c>
      <c r="H235" s="77">
        <f>IF(ISNUMBER(H67),SUM(H232:H234),"")</f>
        <v/>
      </c>
      <c r="I235" s="77">
        <f>IF(ISNUMBER(I67),SUM(I232:I234),"")</f>
        <v/>
      </c>
      <c r="J235" s="77">
        <f>IF(ISNUMBER(J67),SUM(J232:J234),"")</f>
        <v/>
      </c>
      <c r="K235" s="77">
        <f>IF(ISNUMBER(K67),SUM(K232:K234),"")</f>
        <v/>
      </c>
      <c r="L235" s="77">
        <f>IF(ISNUMBER(L67),SUM(L232:L234),"")</f>
        <v/>
      </c>
      <c r="M235" s="77">
        <f>IF(ISNUMBER(M67),SUM(M232:M234),"")</f>
        <v/>
      </c>
      <c r="N235" s="77">
        <f>IF(ISNUMBER(N67),SUM(N232:N234),"")</f>
        <v/>
      </c>
      <c r="O235" s="77">
        <f>IF(ISNUMBER(O67),SUM(O232:O234),"")</f>
        <v/>
      </c>
      <c r="P235" s="77">
        <f>IF(ISNUMBER(P67),SUM(P232:P234),"")</f>
        <v/>
      </c>
      <c r="Q235" s="77">
        <f>IF(ISNUMBER(Q67),SUM(Q232:Q234),"")</f>
        <v/>
      </c>
      <c r="R235" s="77">
        <f>IF(ISNUMBER(R67),SUM(R232:R234),"")</f>
        <v/>
      </c>
      <c r="S235" s="77">
        <f>IF(ISNUMBER(S67),SUM(S232:S234),"")</f>
        <v/>
      </c>
      <c r="T235" s="77">
        <f>IF(ISNUMBER(T67),SUM(T232:T234),"")</f>
        <v/>
      </c>
    </row>
    <row r="236">
      <c r="A236" s="77" t="inlineStr">
        <is>
          <t>DE</t>
        </is>
      </c>
      <c r="B236" s="77" t="inlineStr">
        <is>
          <t>large</t>
        </is>
      </c>
      <c r="C236" s="77" t="inlineStr">
        <is>
          <t>E2</t>
        </is>
      </c>
      <c r="D236" s="77" t="inlineStr">
        <is>
          <t>R (iv) Wedge to observed = obs IF − E2 stack (D68 per-case; raw basis). Population-matched headline view: ≈ supply costs + relief-spectrum premium of the unrelieved minority (D67 rationale).</t>
        </is>
      </c>
      <c r="E236" s="77">
        <f>IF(AND(ISNUMBER(timeseries!D86),ISNUMBER(timeseries!D81)),timeseries!D86-E66,"")</f>
        <v/>
      </c>
      <c r="F236" s="77">
        <f>IF(AND(ISNUMBER(timeseries!E86),ISNUMBER(timeseries!E81)),timeseries!E86-F66,"")</f>
        <v/>
      </c>
      <c r="G236" s="77">
        <f>IF(AND(ISNUMBER(timeseries!F86),ISNUMBER(timeseries!F81)),timeseries!F86-G66,"")</f>
        <v/>
      </c>
      <c r="H236" s="77">
        <f>IF(AND(ISNUMBER(timeseries!G86),ISNUMBER(timeseries!G81)),timeseries!G86-H66,"")</f>
        <v/>
      </c>
      <c r="I236" s="77">
        <f>IF(AND(ISNUMBER(timeseries!H86),ISNUMBER(timeseries!H81)),timeseries!H86-I66,"")</f>
        <v/>
      </c>
      <c r="J236" s="77">
        <f>IF(AND(ISNUMBER(timeseries!I86),ISNUMBER(timeseries!I81)),timeseries!I86-J66,"")</f>
        <v/>
      </c>
      <c r="K236" s="77">
        <f>IF(AND(ISNUMBER(timeseries!J86),ISNUMBER(timeseries!J81)),timeseries!J86-K66,"")</f>
        <v/>
      </c>
      <c r="L236" s="77">
        <f>IF(AND(ISNUMBER(timeseries!K86),ISNUMBER(timeseries!K81)),timeseries!K86-L66,"")</f>
        <v/>
      </c>
      <c r="M236" s="77">
        <f>IF(AND(ISNUMBER(timeseries!L86),ISNUMBER(timeseries!L81)),timeseries!L86-M66,"")</f>
        <v/>
      </c>
      <c r="N236" s="77">
        <f>IF(AND(ISNUMBER(timeseries!M86),ISNUMBER(timeseries!M81)),timeseries!M86-N66,"")</f>
        <v/>
      </c>
      <c r="O236" s="77">
        <f>IF(AND(ISNUMBER(timeseries!N86),ISNUMBER(timeseries!N81)),timeseries!N86-O66,"")</f>
        <v/>
      </c>
      <c r="P236" s="77">
        <f>IF(AND(ISNUMBER(timeseries!O86),ISNUMBER(timeseries!O81)),timeseries!O86-P66,"")</f>
        <v/>
      </c>
      <c r="Q236" s="77">
        <f>IF(AND(ISNUMBER(timeseries!P86),ISNUMBER(timeseries!P81)),timeseries!P86-Q66,"")</f>
        <v/>
      </c>
      <c r="R236" s="77">
        <f>IF(AND(ISNUMBER(timeseries!Q86),ISNUMBER(timeseries!Q81)),timeseries!Q86-R66,"")</f>
        <v/>
      </c>
      <c r="S236" s="77">
        <f>IF(AND(ISNUMBER(timeseries!R86),ISNUMBER(timeseries!R81)),timeseries!R86-S66,"")</f>
        <v/>
      </c>
      <c r="T236" s="77">
        <f>IF(AND(ISNUMBER(timeseries!S86),ISNUMBER(timeseries!S81)),timeseries!S86-T66,"")</f>
        <v/>
      </c>
    </row>
    <row r="237">
      <c r="A237" s="77" t="inlineStr">
        <is>
          <t>DE</t>
        </is>
      </c>
      <c r="B237" s="77" t="inlineStr">
        <is>
          <t>large</t>
        </is>
      </c>
      <c r="C237" s="77" t="inlineStr">
        <is>
          <t>E2</t>
        </is>
      </c>
      <c r="D237" s="77" t="inlineStr">
        <is>
          <t>R RECON (numeric): four-bucket total − engine total</t>
        </is>
      </c>
      <c r="E237" s="77">
        <f>IF(AND(ISNUMBER(E235),ISNUMBER(E66)),ROUND(E235-E66,6),"")</f>
        <v/>
      </c>
      <c r="F237" s="77">
        <f>IF(AND(ISNUMBER(F235),ISNUMBER(F66)),ROUND(F235-F66,6),"")</f>
        <v/>
      </c>
      <c r="G237" s="77">
        <f>IF(AND(ISNUMBER(G235),ISNUMBER(G66)),ROUND(G235-G66,6),"")</f>
        <v/>
      </c>
      <c r="H237" s="77">
        <f>IF(AND(ISNUMBER(H235),ISNUMBER(H66)),ROUND(H235-H66,6),"")</f>
        <v/>
      </c>
      <c r="I237" s="77">
        <f>IF(AND(ISNUMBER(I235),ISNUMBER(I66)),ROUND(I235-I66,6),"")</f>
        <v/>
      </c>
      <c r="J237" s="77">
        <f>IF(AND(ISNUMBER(J235),ISNUMBER(J66)),ROUND(J235-J66,6),"")</f>
        <v/>
      </c>
      <c r="K237" s="77">
        <f>IF(AND(ISNUMBER(K235),ISNUMBER(K66)),ROUND(K235-K66,6),"")</f>
        <v/>
      </c>
      <c r="L237" s="77">
        <f>IF(AND(ISNUMBER(L235),ISNUMBER(L66)),ROUND(L235-L66,6),"")</f>
        <v/>
      </c>
      <c r="M237" s="77">
        <f>IF(AND(ISNUMBER(M235),ISNUMBER(M66)),ROUND(M235-M66,6),"")</f>
        <v/>
      </c>
      <c r="N237" s="77">
        <f>IF(AND(ISNUMBER(N235),ISNUMBER(N66)),ROUND(N235-N66,6),"")</f>
        <v/>
      </c>
      <c r="O237" s="77">
        <f>IF(AND(ISNUMBER(O235),ISNUMBER(O66)),ROUND(O235-O66,6),"")</f>
        <v/>
      </c>
      <c r="P237" s="77">
        <f>IF(AND(ISNUMBER(P235),ISNUMBER(P66)),ROUND(P235-P66,6),"")</f>
        <v/>
      </c>
      <c r="Q237" s="77">
        <f>IF(AND(ISNUMBER(Q235),ISNUMBER(Q66)),ROUND(Q235-Q66,6),"")</f>
        <v/>
      </c>
      <c r="R237" s="77">
        <f>IF(AND(ISNUMBER(R235),ISNUMBER(R66)),ROUND(R235-R66,6),"")</f>
        <v/>
      </c>
      <c r="S237" s="77">
        <f>IF(AND(ISNUMBER(S235),ISNUMBER(S66)),ROUND(S235-S66,6),"")</f>
        <v/>
      </c>
      <c r="T237" s="77">
        <f>IF(AND(ISNUMBER(T235),ISNUMBER(T66)),ROUND(T235-T66,6),"")</f>
        <v/>
      </c>
    </row>
    <row r="238">
      <c r="A238" s="77" t="inlineStr">
        <is>
          <t>DE</t>
        </is>
      </c>
      <c r="B238" s="77" t="inlineStr">
        <is>
          <t>medium</t>
        </is>
      </c>
      <c r="C238" s="77" t="inlineStr">
        <is>
          <t>E1</t>
        </is>
      </c>
      <c r="D238" s="77" t="inlineStr">
        <is>
          <t>R leg header — four buckets (D66)</t>
        </is>
      </c>
    </row>
    <row r="239">
      <c r="A239" s="77" t="inlineStr">
        <is>
          <t>DE</t>
        </is>
      </c>
      <c r="B239" s="77" t="inlineStr">
        <is>
          <t>medium</t>
        </is>
      </c>
      <c r="C239" s="77" t="inlineStr">
        <is>
          <t>E1</t>
        </is>
      </c>
      <c r="D239" s="77" t="inlineStr">
        <is>
          <t>R (i) Wholesale [= b1]</t>
        </is>
      </c>
      <c r="E239" s="77">
        <f>IF(ISNUMBER(E78),E72,"")</f>
        <v/>
      </c>
      <c r="F239" s="77">
        <f>IF(ISNUMBER(F78),F72,"")</f>
        <v/>
      </c>
      <c r="G239" s="77">
        <f>IF(ISNUMBER(G78),G72,"")</f>
        <v/>
      </c>
      <c r="H239" s="77">
        <f>IF(ISNUMBER(H78),H72,"")</f>
        <v/>
      </c>
      <c r="I239" s="77">
        <f>IF(ISNUMBER(I78),I72,"")</f>
        <v/>
      </c>
      <c r="J239" s="77">
        <f>IF(ISNUMBER(J78),J72,"")</f>
        <v/>
      </c>
      <c r="K239" s="77">
        <f>IF(ISNUMBER(K78),K72,"")</f>
        <v/>
      </c>
      <c r="L239" s="77">
        <f>IF(ISNUMBER(L78),L72,"")</f>
        <v/>
      </c>
      <c r="M239" s="77">
        <f>IF(ISNUMBER(M78),M72,"")</f>
        <v/>
      </c>
      <c r="N239" s="77">
        <f>IF(ISNUMBER(N78),N72,"")</f>
        <v/>
      </c>
      <c r="O239" s="77">
        <f>IF(ISNUMBER(O78),O72,"")</f>
        <v/>
      </c>
      <c r="P239" s="77">
        <f>IF(ISNUMBER(P78),P72,"")</f>
        <v/>
      </c>
      <c r="Q239" s="77">
        <f>IF(ISNUMBER(Q78),Q72,"")</f>
        <v/>
      </c>
      <c r="R239" s="77">
        <f>IF(ISNUMBER(R78),R72,"")</f>
        <v/>
      </c>
      <c r="S239" s="77">
        <f>IF(ISNUMBER(S78),S72,"")</f>
        <v/>
      </c>
      <c r="T239" s="77">
        <f>IF(ISNUMBER(T78),T72,"")</f>
        <v/>
      </c>
    </row>
    <row r="240">
      <c r="A240" s="77" t="inlineStr">
        <is>
          <t>DE</t>
        </is>
      </c>
      <c r="B240" s="77" t="inlineStr">
        <is>
          <t>medium</t>
        </is>
      </c>
      <c r="C240" s="77" t="inlineStr">
        <is>
          <t>E1</t>
        </is>
      </c>
      <c r="D240" s="77" t="inlineStr">
        <is>
          <t>R (ii) Network incl system services &amp; balancing [= b3+b4]</t>
        </is>
      </c>
      <c r="E240" s="77">
        <f>IF(ISNUMBER(E78),E74+E75,"")</f>
        <v/>
      </c>
      <c r="F240" s="77">
        <f>IF(ISNUMBER(F78),F74+F75,"")</f>
        <v/>
      </c>
      <c r="G240" s="77">
        <f>IF(ISNUMBER(G78),G74+G75,"")</f>
        <v/>
      </c>
      <c r="H240" s="77">
        <f>IF(ISNUMBER(H78),H74+H75,"")</f>
        <v/>
      </c>
      <c r="I240" s="77">
        <f>IF(ISNUMBER(I78),I74+I75,"")</f>
        <v/>
      </c>
      <c r="J240" s="77">
        <f>IF(ISNUMBER(J78),J74+J75,"")</f>
        <v/>
      </c>
      <c r="K240" s="77">
        <f>IF(ISNUMBER(K78),K74+K75,"")</f>
        <v/>
      </c>
      <c r="L240" s="77">
        <f>IF(ISNUMBER(L78),L74+L75,"")</f>
        <v/>
      </c>
      <c r="M240" s="77">
        <f>IF(ISNUMBER(M78),M74+M75,"")</f>
        <v/>
      </c>
      <c r="N240" s="77">
        <f>IF(ISNUMBER(N78),N74+N75,"")</f>
        <v/>
      </c>
      <c r="O240" s="77">
        <f>IF(ISNUMBER(O78),O74+O75,"")</f>
        <v/>
      </c>
      <c r="P240" s="77">
        <f>IF(ISNUMBER(P78),P74+P75,"")</f>
        <v/>
      </c>
      <c r="Q240" s="77">
        <f>IF(ISNUMBER(Q78),Q74+Q75,"")</f>
        <v/>
      </c>
      <c r="R240" s="77">
        <f>IF(ISNUMBER(R78),R74+R75,"")</f>
        <v/>
      </c>
      <c r="S240" s="77">
        <f>IF(ISNUMBER(S78),S74+S75,"")</f>
        <v/>
      </c>
      <c r="T240" s="77">
        <f>IF(ISNUMBER(T78),T74+T75,"")</f>
        <v/>
      </c>
    </row>
    <row r="241">
      <c r="A241" s="77" t="inlineStr">
        <is>
          <t>DE</t>
        </is>
      </c>
      <c r="B241" s="77" t="inlineStr">
        <is>
          <t>medium</t>
        </is>
      </c>
      <c r="C241" s="77" t="inlineStr">
        <is>
          <t>E1</t>
        </is>
      </c>
      <c r="D241" s="77" t="inlineStr">
        <is>
          <t>R (iii) Levies &amp; taxes incl gen-capital recovery [= b2+b5]</t>
        </is>
      </c>
      <c r="E241" s="77">
        <f>IF(ISNUMBER(E78),E73+E76,"")</f>
        <v/>
      </c>
      <c r="F241" s="77">
        <f>IF(ISNUMBER(F78),F73+F76,"")</f>
        <v/>
      </c>
      <c r="G241" s="77">
        <f>IF(ISNUMBER(G78),G73+G76,"")</f>
        <v/>
      </c>
      <c r="H241" s="77">
        <f>IF(ISNUMBER(H78),H73+H76,"")</f>
        <v/>
      </c>
      <c r="I241" s="77">
        <f>IF(ISNUMBER(I78),I73+I76,"")</f>
        <v/>
      </c>
      <c r="J241" s="77">
        <f>IF(ISNUMBER(J78),J73+J76,"")</f>
        <v/>
      </c>
      <c r="K241" s="77">
        <f>IF(ISNUMBER(K78),K73+K76,"")</f>
        <v/>
      </c>
      <c r="L241" s="77">
        <f>IF(ISNUMBER(L78),L73+L76,"")</f>
        <v/>
      </c>
      <c r="M241" s="77">
        <f>IF(ISNUMBER(M78),M73+M76,"")</f>
        <v/>
      </c>
      <c r="N241" s="77">
        <f>IF(ISNUMBER(N78),N73+N76,"")</f>
        <v/>
      </c>
      <c r="O241" s="77">
        <f>IF(ISNUMBER(O78),O73+O76,"")</f>
        <v/>
      </c>
      <c r="P241" s="77">
        <f>IF(ISNUMBER(P78),P73+P76,"")</f>
        <v/>
      </c>
      <c r="Q241" s="77">
        <f>IF(ISNUMBER(Q78),Q73+Q76,"")</f>
        <v/>
      </c>
      <c r="R241" s="77">
        <f>IF(ISNUMBER(R78),R73+R76,"")</f>
        <v/>
      </c>
      <c r="S241" s="77">
        <f>IF(ISNUMBER(S78),S73+S76,"")</f>
        <v/>
      </c>
      <c r="T241" s="77">
        <f>IF(ISNUMBER(T78),T73+T76,"")</f>
        <v/>
      </c>
    </row>
    <row r="242">
      <c r="A242" s="77" t="inlineStr">
        <is>
          <t>DE</t>
        </is>
      </c>
      <c r="B242" s="77" t="inlineStr">
        <is>
          <t>medium</t>
        </is>
      </c>
      <c r="C242" s="77" t="inlineStr">
        <is>
          <t>E1</t>
        </is>
      </c>
      <c r="D242" s="77" t="inlineStr">
        <is>
          <t>R TOTAL (i)+(ii)+(iii) [= engine total]</t>
        </is>
      </c>
      <c r="E242" s="77">
        <f>IF(ISNUMBER(E78),SUM(E239:E241),"")</f>
        <v/>
      </c>
      <c r="F242" s="77">
        <f>IF(ISNUMBER(F78),SUM(F239:F241),"")</f>
        <v/>
      </c>
      <c r="G242" s="77">
        <f>IF(ISNUMBER(G78),SUM(G239:G241),"")</f>
        <v/>
      </c>
      <c r="H242" s="77">
        <f>IF(ISNUMBER(H78),SUM(H239:H241),"")</f>
        <v/>
      </c>
      <c r="I242" s="77">
        <f>IF(ISNUMBER(I78),SUM(I239:I241),"")</f>
        <v/>
      </c>
      <c r="J242" s="77">
        <f>IF(ISNUMBER(J78),SUM(J239:J241),"")</f>
        <v/>
      </c>
      <c r="K242" s="77">
        <f>IF(ISNUMBER(K78),SUM(K239:K241),"")</f>
        <v/>
      </c>
      <c r="L242" s="77">
        <f>IF(ISNUMBER(L78),SUM(L239:L241),"")</f>
        <v/>
      </c>
      <c r="M242" s="77">
        <f>IF(ISNUMBER(M78),SUM(M239:M241),"")</f>
        <v/>
      </c>
      <c r="N242" s="77">
        <f>IF(ISNUMBER(N78),SUM(N239:N241),"")</f>
        <v/>
      </c>
      <c r="O242" s="77">
        <f>IF(ISNUMBER(O78),SUM(O239:O241),"")</f>
        <v/>
      </c>
      <c r="P242" s="77">
        <f>IF(ISNUMBER(P78),SUM(P239:P241),"")</f>
        <v/>
      </c>
      <c r="Q242" s="77">
        <f>IF(ISNUMBER(Q78),SUM(Q239:Q241),"")</f>
        <v/>
      </c>
      <c r="R242" s="77">
        <f>IF(ISNUMBER(R78),SUM(R239:R241),"")</f>
        <v/>
      </c>
      <c r="S242" s="77">
        <f>IF(ISNUMBER(S78),SUM(S239:S241),"")</f>
        <v/>
      </c>
      <c r="T242" s="77">
        <f>IF(ISNUMBER(T78),SUM(T239:T241),"")</f>
        <v/>
      </c>
    </row>
    <row r="243">
      <c r="A243" s="77" t="inlineStr">
        <is>
          <t>DE</t>
        </is>
      </c>
      <c r="B243" s="77" t="inlineStr">
        <is>
          <t>medium</t>
        </is>
      </c>
      <c r="C243" s="77" t="inlineStr">
        <is>
          <t>E1</t>
        </is>
      </c>
      <c r="D243" s="77" t="inlineStr">
        <is>
          <t>R (iv) Wedge to observed = obs − E1 stack (D68 per-case; raw Eurostat X_VAT basis). NEGATIVE ≈ supply costs − relief embedded in the band average (relieved-dominated).</t>
        </is>
      </c>
      <c r="E243" s="77">
        <f>IF(OR(NOT(ISNUMBER(E78)),E139=0),"",E139)</f>
        <v/>
      </c>
      <c r="F243" s="77">
        <f>IF(OR(NOT(ISNUMBER(F78)),F139=0),"",F139)</f>
        <v/>
      </c>
      <c r="G243" s="77">
        <f>IF(OR(NOT(ISNUMBER(G78)),G139=0),"",G139)</f>
        <v/>
      </c>
      <c r="H243" s="77">
        <f>IF(OR(NOT(ISNUMBER(H78)),H139=0),"",H139)</f>
        <v/>
      </c>
      <c r="I243" s="77">
        <f>IF(OR(NOT(ISNUMBER(I78)),I139=0),"",I139)</f>
        <v/>
      </c>
      <c r="J243" s="77">
        <f>IF(OR(NOT(ISNUMBER(J78)),J139=0),"",J139)</f>
        <v/>
      </c>
      <c r="K243" s="77">
        <f>IF(OR(NOT(ISNUMBER(K78)),K139=0),"",K139)</f>
        <v/>
      </c>
      <c r="L243" s="77">
        <f>IF(OR(NOT(ISNUMBER(L78)),L139=0),"",L139)</f>
        <v/>
      </c>
      <c r="M243" s="77">
        <f>IF(OR(NOT(ISNUMBER(M78)),M139=0),"",M139)</f>
        <v/>
      </c>
      <c r="N243" s="77">
        <f>IF(OR(NOT(ISNUMBER(N78)),N139=0),"",N139)</f>
        <v/>
      </c>
      <c r="O243" s="77">
        <f>IF(OR(NOT(ISNUMBER(O78)),O139=0),"",O139)</f>
        <v/>
      </c>
      <c r="P243" s="77">
        <f>IF(OR(NOT(ISNUMBER(P78)),P139=0),"",P139)</f>
        <v/>
      </c>
      <c r="Q243" s="77">
        <f>IF(OR(NOT(ISNUMBER(Q78)),Q139=0),"",Q139)</f>
        <v/>
      </c>
      <c r="R243" s="77">
        <f>IF(OR(NOT(ISNUMBER(R78)),R139=0),"",R139)</f>
        <v/>
      </c>
      <c r="S243" s="77">
        <f>IF(OR(NOT(ISNUMBER(S78)),S139=0),"",S139)</f>
        <v/>
      </c>
      <c r="T243" s="77">
        <f>IF(OR(NOT(ISNUMBER(T78)),T139=0),"",T139)</f>
        <v/>
      </c>
    </row>
    <row r="244">
      <c r="A244" s="77" t="inlineStr">
        <is>
          <t>DE</t>
        </is>
      </c>
      <c r="B244" s="77" t="inlineStr">
        <is>
          <t>medium</t>
        </is>
      </c>
      <c r="C244" s="77" t="inlineStr">
        <is>
          <t>E1</t>
        </is>
      </c>
      <c r="D244" s="77" t="inlineStr">
        <is>
          <t>R RECON (numeric): four-bucket total − engine total</t>
        </is>
      </c>
      <c r="E244" s="77">
        <f>IF(AND(ISNUMBER(E242),ISNUMBER(E77)),ROUND(E242-E77,6),"")</f>
        <v/>
      </c>
      <c r="F244" s="77">
        <f>IF(AND(ISNUMBER(F242),ISNUMBER(F77)),ROUND(F242-F77,6),"")</f>
        <v/>
      </c>
      <c r="G244" s="77">
        <f>IF(AND(ISNUMBER(G242),ISNUMBER(G77)),ROUND(G242-G77,6),"")</f>
        <v/>
      </c>
      <c r="H244" s="77">
        <f>IF(AND(ISNUMBER(H242),ISNUMBER(H77)),ROUND(H242-H77,6),"")</f>
        <v/>
      </c>
      <c r="I244" s="77">
        <f>IF(AND(ISNUMBER(I242),ISNUMBER(I77)),ROUND(I242-I77,6),"")</f>
        <v/>
      </c>
      <c r="J244" s="77">
        <f>IF(AND(ISNUMBER(J242),ISNUMBER(J77)),ROUND(J242-J77,6),"")</f>
        <v/>
      </c>
      <c r="K244" s="77">
        <f>IF(AND(ISNUMBER(K242),ISNUMBER(K77)),ROUND(K242-K77,6),"")</f>
        <v/>
      </c>
      <c r="L244" s="77">
        <f>IF(AND(ISNUMBER(L242),ISNUMBER(L77)),ROUND(L242-L77,6),"")</f>
        <v/>
      </c>
      <c r="M244" s="77">
        <f>IF(AND(ISNUMBER(M242),ISNUMBER(M77)),ROUND(M242-M77,6),"")</f>
        <v/>
      </c>
      <c r="N244" s="77">
        <f>IF(AND(ISNUMBER(N242),ISNUMBER(N77)),ROUND(N242-N77,6),"")</f>
        <v/>
      </c>
      <c r="O244" s="77">
        <f>IF(AND(ISNUMBER(O242),ISNUMBER(O77)),ROUND(O242-O77,6),"")</f>
        <v/>
      </c>
      <c r="P244" s="77">
        <f>IF(AND(ISNUMBER(P242),ISNUMBER(P77)),ROUND(P242-P77,6),"")</f>
        <v/>
      </c>
      <c r="Q244" s="77">
        <f>IF(AND(ISNUMBER(Q242),ISNUMBER(Q77)),ROUND(Q242-Q77,6),"")</f>
        <v/>
      </c>
      <c r="R244" s="77">
        <f>IF(AND(ISNUMBER(R242),ISNUMBER(R77)),ROUND(R242-R77,6),"")</f>
        <v/>
      </c>
      <c r="S244" s="77">
        <f>IF(AND(ISNUMBER(S242),ISNUMBER(S77)),ROUND(S242-S77,6),"")</f>
        <v/>
      </c>
      <c r="T244" s="77">
        <f>IF(AND(ISNUMBER(T242),ISNUMBER(T77)),ROUND(T242-T77,6),"")</f>
        <v/>
      </c>
    </row>
    <row r="245">
      <c r="A245" s="77" t="inlineStr">
        <is>
          <t>DE</t>
        </is>
      </c>
      <c r="B245" s="77" t="inlineStr">
        <is>
          <t>medium</t>
        </is>
      </c>
      <c r="C245" s="77" t="inlineStr">
        <is>
          <t>E2</t>
        </is>
      </c>
      <c r="D245" s="77" t="inlineStr">
        <is>
          <t>R leg header — four buckets (D66)</t>
        </is>
      </c>
    </row>
    <row r="246">
      <c r="A246" s="77" t="inlineStr">
        <is>
          <t>DE</t>
        </is>
      </c>
      <c r="B246" s="77" t="inlineStr">
        <is>
          <t>medium</t>
        </is>
      </c>
      <c r="C246" s="77" t="inlineStr">
        <is>
          <t>E2</t>
        </is>
      </c>
      <c r="D246" s="77" t="inlineStr">
        <is>
          <t>R (i) Wholesale [= b1]</t>
        </is>
      </c>
      <c r="E246" s="77">
        <f>IF(ISNUMBER(E89),E83,"")</f>
        <v/>
      </c>
      <c r="F246" s="77">
        <f>IF(ISNUMBER(F89),F83,"")</f>
        <v/>
      </c>
      <c r="G246" s="77">
        <f>IF(ISNUMBER(G89),G83,"")</f>
        <v/>
      </c>
      <c r="H246" s="77">
        <f>IF(ISNUMBER(H89),H83,"")</f>
        <v/>
      </c>
      <c r="I246" s="77">
        <f>IF(ISNUMBER(I89),I83,"")</f>
        <v/>
      </c>
      <c r="J246" s="77">
        <f>IF(ISNUMBER(J89),J83,"")</f>
        <v/>
      </c>
      <c r="K246" s="77">
        <f>IF(ISNUMBER(K89),K83,"")</f>
        <v/>
      </c>
      <c r="L246" s="77">
        <f>IF(ISNUMBER(L89),L83,"")</f>
        <v/>
      </c>
      <c r="M246" s="77">
        <f>IF(ISNUMBER(M89),M83,"")</f>
        <v/>
      </c>
      <c r="N246" s="77">
        <f>IF(ISNUMBER(N89),N83,"")</f>
        <v/>
      </c>
      <c r="O246" s="77">
        <f>IF(ISNUMBER(O89),O83,"")</f>
        <v/>
      </c>
      <c r="P246" s="77">
        <f>IF(ISNUMBER(P89),P83,"")</f>
        <v/>
      </c>
      <c r="Q246" s="77">
        <f>IF(ISNUMBER(Q89),Q83,"")</f>
        <v/>
      </c>
      <c r="R246" s="77">
        <f>IF(ISNUMBER(R89),R83,"")</f>
        <v/>
      </c>
      <c r="S246" s="77">
        <f>IF(ISNUMBER(S89),S83,"")</f>
        <v/>
      </c>
      <c r="T246" s="77">
        <f>IF(ISNUMBER(T89),T83,"")</f>
        <v/>
      </c>
    </row>
    <row r="247">
      <c r="A247" s="77" t="inlineStr">
        <is>
          <t>DE</t>
        </is>
      </c>
      <c r="B247" s="77" t="inlineStr">
        <is>
          <t>medium</t>
        </is>
      </c>
      <c r="C247" s="77" t="inlineStr">
        <is>
          <t>E2</t>
        </is>
      </c>
      <c r="D247" s="77" t="inlineStr">
        <is>
          <t>R (ii) Network incl system services &amp; balancing [= b3+b4]</t>
        </is>
      </c>
      <c r="E247" s="77">
        <f>IF(ISNUMBER(E89),E85+E86,"")</f>
        <v/>
      </c>
      <c r="F247" s="77">
        <f>IF(ISNUMBER(F89),F85+F86,"")</f>
        <v/>
      </c>
      <c r="G247" s="77">
        <f>IF(ISNUMBER(G89),G85+G86,"")</f>
        <v/>
      </c>
      <c r="H247" s="77">
        <f>IF(ISNUMBER(H89),H85+H86,"")</f>
        <v/>
      </c>
      <c r="I247" s="77">
        <f>IF(ISNUMBER(I89),I85+I86,"")</f>
        <v/>
      </c>
      <c r="J247" s="77">
        <f>IF(ISNUMBER(J89),J85+J86,"")</f>
        <v/>
      </c>
      <c r="K247" s="77">
        <f>IF(ISNUMBER(K89),K85+K86,"")</f>
        <v/>
      </c>
      <c r="L247" s="77">
        <f>IF(ISNUMBER(L89),L85+L86,"")</f>
        <v/>
      </c>
      <c r="M247" s="77">
        <f>IF(ISNUMBER(M89),M85+M86,"")</f>
        <v/>
      </c>
      <c r="N247" s="77">
        <f>IF(ISNUMBER(N89),N85+N86,"")</f>
        <v/>
      </c>
      <c r="O247" s="77">
        <f>IF(ISNUMBER(O89),O85+O86,"")</f>
        <v/>
      </c>
      <c r="P247" s="77">
        <f>IF(ISNUMBER(P89),P85+P86,"")</f>
        <v/>
      </c>
      <c r="Q247" s="77">
        <f>IF(ISNUMBER(Q89),Q85+Q86,"")</f>
        <v/>
      </c>
      <c r="R247" s="77">
        <f>IF(ISNUMBER(R89),R85+R86,"")</f>
        <v/>
      </c>
      <c r="S247" s="77">
        <f>IF(ISNUMBER(S89),S85+S86,"")</f>
        <v/>
      </c>
      <c r="T247" s="77">
        <f>IF(ISNUMBER(T89),T85+T86,"")</f>
        <v/>
      </c>
    </row>
    <row r="248">
      <c r="A248" s="77" t="inlineStr">
        <is>
          <t>DE</t>
        </is>
      </c>
      <c r="B248" s="77" t="inlineStr">
        <is>
          <t>medium</t>
        </is>
      </c>
      <c r="C248" s="77" t="inlineStr">
        <is>
          <t>E2</t>
        </is>
      </c>
      <c r="D248" s="77" t="inlineStr">
        <is>
          <t>R (iii) Levies &amp; taxes incl gen-capital recovery [= b2+b5]</t>
        </is>
      </c>
      <c r="E248" s="77">
        <f>IF(ISNUMBER(E89),E84+E87,"")</f>
        <v/>
      </c>
      <c r="F248" s="77">
        <f>IF(ISNUMBER(F89),F84+F87,"")</f>
        <v/>
      </c>
      <c r="G248" s="77">
        <f>IF(ISNUMBER(G89),G84+G87,"")</f>
        <v/>
      </c>
      <c r="H248" s="77">
        <f>IF(ISNUMBER(H89),H84+H87,"")</f>
        <v/>
      </c>
      <c r="I248" s="77">
        <f>IF(ISNUMBER(I89),I84+I87,"")</f>
        <v/>
      </c>
      <c r="J248" s="77">
        <f>IF(ISNUMBER(J89),J84+J87,"")</f>
        <v/>
      </c>
      <c r="K248" s="77">
        <f>IF(ISNUMBER(K89),K84+K87,"")</f>
        <v/>
      </c>
      <c r="L248" s="77">
        <f>IF(ISNUMBER(L89),L84+L87,"")</f>
        <v/>
      </c>
      <c r="M248" s="77">
        <f>IF(ISNUMBER(M89),M84+M87,"")</f>
        <v/>
      </c>
      <c r="N248" s="77">
        <f>IF(ISNUMBER(N89),N84+N87,"")</f>
        <v/>
      </c>
      <c r="O248" s="77">
        <f>IF(ISNUMBER(O89),O84+O87,"")</f>
        <v/>
      </c>
      <c r="P248" s="77">
        <f>IF(ISNUMBER(P89),P84+P87,"")</f>
        <v/>
      </c>
      <c r="Q248" s="77">
        <f>IF(ISNUMBER(Q89),Q84+Q87,"")</f>
        <v/>
      </c>
      <c r="R248" s="77">
        <f>IF(ISNUMBER(R89),R84+R87,"")</f>
        <v/>
      </c>
      <c r="S248" s="77">
        <f>IF(ISNUMBER(S89),S84+S87,"")</f>
        <v/>
      </c>
      <c r="T248" s="77">
        <f>IF(ISNUMBER(T89),T84+T87,"")</f>
        <v/>
      </c>
    </row>
    <row r="249">
      <c r="A249" s="77" t="inlineStr">
        <is>
          <t>DE</t>
        </is>
      </c>
      <c r="B249" s="77" t="inlineStr">
        <is>
          <t>medium</t>
        </is>
      </c>
      <c r="C249" s="77" t="inlineStr">
        <is>
          <t>E2</t>
        </is>
      </c>
      <c r="D249" s="77" t="inlineStr">
        <is>
          <t>R TOTAL (i)+(ii)+(iii) [= engine total]</t>
        </is>
      </c>
      <c r="E249" s="77">
        <f>IF(ISNUMBER(E89),SUM(E246:E248),"")</f>
        <v/>
      </c>
      <c r="F249" s="77">
        <f>IF(ISNUMBER(F89),SUM(F246:F248),"")</f>
        <v/>
      </c>
      <c r="G249" s="77">
        <f>IF(ISNUMBER(G89),SUM(G246:G248),"")</f>
        <v/>
      </c>
      <c r="H249" s="77">
        <f>IF(ISNUMBER(H89),SUM(H246:H248),"")</f>
        <v/>
      </c>
      <c r="I249" s="77">
        <f>IF(ISNUMBER(I89),SUM(I246:I248),"")</f>
        <v/>
      </c>
      <c r="J249" s="77">
        <f>IF(ISNUMBER(J89),SUM(J246:J248),"")</f>
        <v/>
      </c>
      <c r="K249" s="77">
        <f>IF(ISNUMBER(K89),SUM(K246:K248),"")</f>
        <v/>
      </c>
      <c r="L249" s="77">
        <f>IF(ISNUMBER(L89),SUM(L246:L248),"")</f>
        <v/>
      </c>
      <c r="M249" s="77">
        <f>IF(ISNUMBER(M89),SUM(M246:M248),"")</f>
        <v/>
      </c>
      <c r="N249" s="77">
        <f>IF(ISNUMBER(N89),SUM(N246:N248),"")</f>
        <v/>
      </c>
      <c r="O249" s="77">
        <f>IF(ISNUMBER(O89),SUM(O246:O248),"")</f>
        <v/>
      </c>
      <c r="P249" s="77">
        <f>IF(ISNUMBER(P89),SUM(P246:P248),"")</f>
        <v/>
      </c>
      <c r="Q249" s="77">
        <f>IF(ISNUMBER(Q89),SUM(Q246:Q248),"")</f>
        <v/>
      </c>
      <c r="R249" s="77">
        <f>IF(ISNUMBER(R89),SUM(R246:R248),"")</f>
        <v/>
      </c>
      <c r="S249" s="77">
        <f>IF(ISNUMBER(S89),SUM(S246:S248),"")</f>
        <v/>
      </c>
      <c r="T249" s="77">
        <f>IF(ISNUMBER(T89),SUM(T246:T248),"")</f>
        <v/>
      </c>
    </row>
    <row r="250">
      <c r="A250" s="77" t="inlineStr">
        <is>
          <t>DE</t>
        </is>
      </c>
      <c r="B250" s="77" t="inlineStr">
        <is>
          <t>medium</t>
        </is>
      </c>
      <c r="C250" s="77" t="inlineStr">
        <is>
          <t>E2</t>
        </is>
      </c>
      <c r="D250" s="77" t="inlineStr">
        <is>
          <t>R (iv) Wedge to observed = obs ID − E2 stack (D68 per-case; raw basis). Population-matched headline view: ≈ supply costs + relief-spectrum premium of the unrelieved minority (D67 rationale).</t>
        </is>
      </c>
      <c r="E250" s="77">
        <f>IF(AND(ISNUMBER(timeseries!D88),ISNUMBER(timeseries!D85)),timeseries!D88-E88,"")</f>
        <v/>
      </c>
      <c r="F250" s="77">
        <f>IF(AND(ISNUMBER(timeseries!E88),ISNUMBER(timeseries!E85)),timeseries!E88-F88,"")</f>
        <v/>
      </c>
      <c r="G250" s="77">
        <f>IF(AND(ISNUMBER(timeseries!F88),ISNUMBER(timeseries!F85)),timeseries!F88-G88,"")</f>
        <v/>
      </c>
      <c r="H250" s="77">
        <f>IF(AND(ISNUMBER(timeseries!G88),ISNUMBER(timeseries!G85)),timeseries!G88-H88,"")</f>
        <v/>
      </c>
      <c r="I250" s="77">
        <f>IF(AND(ISNUMBER(timeseries!H88),ISNUMBER(timeseries!H85)),timeseries!H88-I88,"")</f>
        <v/>
      </c>
      <c r="J250" s="77">
        <f>IF(AND(ISNUMBER(timeseries!I88),ISNUMBER(timeseries!I85)),timeseries!I88-J88,"")</f>
        <v/>
      </c>
      <c r="K250" s="77">
        <f>IF(AND(ISNUMBER(timeseries!J88),ISNUMBER(timeseries!J85)),timeseries!J88-K88,"")</f>
        <v/>
      </c>
      <c r="L250" s="77">
        <f>IF(AND(ISNUMBER(timeseries!K88),ISNUMBER(timeseries!K85)),timeseries!K88-L88,"")</f>
        <v/>
      </c>
      <c r="M250" s="77">
        <f>IF(AND(ISNUMBER(timeseries!L88),ISNUMBER(timeseries!L85)),timeseries!L88-M88,"")</f>
        <v/>
      </c>
      <c r="N250" s="77">
        <f>IF(AND(ISNUMBER(timeseries!M88),ISNUMBER(timeseries!M85)),timeseries!M88-N88,"")</f>
        <v/>
      </c>
      <c r="O250" s="77">
        <f>IF(AND(ISNUMBER(timeseries!N88),ISNUMBER(timeseries!N85)),timeseries!N88-O88,"")</f>
        <v/>
      </c>
      <c r="P250" s="77">
        <f>IF(AND(ISNUMBER(timeseries!O88),ISNUMBER(timeseries!O85)),timeseries!O88-P88,"")</f>
        <v/>
      </c>
      <c r="Q250" s="77">
        <f>IF(AND(ISNUMBER(timeseries!P88),ISNUMBER(timeseries!P85)),timeseries!P88-Q88,"")</f>
        <v/>
      </c>
      <c r="R250" s="77">
        <f>IF(AND(ISNUMBER(timeseries!Q88),ISNUMBER(timeseries!Q85)),timeseries!Q88-R88,"")</f>
        <v/>
      </c>
      <c r="S250" s="77">
        <f>IF(AND(ISNUMBER(timeseries!R88),ISNUMBER(timeseries!R85)),timeseries!R88-S88,"")</f>
        <v/>
      </c>
      <c r="T250" s="77">
        <f>IF(AND(ISNUMBER(timeseries!S88),ISNUMBER(timeseries!S85)),timeseries!S88-T88,"")</f>
        <v/>
      </c>
    </row>
    <row r="251">
      <c r="A251" s="77" t="inlineStr">
        <is>
          <t>DE</t>
        </is>
      </c>
      <c r="B251" s="77" t="inlineStr">
        <is>
          <t>medium</t>
        </is>
      </c>
      <c r="C251" s="77" t="inlineStr">
        <is>
          <t>E2</t>
        </is>
      </c>
      <c r="D251" s="77" t="inlineStr">
        <is>
          <t>R RECON (numeric): four-bucket total − engine total</t>
        </is>
      </c>
      <c r="E251" s="77">
        <f>IF(AND(ISNUMBER(E249),ISNUMBER(E88)),ROUND(E249-E88,6),"")</f>
        <v/>
      </c>
      <c r="F251" s="77">
        <f>IF(AND(ISNUMBER(F249),ISNUMBER(F88)),ROUND(F249-F88,6),"")</f>
        <v/>
      </c>
      <c r="G251" s="77">
        <f>IF(AND(ISNUMBER(G249),ISNUMBER(G88)),ROUND(G249-G88,6),"")</f>
        <v/>
      </c>
      <c r="H251" s="77">
        <f>IF(AND(ISNUMBER(H249),ISNUMBER(H88)),ROUND(H249-H88,6),"")</f>
        <v/>
      </c>
      <c r="I251" s="77">
        <f>IF(AND(ISNUMBER(I249),ISNUMBER(I88)),ROUND(I249-I88,6),"")</f>
        <v/>
      </c>
      <c r="J251" s="77">
        <f>IF(AND(ISNUMBER(J249),ISNUMBER(J88)),ROUND(J249-J88,6),"")</f>
        <v/>
      </c>
      <c r="K251" s="77">
        <f>IF(AND(ISNUMBER(K249),ISNUMBER(K88)),ROUND(K249-K88,6),"")</f>
        <v/>
      </c>
      <c r="L251" s="77">
        <f>IF(AND(ISNUMBER(L249),ISNUMBER(L88)),ROUND(L249-L88,6),"")</f>
        <v/>
      </c>
      <c r="M251" s="77">
        <f>IF(AND(ISNUMBER(M249),ISNUMBER(M88)),ROUND(M249-M88,6),"")</f>
        <v/>
      </c>
      <c r="N251" s="77">
        <f>IF(AND(ISNUMBER(N249),ISNUMBER(N88)),ROUND(N249-N88,6),"")</f>
        <v/>
      </c>
      <c r="O251" s="77">
        <f>IF(AND(ISNUMBER(O249),ISNUMBER(O88)),ROUND(O249-O88,6),"")</f>
        <v/>
      </c>
      <c r="P251" s="77">
        <f>IF(AND(ISNUMBER(P249),ISNUMBER(P88)),ROUND(P249-P88,6),"")</f>
        <v/>
      </c>
      <c r="Q251" s="77">
        <f>IF(AND(ISNUMBER(Q249),ISNUMBER(Q88)),ROUND(Q249-Q88,6),"")</f>
        <v/>
      </c>
      <c r="R251" s="77">
        <f>IF(AND(ISNUMBER(R249),ISNUMBER(R88)),ROUND(R249-R88,6),"")</f>
        <v/>
      </c>
      <c r="S251" s="77">
        <f>IF(AND(ISNUMBER(S249),ISNUMBER(S88)),ROUND(S249-S88,6),"")</f>
        <v/>
      </c>
      <c r="T251" s="77">
        <f>IF(AND(ISNUMBER(T249),ISNUMBER(T88)),ROUND(T249-T88,6),"")</f>
        <v/>
      </c>
    </row>
    <row r="252">
      <c r="A252" s="77" t="inlineStr">
        <is>
          <t>CN</t>
        </is>
      </c>
      <c r="B252" s="77" t="inlineStr">
        <is>
          <t>large</t>
        </is>
      </c>
      <c r="C252" s="77" t="inlineStr">
        <is>
          <t>E1=E2</t>
        </is>
      </c>
      <c r="D252" s="77" t="inlineStr">
        <is>
          <t>R leg header — four buckets (D66); CN: no supply-wedge analogue (documented tariff = delivered price)</t>
        </is>
      </c>
    </row>
    <row r="253">
      <c r="A253" s="77" t="inlineStr">
        <is>
          <t>CN</t>
        </is>
      </c>
      <c r="B253" s="77" t="inlineStr">
        <is>
          <t>large</t>
        </is>
      </c>
      <c r="C253" s="77" t="inlineStr">
        <is>
          <t>E1=E2</t>
        </is>
      </c>
      <c r="D253" s="77" t="inlineStr">
        <is>
          <t>R 1-4 bundled (CN catalogue, pre-2022; spans W+N+L&amp;T, non-splittable)</t>
        </is>
      </c>
      <c r="E253" s="77">
        <f>IF(ISNUMBER(E101),E94,"")</f>
        <v/>
      </c>
      <c r="F253" s="77">
        <f>IF(ISNUMBER(F101),F94,"")</f>
        <v/>
      </c>
      <c r="G253" s="77">
        <f>IF(ISNUMBER(G101),G94,"")</f>
        <v/>
      </c>
      <c r="H253" s="77">
        <f>IF(ISNUMBER(H101),H94,"")</f>
        <v/>
      </c>
      <c r="I253" s="77">
        <f>IF(ISNUMBER(I101),I94,"")</f>
        <v/>
      </c>
      <c r="J253" s="77">
        <f>IF(ISNUMBER(J101),J94,"")</f>
        <v/>
      </c>
      <c r="K253" s="77">
        <f>IF(ISNUMBER(K101),K94,"")</f>
        <v/>
      </c>
      <c r="L253" s="77">
        <f>IF(ISNUMBER(L101),L94,"")</f>
        <v/>
      </c>
      <c r="M253" s="77">
        <f>IF(ISNUMBER(M101),M94,"")</f>
        <v/>
      </c>
      <c r="N253" s="77">
        <f>IF(ISNUMBER(N101),N94,"")</f>
        <v/>
      </c>
      <c r="O253" s="77">
        <f>IF(ISNUMBER(O101),O94,"")</f>
        <v/>
      </c>
      <c r="P253" s="77">
        <f>IF(ISNUMBER(P101),P94,"")</f>
        <v/>
      </c>
      <c r="Q253" s="77">
        <f>IF(ISNUMBER(Q101),Q94,"")</f>
        <v/>
      </c>
      <c r="R253" s="77">
        <f>IF(ISNUMBER(R101),R94,"")</f>
        <v/>
      </c>
      <c r="S253" s="77">
        <f>IF(ISNUMBER(S101),S94,"")</f>
        <v/>
      </c>
      <c r="T253" s="77">
        <f>IF(ISNUMBER(T101),T94,"")</f>
        <v/>
      </c>
    </row>
    <row r="254">
      <c r="A254" s="77" t="inlineStr">
        <is>
          <t>CN</t>
        </is>
      </c>
      <c r="B254" s="77" t="inlineStr">
        <is>
          <t>large</t>
        </is>
      </c>
      <c r="C254" s="77" t="inlineStr">
        <is>
          <t>E1=E2</t>
        </is>
      </c>
      <c r="D254" s="77" t="inlineStr">
        <is>
          <t>R (i) Wholesale [= b1]</t>
        </is>
      </c>
      <c r="E254" s="77">
        <f>IF(ISNUMBER(E101),E95,"")</f>
        <v/>
      </c>
      <c r="F254" s="77">
        <f>IF(ISNUMBER(F101),F95,"")</f>
        <v/>
      </c>
      <c r="G254" s="77">
        <f>IF(ISNUMBER(G101),G95,"")</f>
        <v/>
      </c>
      <c r="H254" s="77">
        <f>IF(ISNUMBER(H101),H95,"")</f>
        <v/>
      </c>
      <c r="I254" s="77">
        <f>IF(ISNUMBER(I101),I95,"")</f>
        <v/>
      </c>
      <c r="J254" s="77">
        <f>IF(ISNUMBER(J101),J95,"")</f>
        <v/>
      </c>
      <c r="K254" s="77">
        <f>IF(ISNUMBER(K101),K95,"")</f>
        <v/>
      </c>
      <c r="L254" s="77">
        <f>IF(ISNUMBER(L101),L95,"")</f>
        <v/>
      </c>
      <c r="M254" s="77">
        <f>IF(ISNUMBER(M101),M95,"")</f>
        <v/>
      </c>
      <c r="N254" s="77">
        <f>IF(ISNUMBER(N101),N95,"")</f>
        <v/>
      </c>
      <c r="O254" s="77">
        <f>IF(ISNUMBER(O101),O95,"")</f>
        <v/>
      </c>
      <c r="P254" s="77">
        <f>IF(ISNUMBER(P101),P95,"")</f>
        <v/>
      </c>
      <c r="Q254" s="77">
        <f>IF(ISNUMBER(Q101),Q95,"")</f>
        <v/>
      </c>
      <c r="R254" s="77">
        <f>IF(ISNUMBER(R101),R95,"")</f>
        <v/>
      </c>
      <c r="S254" s="77">
        <f>IF(ISNUMBER(S101),S95,"")</f>
        <v/>
      </c>
      <c r="T254" s="77">
        <f>IF(ISNUMBER(T101),T95,"")</f>
        <v/>
      </c>
    </row>
    <row r="255">
      <c r="A255" s="77" t="inlineStr">
        <is>
          <t>CN</t>
        </is>
      </c>
      <c r="B255" s="77" t="inlineStr">
        <is>
          <t>large</t>
        </is>
      </c>
      <c r="C255" s="77" t="inlineStr">
        <is>
          <t>E1=E2</t>
        </is>
      </c>
      <c r="D255" s="77" t="inlineStr">
        <is>
          <t>R (ii) Network incl system services &amp; balancing [= b3+b4]</t>
        </is>
      </c>
      <c r="E255" s="77">
        <f>IF(ISNUMBER(E101),E97+E98,"")</f>
        <v/>
      </c>
      <c r="F255" s="77">
        <f>IF(ISNUMBER(F101),F97+F98,"")</f>
        <v/>
      </c>
      <c r="G255" s="77">
        <f>IF(ISNUMBER(G101),G97+G98,"")</f>
        <v/>
      </c>
      <c r="H255" s="77">
        <f>IF(ISNUMBER(H101),H97+H98,"")</f>
        <v/>
      </c>
      <c r="I255" s="77">
        <f>IF(ISNUMBER(I101),I97+I98,"")</f>
        <v/>
      </c>
      <c r="J255" s="77">
        <f>IF(ISNUMBER(J101),J97+J98,"")</f>
        <v/>
      </c>
      <c r="K255" s="77">
        <f>IF(ISNUMBER(K101),K97+K98,"")</f>
        <v/>
      </c>
      <c r="L255" s="77">
        <f>IF(ISNUMBER(L101),L97+L98,"")</f>
        <v/>
      </c>
      <c r="M255" s="77">
        <f>IF(ISNUMBER(M101),M97+M98,"")</f>
        <v/>
      </c>
      <c r="N255" s="77">
        <f>IF(ISNUMBER(N101),N97+N98,"")</f>
        <v/>
      </c>
      <c r="O255" s="77">
        <f>IF(ISNUMBER(O101),O97+O98,"")</f>
        <v/>
      </c>
      <c r="P255" s="77">
        <f>IF(ISNUMBER(P101),P97+P98,"")</f>
        <v/>
      </c>
      <c r="Q255" s="77">
        <f>IF(ISNUMBER(Q101),Q97+Q98,"")</f>
        <v/>
      </c>
      <c r="R255" s="77">
        <f>IF(ISNUMBER(R101),R97+R98,"")</f>
        <v/>
      </c>
      <c r="S255" s="77">
        <f>IF(ISNUMBER(S101),S97+S98,"")</f>
        <v/>
      </c>
      <c r="T255" s="77">
        <f>IF(ISNUMBER(T101),T97+T98,"")</f>
        <v/>
      </c>
    </row>
    <row r="256">
      <c r="A256" s="77" t="inlineStr">
        <is>
          <t>CN</t>
        </is>
      </c>
      <c r="B256" s="77" t="inlineStr">
        <is>
          <t>large</t>
        </is>
      </c>
      <c r="C256" s="77" t="inlineStr">
        <is>
          <t>E1=E2</t>
        </is>
      </c>
      <c r="D256" s="77" t="inlineStr">
        <is>
          <t>R (iii) Levies &amp; taxes incl gen-capital recovery [= b2+b5]</t>
        </is>
      </c>
      <c r="E256" s="77">
        <f>IF(ISNUMBER(E101),E96+E99,"")</f>
        <v/>
      </c>
      <c r="F256" s="77">
        <f>IF(ISNUMBER(F101),F96+F99,"")</f>
        <v/>
      </c>
      <c r="G256" s="77">
        <f>IF(ISNUMBER(G101),G96+G99,"")</f>
        <v/>
      </c>
      <c r="H256" s="77">
        <f>IF(ISNUMBER(H101),H96+H99,"")</f>
        <v/>
      </c>
      <c r="I256" s="77">
        <f>IF(ISNUMBER(I101),I96+I99,"")</f>
        <v/>
      </c>
      <c r="J256" s="77">
        <f>IF(ISNUMBER(J101),J96+J99,"")</f>
        <v/>
      </c>
      <c r="K256" s="77">
        <f>IF(ISNUMBER(K101),K96+K99,"")</f>
        <v/>
      </c>
      <c r="L256" s="77">
        <f>IF(ISNUMBER(L101),L96+L99,"")</f>
        <v/>
      </c>
      <c r="M256" s="77">
        <f>IF(ISNUMBER(M101),M96+M99,"")</f>
        <v/>
      </c>
      <c r="N256" s="77">
        <f>IF(ISNUMBER(N101),N96+N99,"")</f>
        <v/>
      </c>
      <c r="O256" s="77">
        <f>IF(ISNUMBER(O101),O96+O99,"")</f>
        <v/>
      </c>
      <c r="P256" s="77">
        <f>IF(ISNUMBER(P101),P96+P99,"")</f>
        <v/>
      </c>
      <c r="Q256" s="77">
        <f>IF(ISNUMBER(Q101),Q96+Q99,"")</f>
        <v/>
      </c>
      <c r="R256" s="77">
        <f>IF(ISNUMBER(R101),R96+R99,"")</f>
        <v/>
      </c>
      <c r="S256" s="77">
        <f>IF(ISNUMBER(S101),S96+S99,"")</f>
        <v/>
      </c>
      <c r="T256" s="77">
        <f>IF(ISNUMBER(T101),T96+T99,"")</f>
        <v/>
      </c>
    </row>
    <row r="257">
      <c r="A257" s="77" t="inlineStr">
        <is>
          <t>CN</t>
        </is>
      </c>
      <c r="B257" s="77" t="inlineStr">
        <is>
          <t>large</t>
        </is>
      </c>
      <c r="C257" s="77" t="inlineStr">
        <is>
          <t>E1=E2</t>
        </is>
      </c>
      <c r="D257" s="77" t="inlineStr">
        <is>
          <t>R TOTAL bundled+(i)+(ii)+(iii) [= engine total]</t>
        </is>
      </c>
      <c r="E257" s="77">
        <f>IF(ISNUMBER(E101),SUM(E253:E256),"")</f>
        <v/>
      </c>
      <c r="F257" s="77">
        <f>IF(ISNUMBER(F101),SUM(F253:F256),"")</f>
        <v/>
      </c>
      <c r="G257" s="77">
        <f>IF(ISNUMBER(G101),SUM(G253:G256),"")</f>
        <v/>
      </c>
      <c r="H257" s="77">
        <f>IF(ISNUMBER(H101),SUM(H253:H256),"")</f>
        <v/>
      </c>
      <c r="I257" s="77">
        <f>IF(ISNUMBER(I101),SUM(I253:I256),"")</f>
        <v/>
      </c>
      <c r="J257" s="77">
        <f>IF(ISNUMBER(J101),SUM(J253:J256),"")</f>
        <v/>
      </c>
      <c r="K257" s="77">
        <f>IF(ISNUMBER(K101),SUM(K253:K256),"")</f>
        <v/>
      </c>
      <c r="L257" s="77">
        <f>IF(ISNUMBER(L101),SUM(L253:L256),"")</f>
        <v/>
      </c>
      <c r="M257" s="77">
        <f>IF(ISNUMBER(M101),SUM(M253:M256),"")</f>
        <v/>
      </c>
      <c r="N257" s="77">
        <f>IF(ISNUMBER(N101),SUM(N253:N256),"")</f>
        <v/>
      </c>
      <c r="O257" s="77">
        <f>IF(ISNUMBER(O101),SUM(O253:O256),"")</f>
        <v/>
      </c>
      <c r="P257" s="77">
        <f>IF(ISNUMBER(P101),SUM(P253:P256),"")</f>
        <v/>
      </c>
      <c r="Q257" s="77">
        <f>IF(ISNUMBER(Q101),SUM(Q253:Q256),"")</f>
        <v/>
      </c>
      <c r="R257" s="77">
        <f>IF(ISNUMBER(R101),SUM(R253:R256),"")</f>
        <v/>
      </c>
      <c r="S257" s="77">
        <f>IF(ISNUMBER(S101),SUM(S253:S256),"")</f>
        <v/>
      </c>
      <c r="T257" s="77">
        <f>IF(ISNUMBER(T101),SUM(T253:T256),"")</f>
        <v/>
      </c>
    </row>
    <row r="258">
      <c r="A258" s="77" t="inlineStr">
        <is>
          <t>CN</t>
        </is>
      </c>
      <c r="B258" s="77" t="inlineStr">
        <is>
          <t>large</t>
        </is>
      </c>
      <c r="C258" s="77" t="inlineStr">
        <is>
          <t>E1=E2</t>
        </is>
      </c>
      <c r="D258" s="77" t="inlineStr">
        <is>
          <t>R RECON (numeric): four-bucket total − engine total</t>
        </is>
      </c>
      <c r="E258" s="77">
        <f>IF(AND(ISNUMBER(E257),ISNUMBER(E100)),ROUND(E257-E100,6),"")</f>
        <v/>
      </c>
      <c r="F258" s="77">
        <f>IF(AND(ISNUMBER(F257),ISNUMBER(F100)),ROUND(F257-F100,6),"")</f>
        <v/>
      </c>
      <c r="G258" s="77">
        <f>IF(AND(ISNUMBER(G257),ISNUMBER(G100)),ROUND(G257-G100,6),"")</f>
        <v/>
      </c>
      <c r="H258" s="77">
        <f>IF(AND(ISNUMBER(H257),ISNUMBER(H100)),ROUND(H257-H100,6),"")</f>
        <v/>
      </c>
      <c r="I258" s="77">
        <f>IF(AND(ISNUMBER(I257),ISNUMBER(I100)),ROUND(I257-I100,6),"")</f>
        <v/>
      </c>
      <c r="J258" s="77">
        <f>IF(AND(ISNUMBER(J257),ISNUMBER(J100)),ROUND(J257-J100,6),"")</f>
        <v/>
      </c>
      <c r="K258" s="77">
        <f>IF(AND(ISNUMBER(K257),ISNUMBER(K100)),ROUND(K257-K100,6),"")</f>
        <v/>
      </c>
      <c r="L258" s="77">
        <f>IF(AND(ISNUMBER(L257),ISNUMBER(L100)),ROUND(L257-L100,6),"")</f>
        <v/>
      </c>
      <c r="M258" s="77">
        <f>IF(AND(ISNUMBER(M257),ISNUMBER(M100)),ROUND(M257-M100,6),"")</f>
        <v/>
      </c>
      <c r="N258" s="77">
        <f>IF(AND(ISNUMBER(N257),ISNUMBER(N100)),ROUND(N257-N100,6),"")</f>
        <v/>
      </c>
      <c r="O258" s="77">
        <f>IF(AND(ISNUMBER(O257),ISNUMBER(O100)),ROUND(O257-O100,6),"")</f>
        <v/>
      </c>
      <c r="P258" s="77">
        <f>IF(AND(ISNUMBER(P257),ISNUMBER(P100)),ROUND(P257-P100,6),"")</f>
        <v/>
      </c>
      <c r="Q258" s="77">
        <f>IF(AND(ISNUMBER(Q257),ISNUMBER(Q100)),ROUND(Q257-Q100,6),"")</f>
        <v/>
      </c>
      <c r="R258" s="77">
        <f>IF(AND(ISNUMBER(R257),ISNUMBER(R100)),ROUND(R257-R100,6),"")</f>
        <v/>
      </c>
      <c r="S258" s="77">
        <f>IF(AND(ISNUMBER(S257),ISNUMBER(S100)),ROUND(S257-S100,6),"")</f>
        <v/>
      </c>
      <c r="T258" s="77">
        <f>IF(AND(ISNUMBER(T257),ISNUMBER(T100)),ROUND(T257-T100,6),"")</f>
        <v/>
      </c>
    </row>
    <row r="259">
      <c r="A259" s="77" t="inlineStr">
        <is>
          <t>CN</t>
        </is>
      </c>
      <c r="B259" s="77" t="inlineStr">
        <is>
          <t>medium</t>
        </is>
      </c>
      <c r="C259" s="77" t="inlineStr">
        <is>
          <t>E1=E2</t>
        </is>
      </c>
      <c r="D259" s="77" t="inlineStr">
        <is>
          <t>R leg header — four buckets (D66); CN: no supply-wedge analogue (documented tariff = delivered price)</t>
        </is>
      </c>
    </row>
    <row r="260">
      <c r="A260" s="77" t="inlineStr">
        <is>
          <t>CN</t>
        </is>
      </c>
      <c r="B260" s="77" t="inlineStr">
        <is>
          <t>medium</t>
        </is>
      </c>
      <c r="C260" s="77" t="inlineStr">
        <is>
          <t>E1=E2</t>
        </is>
      </c>
      <c r="D260" s="77" t="inlineStr">
        <is>
          <t>R 1-4 bundled (CN catalogue, pre-2022; spans W+N+L&amp;T, non-splittable)</t>
        </is>
      </c>
      <c r="E260" s="77">
        <f>IF(ISNUMBER(E113),E106,"")</f>
        <v/>
      </c>
      <c r="F260" s="77">
        <f>IF(ISNUMBER(F113),F106,"")</f>
        <v/>
      </c>
      <c r="G260" s="77">
        <f>IF(ISNUMBER(G113),G106,"")</f>
        <v/>
      </c>
      <c r="H260" s="77">
        <f>IF(ISNUMBER(H113),H106,"")</f>
        <v/>
      </c>
      <c r="I260" s="77">
        <f>IF(ISNUMBER(I113),I106,"")</f>
        <v/>
      </c>
      <c r="J260" s="77">
        <f>IF(ISNUMBER(J113),J106,"")</f>
        <v/>
      </c>
      <c r="K260" s="77">
        <f>IF(ISNUMBER(K113),K106,"")</f>
        <v/>
      </c>
      <c r="L260" s="77">
        <f>IF(ISNUMBER(L113),L106,"")</f>
        <v/>
      </c>
      <c r="M260" s="77">
        <f>IF(ISNUMBER(M113),M106,"")</f>
        <v/>
      </c>
      <c r="N260" s="77">
        <f>IF(ISNUMBER(N113),N106,"")</f>
        <v/>
      </c>
      <c r="O260" s="77">
        <f>IF(ISNUMBER(O113),O106,"")</f>
        <v/>
      </c>
      <c r="P260" s="77">
        <f>IF(ISNUMBER(P113),P106,"")</f>
        <v/>
      </c>
      <c r="Q260" s="77">
        <f>IF(ISNUMBER(Q113),Q106,"")</f>
        <v/>
      </c>
      <c r="R260" s="77">
        <f>IF(ISNUMBER(R113),R106,"")</f>
        <v/>
      </c>
      <c r="S260" s="77">
        <f>IF(ISNUMBER(S113),S106,"")</f>
        <v/>
      </c>
      <c r="T260" s="77">
        <f>IF(ISNUMBER(T113),T106,"")</f>
        <v/>
      </c>
    </row>
    <row r="261">
      <c r="A261" s="77" t="inlineStr">
        <is>
          <t>CN</t>
        </is>
      </c>
      <c r="B261" s="77" t="inlineStr">
        <is>
          <t>medium</t>
        </is>
      </c>
      <c r="C261" s="77" t="inlineStr">
        <is>
          <t>E1=E2</t>
        </is>
      </c>
      <c r="D261" s="77" t="inlineStr">
        <is>
          <t>R (i) Wholesale [= b1]</t>
        </is>
      </c>
      <c r="E261" s="77">
        <f>IF(ISNUMBER(E113),E107,"")</f>
        <v/>
      </c>
      <c r="F261" s="77">
        <f>IF(ISNUMBER(F113),F107,"")</f>
        <v/>
      </c>
      <c r="G261" s="77">
        <f>IF(ISNUMBER(G113),G107,"")</f>
        <v/>
      </c>
      <c r="H261" s="77">
        <f>IF(ISNUMBER(H113),H107,"")</f>
        <v/>
      </c>
      <c r="I261" s="77">
        <f>IF(ISNUMBER(I113),I107,"")</f>
        <v/>
      </c>
      <c r="J261" s="77">
        <f>IF(ISNUMBER(J113),J107,"")</f>
        <v/>
      </c>
      <c r="K261" s="77">
        <f>IF(ISNUMBER(K113),K107,"")</f>
        <v/>
      </c>
      <c r="L261" s="77">
        <f>IF(ISNUMBER(L113),L107,"")</f>
        <v/>
      </c>
      <c r="M261" s="77">
        <f>IF(ISNUMBER(M113),M107,"")</f>
        <v/>
      </c>
      <c r="N261" s="77">
        <f>IF(ISNUMBER(N113),N107,"")</f>
        <v/>
      </c>
      <c r="O261" s="77">
        <f>IF(ISNUMBER(O113),O107,"")</f>
        <v/>
      </c>
      <c r="P261" s="77">
        <f>IF(ISNUMBER(P113),P107,"")</f>
        <v/>
      </c>
      <c r="Q261" s="77">
        <f>IF(ISNUMBER(Q113),Q107,"")</f>
        <v/>
      </c>
      <c r="R261" s="77">
        <f>IF(ISNUMBER(R113),R107,"")</f>
        <v/>
      </c>
      <c r="S261" s="77">
        <f>IF(ISNUMBER(S113),S107,"")</f>
        <v/>
      </c>
      <c r="T261" s="77">
        <f>IF(ISNUMBER(T113),T107,"")</f>
        <v/>
      </c>
    </row>
    <row r="262">
      <c r="A262" s="77" t="inlineStr">
        <is>
          <t>CN</t>
        </is>
      </c>
      <c r="B262" s="77" t="inlineStr">
        <is>
          <t>medium</t>
        </is>
      </c>
      <c r="C262" s="77" t="inlineStr">
        <is>
          <t>E1=E2</t>
        </is>
      </c>
      <c r="D262" s="77" t="inlineStr">
        <is>
          <t>R (ii) Network incl system services &amp; balancing [= b3+b4]</t>
        </is>
      </c>
      <c r="E262" s="77">
        <f>IF(ISNUMBER(E113),E109+E110,"")</f>
        <v/>
      </c>
      <c r="F262" s="77">
        <f>IF(ISNUMBER(F113),F109+F110,"")</f>
        <v/>
      </c>
      <c r="G262" s="77">
        <f>IF(ISNUMBER(G113),G109+G110,"")</f>
        <v/>
      </c>
      <c r="H262" s="77">
        <f>IF(ISNUMBER(H113),H109+H110,"")</f>
        <v/>
      </c>
      <c r="I262" s="77">
        <f>IF(ISNUMBER(I113),I109+I110,"")</f>
        <v/>
      </c>
      <c r="J262" s="77">
        <f>IF(ISNUMBER(J113),J109+J110,"")</f>
        <v/>
      </c>
      <c r="K262" s="77">
        <f>IF(ISNUMBER(K113),K109+K110,"")</f>
        <v/>
      </c>
      <c r="L262" s="77">
        <f>IF(ISNUMBER(L113),L109+L110,"")</f>
        <v/>
      </c>
      <c r="M262" s="77">
        <f>IF(ISNUMBER(M113),M109+M110,"")</f>
        <v/>
      </c>
      <c r="N262" s="77">
        <f>IF(ISNUMBER(N113),N109+N110,"")</f>
        <v/>
      </c>
      <c r="O262" s="77">
        <f>IF(ISNUMBER(O113),O109+O110,"")</f>
        <v/>
      </c>
      <c r="P262" s="77">
        <f>IF(ISNUMBER(P113),P109+P110,"")</f>
        <v/>
      </c>
      <c r="Q262" s="77">
        <f>IF(ISNUMBER(Q113),Q109+Q110,"")</f>
        <v/>
      </c>
      <c r="R262" s="77">
        <f>IF(ISNUMBER(R113),R109+R110,"")</f>
        <v/>
      </c>
      <c r="S262" s="77">
        <f>IF(ISNUMBER(S113),S109+S110,"")</f>
        <v/>
      </c>
      <c r="T262" s="77">
        <f>IF(ISNUMBER(T113),T109+T110,"")</f>
        <v/>
      </c>
    </row>
    <row r="263">
      <c r="A263" s="77" t="inlineStr">
        <is>
          <t>CN</t>
        </is>
      </c>
      <c r="B263" s="77" t="inlineStr">
        <is>
          <t>medium</t>
        </is>
      </c>
      <c r="C263" s="77" t="inlineStr">
        <is>
          <t>E1=E2</t>
        </is>
      </c>
      <c r="D263" s="77" t="inlineStr">
        <is>
          <t>R (iii) Levies &amp; taxes incl gen-capital recovery [= b2+b5]</t>
        </is>
      </c>
      <c r="E263" s="77">
        <f>IF(ISNUMBER(E113),E108+E111,"")</f>
        <v/>
      </c>
      <c r="F263" s="77">
        <f>IF(ISNUMBER(F113),F108+F111,"")</f>
        <v/>
      </c>
      <c r="G263" s="77">
        <f>IF(ISNUMBER(G113),G108+G111,"")</f>
        <v/>
      </c>
      <c r="H263" s="77">
        <f>IF(ISNUMBER(H113),H108+H111,"")</f>
        <v/>
      </c>
      <c r="I263" s="77">
        <f>IF(ISNUMBER(I113),I108+I111,"")</f>
        <v/>
      </c>
      <c r="J263" s="77">
        <f>IF(ISNUMBER(J113),J108+J111,"")</f>
        <v/>
      </c>
      <c r="K263" s="77">
        <f>IF(ISNUMBER(K113),K108+K111,"")</f>
        <v/>
      </c>
      <c r="L263" s="77">
        <f>IF(ISNUMBER(L113),L108+L111,"")</f>
        <v/>
      </c>
      <c r="M263" s="77">
        <f>IF(ISNUMBER(M113),M108+M111,"")</f>
        <v/>
      </c>
      <c r="N263" s="77">
        <f>IF(ISNUMBER(N113),N108+N111,"")</f>
        <v/>
      </c>
      <c r="O263" s="77">
        <f>IF(ISNUMBER(O113),O108+O111,"")</f>
        <v/>
      </c>
      <c r="P263" s="77">
        <f>IF(ISNUMBER(P113),P108+P111,"")</f>
        <v/>
      </c>
      <c r="Q263" s="77">
        <f>IF(ISNUMBER(Q113),Q108+Q111,"")</f>
        <v/>
      </c>
      <c r="R263" s="77">
        <f>IF(ISNUMBER(R113),R108+R111,"")</f>
        <v/>
      </c>
      <c r="S263" s="77">
        <f>IF(ISNUMBER(S113),S108+S111,"")</f>
        <v/>
      </c>
      <c r="T263" s="77">
        <f>IF(ISNUMBER(T113),T108+T111,"")</f>
        <v/>
      </c>
    </row>
    <row r="264">
      <c r="A264" s="77" t="inlineStr">
        <is>
          <t>CN</t>
        </is>
      </c>
      <c r="B264" s="77" t="inlineStr">
        <is>
          <t>medium</t>
        </is>
      </c>
      <c r="C264" s="77" t="inlineStr">
        <is>
          <t>E1=E2</t>
        </is>
      </c>
      <c r="D264" s="77" t="inlineStr">
        <is>
          <t>R TOTAL bundled+(i)+(ii)+(iii) [= engine total]</t>
        </is>
      </c>
      <c r="E264" s="77">
        <f>IF(ISNUMBER(E113),SUM(E260:E263),"")</f>
        <v/>
      </c>
      <c r="F264" s="77">
        <f>IF(ISNUMBER(F113),SUM(F260:F263),"")</f>
        <v/>
      </c>
      <c r="G264" s="77">
        <f>IF(ISNUMBER(G113),SUM(G260:G263),"")</f>
        <v/>
      </c>
      <c r="H264" s="77">
        <f>IF(ISNUMBER(H113),SUM(H260:H263),"")</f>
        <v/>
      </c>
      <c r="I264" s="77">
        <f>IF(ISNUMBER(I113),SUM(I260:I263),"")</f>
        <v/>
      </c>
      <c r="J264" s="77">
        <f>IF(ISNUMBER(J113),SUM(J260:J263),"")</f>
        <v/>
      </c>
      <c r="K264" s="77">
        <f>IF(ISNUMBER(K113),SUM(K260:K263),"")</f>
        <v/>
      </c>
      <c r="L264" s="77">
        <f>IF(ISNUMBER(L113),SUM(L260:L263),"")</f>
        <v/>
      </c>
      <c r="M264" s="77">
        <f>IF(ISNUMBER(M113),SUM(M260:M263),"")</f>
        <v/>
      </c>
      <c r="N264" s="77">
        <f>IF(ISNUMBER(N113),SUM(N260:N263),"")</f>
        <v/>
      </c>
      <c r="O264" s="77">
        <f>IF(ISNUMBER(O113),SUM(O260:O263),"")</f>
        <v/>
      </c>
      <c r="P264" s="77">
        <f>IF(ISNUMBER(P113),SUM(P260:P263),"")</f>
        <v/>
      </c>
      <c r="Q264" s="77">
        <f>IF(ISNUMBER(Q113),SUM(Q260:Q263),"")</f>
        <v/>
      </c>
      <c r="R264" s="77">
        <f>IF(ISNUMBER(R113),SUM(R260:R263),"")</f>
        <v/>
      </c>
      <c r="S264" s="77">
        <f>IF(ISNUMBER(S113),SUM(S260:S263),"")</f>
        <v/>
      </c>
      <c r="T264" s="77">
        <f>IF(ISNUMBER(T113),SUM(T260:T263),"")</f>
        <v/>
      </c>
    </row>
    <row r="265">
      <c r="A265" s="77" t="inlineStr">
        <is>
          <t>CN</t>
        </is>
      </c>
      <c r="B265" s="77" t="inlineStr">
        <is>
          <t>medium</t>
        </is>
      </c>
      <c r="C265" s="77" t="inlineStr">
        <is>
          <t>E1=E2</t>
        </is>
      </c>
      <c r="D265" s="77" t="inlineStr">
        <is>
          <t>R RECON (numeric): four-bucket total − engine total</t>
        </is>
      </c>
      <c r="E265" s="77">
        <f>IF(AND(ISNUMBER(E264),ISNUMBER(E112)),ROUND(E264-E112,6),"")</f>
        <v/>
      </c>
      <c r="F265" s="77">
        <f>IF(AND(ISNUMBER(F264),ISNUMBER(F112)),ROUND(F264-F112,6),"")</f>
        <v/>
      </c>
      <c r="G265" s="77">
        <f>IF(AND(ISNUMBER(G264),ISNUMBER(G112)),ROUND(G264-G112,6),"")</f>
        <v/>
      </c>
      <c r="H265" s="77">
        <f>IF(AND(ISNUMBER(H264),ISNUMBER(H112)),ROUND(H264-H112,6),"")</f>
        <v/>
      </c>
      <c r="I265" s="77">
        <f>IF(AND(ISNUMBER(I264),ISNUMBER(I112)),ROUND(I264-I112,6),"")</f>
        <v/>
      </c>
      <c r="J265" s="77">
        <f>IF(AND(ISNUMBER(J264),ISNUMBER(J112)),ROUND(J264-J112,6),"")</f>
        <v/>
      </c>
      <c r="K265" s="77">
        <f>IF(AND(ISNUMBER(K264),ISNUMBER(K112)),ROUND(K264-K112,6),"")</f>
        <v/>
      </c>
      <c r="L265" s="77">
        <f>IF(AND(ISNUMBER(L264),ISNUMBER(L112)),ROUND(L264-L112,6),"")</f>
        <v/>
      </c>
      <c r="M265" s="77">
        <f>IF(AND(ISNUMBER(M264),ISNUMBER(M112)),ROUND(M264-M112,6),"")</f>
        <v/>
      </c>
      <c r="N265" s="77">
        <f>IF(AND(ISNUMBER(N264),ISNUMBER(N112)),ROUND(N264-N112,6),"")</f>
        <v/>
      </c>
      <c r="O265" s="77">
        <f>IF(AND(ISNUMBER(O264),ISNUMBER(O112)),ROUND(O264-O112,6),"")</f>
        <v/>
      </c>
      <c r="P265" s="77">
        <f>IF(AND(ISNUMBER(P264),ISNUMBER(P112)),ROUND(P264-P112,6),"")</f>
        <v/>
      </c>
      <c r="Q265" s="77">
        <f>IF(AND(ISNUMBER(Q264),ISNUMBER(Q112)),ROUND(Q264-Q112,6),"")</f>
        <v/>
      </c>
      <c r="R265" s="77">
        <f>IF(AND(ISNUMBER(R264),ISNUMBER(R112)),ROUND(R264-R112,6),"")</f>
        <v/>
      </c>
      <c r="S265" s="77">
        <f>IF(AND(ISNUMBER(S264),ISNUMBER(S112)),ROUND(S264-S112,6),"")</f>
        <v/>
      </c>
      <c r="T265" s="77">
        <f>IF(AND(ISNUMBER(T264),ISNUMBER(T112)),ROUND(T264-T112,6),"")</f>
        <v/>
      </c>
    </row>
    <row r="266">
      <c r="A266" s="77" t="inlineStr">
        <is>
          <t>Anchors 2025 (real USD/MWh): UK L E1 106.25 W / 30.30 N / 71.26 L&amp;T (207.81 — W now includes the D70 line-loss gross-up); wedges (D68 per-case): UK L E1 +78.48, UK L E2 +157.64, UK M E1 +107.80, UK M E2 +191.06; DE L E1 −6.31, DE L E2 +41.74, DE M E1 +28.39, DE M E2 +51.27; CN L 59.21/16.46/11.20 (86.87), no wedge. CSS evidence (Q88): UK E1 wedge is NOT mainly margin — 2024 $23.6 ≈ $8.1 retail opex + $9.4 EBIT + $6.1 residual (was $25.2/$7.7 before D70 losses); crisis sign-flips are hedge-vintage (UK 2021/2023; DE 2023 incl Strompreisbremse). DE E2 wedge ≈ supply + relief spectrum (2014 peak +86 — unrelieved minority carried levies larger than wholesale). See stage4_uk r56–59, css_margin_bracket_staging.md.</t>
        </is>
      </c>
    </row>
    <row r="267">
      <c r="A267" s="77" t="inlineStr">
        <is>
          <t>CN: no formal exemption/retail-margin analogue — the documented tariff is already the delivered price (wedge n/a); pre-2022 catalogue bundle shown as its own non-splittable line.</t>
        </is>
      </c>
    </row>
    <row r="268">
      <c r="A268" s="77" t="inlineStr">
        <is>
          <t>Dashboard mapping (tab 3 four-bucket view, default): W=--b1, N=--b3, L&amp;T=--b2, supply wedge=--b5 hatched.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T6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78">
      <c r="A1" s="77" t="inlineStr">
        <is>
          <t>STAGE 7 — NETWORK CHARGE DRIVERS AND PROJECTION (D43: utilisation metric = system load factor, with revenue/volume driver split; D44: horizon 2030/31 + indicative 2035, published scenarios only, NOMINAL LOCAL currency as published (UK paths nominal/CPIH; DE study real-2023) with NO projected USD (D6 logic); D45: E1 network paths both archetypes + DE E2 AgNes band + UK E2 mechanical NCC + CN system-fee adjunct). PROJECTIONS ARE PUBLISHED-SOURCE PATHS, NOT THIS STUDY’S FORECASTS — every modelled element is an editable input, estimated=Y.</t>
        </is>
      </c>
    </row>
    <row r="2" ht="15" customHeight="1" s="78">
      <c r="A2" s="77" t="inlineStr">
        <is>
          <t>Chapter-6 framing note (falsifiability): stages 4+6 showed relieved-EII network charges have CONVERGED (UK $5.5 vs DE $7.9/MWh, 2025). This stage therefore projects the E1-level burden (what unrelieved users and the relief-funders face) and what current law implies for E2. A rising E1 path with stable E2 means a growing TRANSFER, not a growing EII cost — say so in the chapter.</t>
        </is>
      </c>
    </row>
    <row r="5" ht="15" customHeight="1" s="78">
      <c r="A5" s="77" t="inlineStr">
        <is>
          <t>A. EDITABLE PROJECTION INPUTS (blue cells; every derived row is a formula off these)</t>
        </is>
      </c>
    </row>
    <row r="6" ht="15" customHeight="1" s="78">
      <c r="A6" s="77" t="inlineStr">
        <is>
          <t>UK chain factor T-Demand4 = IF-2027/28 / FYV-2027/28</t>
        </is>
      </c>
      <c r="B6" s="77" t="inlineStr">
        <is>
          <t>ratio</t>
        </is>
      </c>
      <c r="C6" s="77" t="inlineStr">
        <is>
          <t>estimated=Y (rescales FYV DD-basis to FD basis)</t>
        </is>
      </c>
      <c r="D6" s="77">
        <f>F16/F15</f>
        <v/>
      </c>
      <c r="T6" s="77" t="inlineStr">
        <is>
          <t>NESO Initial Forecast 2027/28 (11.05.2026) T-D4 25,716.522168 vs FYV v3.0 (18.09.2025) T15 30,736.923080</t>
        </is>
      </c>
    </row>
    <row r="7" ht="15" customHeight="1" s="78">
      <c r="A7" s="77" t="inlineStr">
        <is>
          <t>UK chain factor HV4 = IF-2027/28 / FYV-2027/28</t>
        </is>
      </c>
      <c r="B7" s="77" t="inlineStr">
        <is>
          <t>ratio</t>
        </is>
      </c>
      <c r="C7" s="77" t="inlineStr">
        <is>
          <t>estimated=Y</t>
        </is>
      </c>
      <c r="D7" s="77">
        <f>F20/F19</f>
        <v/>
      </c>
      <c r="T7" s="77" t="inlineStr">
        <is>
          <t>Same documents, HV4 654.727845 vs 792.808941</t>
        </is>
      </c>
    </row>
    <row r="8" ht="15" customHeight="1" s="78">
      <c r="A8" s="77" t="inlineStr">
        <is>
          <t>DE 2027 federal subsidy (Regierungsentwurf 15.07.2026)</t>
        </is>
      </c>
      <c r="B8" s="77" t="inlineStr">
        <is>
          <t>EUR bn</t>
        </is>
      </c>
      <c r="C8" s="77" t="inlineStr">
        <is>
          <t>DRAFT, not law — scenario input</t>
        </is>
      </c>
      <c r="D8" s="77" t="n">
        <v>5.53</v>
      </c>
      <c r="T8" s="77" t="inlineStr">
        <is>
          <t>KTF/Bundeshaushalt 2027 cabinet draft via ZfK 07/2026 (relay of BMF): "5,53 Milliarden Euro ... um 975 Millionen geringer als 2026"</t>
        </is>
      </c>
    </row>
    <row r="9" ht="15" customHeight="1" s="78">
      <c r="A9" s="77" t="inlineStr">
        <is>
          <t>DE 2026 subsidy (law) / charge effect</t>
        </is>
      </c>
      <c r="B9" s="77" t="inlineStr">
        <is>
          <t>EUR bn | ct/kWh</t>
        </is>
      </c>
      <c r="C9" s="77" t="inlineStr">
        <is>
          <t>anchor</t>
        </is>
      </c>
      <c r="D9" s="77" t="n">
        <v>6.5</v>
      </c>
      <c r="E9" s="77" t="n">
        <v>3.79</v>
      </c>
      <c r="T9" s="77" t="inlineStr">
        <is>
          <t>BGBl. 2025 I Nr. 317 (par.24c EnWG); joint UeNB PR 01.10.2025: 6.65 -&gt; 2.86 ct/kWh (-3.79) with 6.5bn (S101)</t>
        </is>
      </c>
    </row>
    <row r="10" ht="15" customHeight="1" s="78">
      <c r="A10" s="77" t="inlineStr">
        <is>
          <t>UK NCC share held constant (current law)</t>
        </is>
      </c>
      <c r="B10" s="77" t="inlineStr">
        <is>
          <t>fraction</t>
        </is>
      </c>
      <c r="C10" s="77" t="inlineStr">
        <is>
          <t>E2 mechanical scenario input</t>
        </is>
      </c>
      <c r="D10" s="77" t="n">
        <v>0.9</v>
      </c>
      <c r="T10" s="77" t="inlineStr">
        <is>
          <t>SI 2026/243; no post-2026 change legislated</t>
        </is>
      </c>
    </row>
    <row r="12" ht="15" customHeight="1" s="78">
      <c r="A12" s="77" t="inlineStr">
        <is>
          <t>B. UK — TCR residual charge paths (NOMINAL GBP/site/day; charging years, col D=2025/26 ... I=2030/31)</t>
        </is>
      </c>
    </row>
    <row r="13" ht="15" customHeight="1" s="78">
      <c r="A13" s="77" t="inlineStr">
        <is>
          <t>(year labels)</t>
        </is>
      </c>
      <c r="D13" s="77" t="inlineStr">
        <is>
          <t>2025/26</t>
        </is>
      </c>
      <c r="E13" s="77" t="inlineStr">
        <is>
          <t>2026/27</t>
        </is>
      </c>
      <c r="F13" s="77" t="inlineStr">
        <is>
          <t>2027/28</t>
        </is>
      </c>
      <c r="G13" s="77" t="inlineStr">
        <is>
          <t>2028/29</t>
        </is>
      </c>
      <c r="H13" s="77" t="inlineStr">
        <is>
          <t>2029/30</t>
        </is>
      </c>
      <c r="I13" s="77" t="inlineStr">
        <is>
          <t>2030/31</t>
        </is>
      </c>
    </row>
    <row r="14" ht="15" customHeight="1" s="78">
      <c r="A14" s="77" t="inlineStr">
        <is>
          <t>T-Demand4 FINAL (published)</t>
        </is>
      </c>
      <c r="B14" s="77" t="inlineStr">
        <is>
          <t>GBP/site/day</t>
        </is>
      </c>
      <c r="C14" s="77" t="inlineStr">
        <is>
          <t>Tier 1</t>
        </is>
      </c>
      <c r="D14" s="77" t="n">
        <v>12796.715359</v>
      </c>
      <c r="E14" s="77" t="n">
        <v>20829.236682</v>
      </c>
      <c r="T14" s="77" t="inlineStr">
        <is>
          <t>NESO Final TNUoS 2025/26 T10 p.23; Final 2026/27 T10/TB</t>
        </is>
      </c>
    </row>
    <row r="15" ht="15" customHeight="1" s="78">
      <c r="A15" s="77" t="inlineStr">
        <is>
          <t>T-Demand4 FYV v3.0 forecast (RIIO-ET3 DRAFT-determination basis, nominal)</t>
        </is>
      </c>
      <c r="B15" s="77" t="inlineStr">
        <is>
          <t>GBP/site/day</t>
        </is>
      </c>
      <c r="C15" s="77" t="inlineStr">
        <is>
          <t>as published</t>
        </is>
      </c>
      <c r="E15" s="77" t="n">
        <v>25891.311791</v>
      </c>
      <c r="F15" s="77" t="n">
        <v>30736.92308</v>
      </c>
      <c r="G15" s="77" t="n">
        <v>30156.695776</v>
      </c>
      <c r="H15" s="77" t="n">
        <v>33343.285385</v>
      </c>
      <c r="I15" s="77" t="n">
        <v>36669.304392</v>
      </c>
      <c r="T15" s="77" t="inlineStr">
        <is>
          <t>NESO Five-Year View of TNUoS Tariffs 2026/27-2030/31 v3.0 (18.09.2025), Table 15 p.32 — retr. 2026-07-16 (S107)</t>
        </is>
      </c>
    </row>
    <row r="16" ht="15" customHeight="1" s="78">
      <c r="A16" s="77" t="inlineStr">
        <is>
          <t>T-Demand4 Initial Forecast 2027/28 (FD basis)</t>
        </is>
      </c>
      <c r="B16" s="77" t="inlineStr">
        <is>
          <t>GBP/site/day</t>
        </is>
      </c>
      <c r="C16" s="77" t="inlineStr">
        <is>
          <t>Tier 1 forecast</t>
        </is>
      </c>
      <c r="F16" s="77" t="n">
        <v>25716.522168</v>
      </c>
      <c r="T16" s="77" t="inlineStr">
        <is>
          <t>NESO Initial Forecast of TNUoS Tariffs 2027/28 (11.05.2026), demand residual table — retr. 2026-07-16 (S108)</t>
        </is>
      </c>
    </row>
    <row r="17" ht="15" customHeight="1" s="78">
      <c r="A17" s="77" t="inlineStr">
        <is>
          <t>T-Demand4 CENTRAL path (Final -&gt; IF -&gt; FYV x chain factor)</t>
        </is>
      </c>
      <c r="B17" s="77" t="inlineStr">
        <is>
          <t>GBP/site/day</t>
        </is>
      </c>
      <c r="C17" s="77" t="inlineStr">
        <is>
          <t>estimated=Y from 2028/29</t>
        </is>
      </c>
      <c r="D17" s="77">
        <f>D14</f>
        <v/>
      </c>
      <c r="E17" s="77">
        <f>E14</f>
        <v/>
      </c>
      <c r="F17" s="77">
        <f>F16</f>
        <v/>
      </c>
      <c r="G17" s="77">
        <f>G15*$D$6</f>
        <v/>
      </c>
      <c r="H17" s="77">
        <f>H15*$D$6</f>
        <v/>
      </c>
      <c r="I17" s="77">
        <f>I15*$D$6</f>
        <v/>
      </c>
      <c r="T17" s="77" t="inlineStr">
        <is>
          <t>Method: FYV years 2028/29+ scaled by the observed FYV-&gt;latest ratio (D43 impl.); band high = unscaled FYV</t>
        </is>
      </c>
    </row>
    <row r="18" ht="15" customHeight="1" s="78">
      <c r="A18" s="77" t="inlineStr">
        <is>
          <t>HV4 FINAL (published)</t>
        </is>
      </c>
      <c r="B18" s="77" t="inlineStr">
        <is>
          <t>GBP/site/day</t>
        </is>
      </c>
      <c r="C18" s="77" t="inlineStr">
        <is>
          <t>Tier 1</t>
        </is>
      </c>
      <c r="D18" s="77" t="n">
        <v>317.597969</v>
      </c>
      <c r="E18" s="77" t="n">
        <v>528.912335</v>
      </c>
      <c r="T18" s="77" t="inlineStr">
        <is>
          <t>NESO Final TNUoS tables (as stage4_uk r27)</t>
        </is>
      </c>
    </row>
    <row r="19" ht="15" customHeight="1" s="78">
      <c r="A19" s="77" t="inlineStr">
        <is>
          <t>HV4 FYV v3.0 forecast (DD basis)</t>
        </is>
      </c>
      <c r="B19" s="77" t="inlineStr">
        <is>
          <t>GBP/site/day</t>
        </is>
      </c>
      <c r="C19" s="77" t="inlineStr">
        <is>
          <t>as published</t>
        </is>
      </c>
      <c r="E19" s="77" t="n">
        <v>667.799126</v>
      </c>
      <c r="F19" s="77" t="n">
        <v>792.808941</v>
      </c>
      <c r="G19" s="77" t="n">
        <v>933.429084</v>
      </c>
      <c r="H19" s="77" t="n">
        <v>1032.072136</v>
      </c>
      <c r="I19" s="77" t="n">
        <v>1135.027489</v>
      </c>
      <c r="T19" s="77" t="inlineStr">
        <is>
          <t>FYV v3.0 Table 15 p.32 (S107)</t>
        </is>
      </c>
    </row>
    <row r="20" ht="15" customHeight="1" s="78">
      <c r="A20" s="77" t="inlineStr">
        <is>
          <t>HV4 Initial Forecast 2027/28</t>
        </is>
      </c>
      <c r="B20" s="77" t="inlineStr">
        <is>
          <t>GBP/site/day</t>
        </is>
      </c>
      <c r="C20" s="77" t="inlineStr">
        <is>
          <t>Tier 1 forecast</t>
        </is>
      </c>
      <c r="F20" s="77" t="n">
        <v>654.727845</v>
      </c>
      <c r="T20" s="77" t="inlineStr">
        <is>
          <t>Initial Forecast 2027/28 (S108)</t>
        </is>
      </c>
    </row>
    <row r="21" ht="15" customHeight="1" s="78">
      <c r="A21" s="77" t="inlineStr">
        <is>
          <t>HV4 CENTRAL path</t>
        </is>
      </c>
      <c r="B21" s="77" t="inlineStr">
        <is>
          <t>GBP/site/day</t>
        </is>
      </c>
      <c r="C21" s="77" t="inlineStr">
        <is>
          <t>estimated=Y from 2028/29</t>
        </is>
      </c>
      <c r="D21" s="77">
        <f>D18</f>
        <v/>
      </c>
      <c r="E21" s="77">
        <f>E18</f>
        <v/>
      </c>
      <c r="F21" s="77">
        <f>F20</f>
        <v/>
      </c>
      <c r="G21" s="77">
        <f>G19*$D$7</f>
        <v/>
      </c>
      <c r="H21" s="77">
        <f>H19*$D$7</f>
        <v/>
      </c>
      <c r="I21" s="77">
        <f>I19*$D$7</f>
        <v/>
      </c>
      <c r="T21" s="77" t="inlineStr">
        <is>
          <t>As T-Demand4 method, HV4 chain factor</t>
        </is>
      </c>
    </row>
    <row r="22" ht="15" customHeight="1" s="78">
      <c r="A22" s="77" t="inlineStr">
        <is>
          <t>Demand residual REVENUE (FYV v3.0, DD basis) — 2026/27 SUPERSEDED, see r23</t>
        </is>
      </c>
      <c r="B22" s="77" t="inlineStr">
        <is>
          <t>GBP m</t>
        </is>
      </c>
      <c r="C22" s="77" t="inlineStr">
        <is>
          <t>context driver only (feeds no formula); 2026/27 superseded by the published Final</t>
        </is>
      </c>
      <c r="E22" s="77" t="n">
        <v>7520.83</v>
      </c>
      <c r="F22" s="77" t="n">
        <v>8766.9</v>
      </c>
      <c r="G22" s="77" t="n">
        <v>10078.86</v>
      </c>
      <c r="H22" s="77" t="n">
        <v>10905.09</v>
      </c>
      <c r="I22" s="77" t="n">
        <v>11755.17</v>
      </c>
      <c r="T22" s="77" t="inlineStr">
        <is>
          <t>FYV v3.0 Table 14/15 p.31-32: 2025/26 = 3.84bn -&gt; 26/27 7.52bn ("increase by 94%") -&gt; 30/31 11.76bn; IF 27/28: "+GBP 1.32bn vs 26/27, -1.18bn vs FYV" (S107/S108). Q99 2026-07-26: the 2026/27 FYV figure is superseded by the NESO Final (r23). Retained here as the published FYV path because rows 24+ of the FYV series remain the only published basis for 2028/29-2030/31.</t>
        </is>
      </c>
    </row>
    <row r="23">
      <c r="A23" s="77" t="inlineStr">
        <is>
          <t>Demand residual REVENUE — FINAL 2026/27 (published; supersedes r22 for that year)</t>
        </is>
      </c>
      <c r="B23" s="77" t="inlineStr">
        <is>
          <t>GBP m</t>
        </is>
      </c>
      <c r="C23" s="77" t="inlineStr">
        <is>
          <t>published actual-basis; context driver only (feeds no formula)</t>
        </is>
      </c>
      <c r="E23" s="77" t="n">
        <v>6265.17</v>
      </c>
      <c r="F23" s="77" t="n"/>
      <c r="G23" s="77" t="n"/>
      <c r="H23" s="77" t="n"/>
      <c r="I23" s="77" t="n"/>
      <c r="T23" s="77" t="inlineStr">
        <is>
          <t>NESO Final TNUoS Tariffs 2026/27 v1.0, 30.01.2026, doc 376336, Table 10 = GBP 6,265.17m demand residual; same document: "Revenue to be collected from demand users is forecast to be GBP 6.38bn for 2026/27" (S2; figure re-verified against the primary 2026-07-26, Q99). This is 17% below the FYV v3.0 forecast of GBP 7,520.83m in r22. No Final-basis level exists for 2027/28+: the Initial Forecast (S108) publishes DELTAS ("+GBP 1.32bn vs 26/27, -1.18bn vs FYV"), not a level, so 2027/28-2030/31 are left blank here rather than back-derived. NOTE the GBP 7,610.7m "Total to Collect" figure quoted in the Q99 registration is a different aggregate from the GBP 6.38bn demand revenue in this document and was NOT re-verified — do not quote it.</t>
        </is>
      </c>
    </row>
    <row r="24" ht="15" customHeight="1" s="78">
      <c r="A24" s="77" t="inlineStr">
        <is>
          <t>UK archetype per-MWh (large x365/500,000; medium x365/20,000; E2 = x(1-NCC), current law held, estimated=Y)</t>
        </is>
      </c>
    </row>
    <row r="25" ht="15" customHeight="1" s="78">
      <c r="A25" s="77" t="inlineStr">
        <is>
          <t>Large E1 network residual</t>
        </is>
      </c>
      <c r="B25" s="77" t="inlineStr">
        <is>
          <t>GBP/MWh nominal</t>
        </is>
      </c>
      <c r="C25" s="77" t="inlineStr">
        <is>
          <t>formula</t>
        </is>
      </c>
      <c r="D25" s="77">
        <f>D17*365/500000</f>
        <v/>
      </c>
      <c r="E25" s="77">
        <f>E17*365/500000</f>
        <v/>
      </c>
      <c r="F25" s="77">
        <f>F17*365/500000</f>
        <v/>
      </c>
      <c r="G25" s="77">
        <f>G17*365/500000</f>
        <v/>
      </c>
      <c r="H25" s="77">
        <f>H17*365/500000</f>
        <v/>
      </c>
      <c r="I25" s="77">
        <f>I17*365/500000</f>
        <v/>
      </c>
      <c r="T25" s="77" t="n"/>
    </row>
    <row r="26" ht="15" customHeight="1" s="78">
      <c r="A26" s="77" t="inlineStr">
        <is>
          <t>Large E2 network residual (NCC 90% held)</t>
        </is>
      </c>
      <c r="B26" s="77" t="inlineStr">
        <is>
          <t>GBP/MWh nominal</t>
        </is>
      </c>
      <c r="C26" s="77" t="inlineStr">
        <is>
          <t>estimated=Y (policy held)</t>
        </is>
      </c>
      <c r="D26" s="77">
        <f>D17*365/500000*(1-$D$10)</f>
        <v/>
      </c>
      <c r="E26" s="77">
        <f>E17*365/500000*(1-$D$10)</f>
        <v/>
      </c>
      <c r="F26" s="77">
        <f>F17*365/500000*(1-$D$10)</f>
        <v/>
      </c>
      <c r="G26" s="77">
        <f>G17*365/500000*(1-$D$10)</f>
        <v/>
      </c>
      <c r="H26" s="77">
        <f>H17*365/500000*(1-$D$10)</f>
        <v/>
      </c>
      <c r="I26" s="77">
        <f>I17*365/500000*(1-$D$10)</f>
        <v/>
      </c>
      <c r="T26" s="77" t="inlineStr">
        <is>
          <t>SI 2026/243 unchanged</t>
        </is>
      </c>
    </row>
    <row r="27" ht="15" customHeight="1" s="78">
      <c r="A27" s="77" t="inlineStr">
        <is>
          <t>Medium E1 TNUoS residual (HV4; DUoS NOT projected — held flat, Q52)</t>
        </is>
      </c>
      <c r="B27" s="77" t="inlineStr">
        <is>
          <t>GBP/MWh nominal</t>
        </is>
      </c>
      <c r="C27" s="77" t="inlineStr">
        <is>
          <t>formula</t>
        </is>
      </c>
      <c r="D27" s="77">
        <f>D21*365/20000</f>
        <v/>
      </c>
      <c r="E27" s="77">
        <f>E21*365/20000</f>
        <v/>
      </c>
      <c r="F27" s="77">
        <f>F21*365/20000</f>
        <v/>
      </c>
      <c r="G27" s="77">
        <f>G21*365/20000</f>
        <v/>
      </c>
      <c r="H27" s="77">
        <f>H21*365/20000</f>
        <v/>
      </c>
      <c r="I27" s="77">
        <f>I21*365/20000</f>
        <v/>
      </c>
      <c r="T27" s="77" t="n"/>
    </row>
    <row r="28" ht="15" customHeight="1" s="78">
      <c r="A28" s="77" t="inlineStr">
        <is>
          <t>Memo: RIIO-ET3 Final Determinations anchor</t>
        </is>
      </c>
      <c r="B28" s="77" t="inlineStr">
        <is>
          <t>GBP bn</t>
        </is>
      </c>
      <c r="C28" s="77" t="inlineStr">
        <is>
          <t>context</t>
        </is>
      </c>
      <c r="D28" s="77" t="n">
        <v>10.7</v>
      </c>
      <c r="T28" s="77" t="inlineStr">
        <is>
          <t>Ofgem RIIO-3 FD ET (04.12.2025) para 2.8: baseline totex allowances all TOs GBP 10.7bn (submitted 15.8bn); cross-sector PR: GBP 28bn (S109)</t>
        </is>
      </c>
    </row>
    <row r="30" ht="15" customHeight="1" s="78">
      <c r="A30" s="77" t="inlineStr">
        <is>
          <t>C. GERMANY — HoeS archetype charge scenarios (EUR/MWh, level basis of the published tariff sheets; cols D=2025 ... I=2030)</t>
        </is>
      </c>
    </row>
    <row r="31" ht="15" customHeight="1" s="78">
      <c r="A31" s="77" t="inlineStr">
        <is>
          <t>(year labels)</t>
        </is>
      </c>
      <c r="D31" s="77" t="n">
        <v>2025</v>
      </c>
      <c r="E31" s="77" t="n">
        <v>2026</v>
      </c>
      <c r="F31" s="77" t="n">
        <v>2027</v>
      </c>
      <c r="G31" s="77" t="n">
        <v>2028</v>
      </c>
      <c r="H31" s="77" t="n">
        <v>2029</v>
      </c>
      <c r="I31" s="77" t="n">
        <v>2030</v>
      </c>
    </row>
    <row r="32" ht="15" customHeight="1" s="78">
      <c r="A32" s="77" t="inlineStr">
        <is>
          <t>Archetype HoeS charge, WITH subsidy (published/law)</t>
        </is>
      </c>
      <c r="B32" s="77" t="inlineStr">
        <is>
          <t>EUR/MWh</t>
        </is>
      </c>
      <c r="C32" s="77" t="inlineStr">
        <is>
          <t>Tier 1</t>
        </is>
      </c>
      <c r="D32" s="136">
        <f>timeseries!S33</f>
        <v/>
      </c>
      <c r="E32" s="136">
        <f>timeseries!T33</f>
        <v/>
      </c>
      <c r="T32" s="77" t="inlineStr">
        <is>
          <t>Workbook stage4_de (2025: 29.27; 2026 mit Zuschuss: 13.53)</t>
        </is>
      </c>
    </row>
    <row r="33" ht="15" customHeight="1" s="78">
      <c r="A33" s="77" t="inlineStr">
        <is>
          <t>Archetype HoeS charge, OHNE Zuschuss (published counterfactual)</t>
        </is>
      </c>
      <c r="B33" s="77" t="inlineStr">
        <is>
          <t>EUR/MWh</t>
        </is>
      </c>
      <c r="C33" s="77" t="inlineStr">
        <is>
          <t>Tier 1 info sheet</t>
        </is>
      </c>
      <c r="E33" s="136">
        <f>timeseries!T34</f>
        <v/>
      </c>
      <c r="T33" s="77" t="inlineStr">
        <is>
          <t>UeNB theoretische Netzentgelte 2026 ohne Zuschuss (workbook stage4_de r13-14: 30.84)</t>
        </is>
      </c>
    </row>
    <row r="34" ht="15" customHeight="1" s="78">
      <c r="A34" s="77" t="inlineStr">
        <is>
          <t>SCENARIO S1 — subsidy lapses 2027: ohne-2026 level held real</t>
        </is>
      </c>
      <c r="B34" s="77" t="inlineStr">
        <is>
          <t>EUR/MWh</t>
        </is>
      </c>
      <c r="C34" s="77" t="inlineStr">
        <is>
          <t>estimated=Y</t>
        </is>
      </c>
      <c r="F34" s="136">
        <f>$E$33</f>
        <v/>
      </c>
      <c r="G34" s="136">
        <f>$E$33</f>
        <v/>
      </c>
      <c r="H34" s="136">
        <f>$E$33</f>
        <v/>
      </c>
      <c r="I34" s="136">
        <f>$E$33</f>
        <v/>
      </c>
      <c r="T34" s="77" t="inlineStr">
        <is>
          <t>Level = 2026-ohne (30.84) held flat in real terms 2027-2030; BDEW/Consentec context: HoeS +10% real to 2030 vs 2024, -10..-15% by 2045 (S111) — outturn 2025/26 already far above that path, so HOLD is the conservative central</t>
        </is>
      </c>
    </row>
    <row r="35" ht="15" customHeight="1" s="78">
      <c r="A35" s="77" t="inlineStr">
        <is>
          <t>SCENARIO S2 — subsidy continued at 2027-draft scale (EUR 5.53bn)</t>
        </is>
      </c>
      <c r="B35" s="77" t="inlineStr">
        <is>
          <t>EUR/MWh</t>
        </is>
      </c>
      <c r="C35" s="77" t="inlineStr">
        <is>
          <t>estimated=Y; DRAFT not law</t>
        </is>
      </c>
      <c r="F35" s="77">
        <f>$E$33-($E$33-$E$32)*$D$8/$D$9</f>
        <v/>
      </c>
      <c r="G35" s="77">
        <f>$E$33-($E$33-$E$32)*$D$8/$D$9</f>
        <v/>
      </c>
      <c r="H35" s="77">
        <f>$E$33-($E$33-$E$32)*$D$8/$D$9</f>
        <v/>
      </c>
      <c r="I35" s="77">
        <f>$E$33-($E$33-$E$32)*$D$8/$D$9</f>
        <v/>
      </c>
      <c r="T35" s="77" t="inlineStr">
        <is>
          <t>Charge = ohne - (ohne - mit-2026) x (5.53/6.5), proportional-subsidy arithmetic (est=Y); held 2028-2030 (no published later-year provision; total 2026-30 energy-relief envelope EUR 50.73bn per draft)</t>
        </is>
      </c>
    </row>
    <row r="36" ht="15" customHeight="1" s="78">
      <c r="A36" s="77" t="inlineStr">
        <is>
          <t>E2 under current law + AgNes (BAND, not a line)</t>
        </is>
      </c>
      <c r="B36" s="77" t="inlineStr">
        <is>
          <t>EUR/MWh</t>
        </is>
      </c>
      <c r="C36" s="77" t="inlineStr">
        <is>
          <t>estimated=Y</t>
        </is>
      </c>
      <c r="D36" s="77">
        <f>IF(ISNUMBER(D32),D32*0.24,"")</f>
        <v/>
      </c>
      <c r="E36" s="77">
        <f>IF(ISNUMBER(E32),E32*0.24,"")</f>
        <v/>
      </c>
      <c r="F36" s="77">
        <f>IF(ISNUMBER(F34),F34*0.24,"")</f>
        <v/>
      </c>
      <c r="G36" s="77">
        <f>IF(ISNUMBER(G34),G34*0.24,"")</f>
        <v/>
      </c>
      <c r="H36" s="77">
        <f>IF(ISNUMBER(H34),H34*0.24,"")</f>
        <v/>
      </c>
      <c r="I36" s="77">
        <f>IF(ISNUMBER(I34),I34*0.24,"")</f>
        <v/>
      </c>
      <c r="T36" s="77" t="inlineStr">
        <is>
          <t>Bandlast grandfathered to 31.12.2031 (AgNes); successor Sondernetzentgelt from ~2029/30 with discounts of "similar heights" to today (up to 80% atypical / 90% Bandlast — Orientierungspunkte 22.04.2026 p.7-8 VERBATIM, S110); plus general-charge redistribution under new cost cascading would relieve former HoeS Bandlast users 20-80% (ibid. p.2). Central: hold D8 (pays 24% of E1); band: pays 10%-100%.</t>
        </is>
      </c>
    </row>
    <row r="37" ht="15" customHeight="1" s="78">
      <c r="A37" s="77" t="inlineStr">
        <is>
          <t>Memo: NEP anchor</t>
        </is>
      </c>
      <c r="B37" s="77" t="inlineStr">
        <is>
          <t>EUR bn</t>
        </is>
      </c>
      <c r="C37" s="77" t="inlineStr">
        <is>
          <t>context</t>
        </is>
      </c>
      <c r="D37" s="77" t="n">
        <v>360</v>
      </c>
      <c r="T37" s="77" t="inlineStr">
        <is>
          <t>NEP Strom 2037/2045 V2025 1. Entwurf (Dec 2025) Vorwort: Investitionskosten Entwicklungspfad A bis 2045 ~EUR 360bn (DRAFT) — retr. 2026-07-16 (S112)</t>
        </is>
      </c>
    </row>
    <row r="38" ht="15" customHeight="1" s="78">
      <c r="A38" s="77" t="inlineStr">
        <is>
          <t>Memo: par.19-Umlage direction</t>
        </is>
      </c>
      <c r="B38" s="77" t="inlineStr">
        <is>
          <t>ct/kWh</t>
        </is>
      </c>
      <c r="C38" s="77" t="inlineStr">
        <is>
          <t>context</t>
        </is>
      </c>
      <c r="D38" s="77" t="n">
        <v>0.4</v>
      </c>
      <c r="I38" s="77" t="n">
        <v>0.8</v>
      </c>
      <c r="T38" s="77" t="inlineStr">
        <is>
          <t>BDEW/Consentec study (06.12.2024) Bild 4.1: 19.2-Umlage ~0.4 (2023) rising to ~0.8 ct/kWh long-term (S111)</t>
        </is>
      </c>
    </row>
    <row r="40" ht="15" customHeight="1" s="78">
      <c r="A40" s="77" t="inlineStr">
        <is>
          <t>D. CHINA — locked P4 T&amp;D + system-operation-fee drivers (CNY; cols D=2025, E=2026, F=2027-28 period, G=notes)</t>
        </is>
      </c>
    </row>
    <row r="41" ht="16.5" customHeight="1" s="78">
      <c r="A41" s="77" t="inlineStr">
        <is>
          <t>JS 220kV T&amp;D volumetric P3 -&gt; P4</t>
        </is>
      </c>
      <c r="B41" s="77" t="inlineStr">
        <is>
          <t>CNY/kWh</t>
        </is>
      </c>
      <c r="C41" s="77" t="inlineStr">
        <is>
          <t>Tier 1 locked</t>
        </is>
      </c>
      <c r="D41" s="77" t="n">
        <v>0.0597</v>
      </c>
      <c r="E41" s="77">
        <f>7/12*0.0597+5/12*0.0518</f>
        <v/>
      </c>
      <c r="F41" s="77" t="n">
        <v>0.0518</v>
      </c>
      <c r="T41" s="142" t="inlineStr">
        <is>
          <t>发改价格〔2023〕526号 annex; 〔2026〕1077号 annex (eff. 2026-08-01; P4 period; annex parsed 2026-07-16, S113). Basket pattern: volumetric DOWN in 8/9 sampled grids (JS -13.2%, SD -14.5%); demand charges FLAT at 220kV (JS 41.6 unchanged) — supersedes the media deltas noted in D13-R (Q50)</t>
        </is>
      </c>
    </row>
    <row r="42" ht="16.5" customHeight="1" s="78">
      <c r="A42" s="77" t="inlineStr">
        <is>
          <t>JS 系统运行费 observed trajectory</t>
        </is>
      </c>
      <c r="B42" s="77" t="inlineStr">
        <is>
          <t>CNY/kWh</t>
        </is>
      </c>
      <c r="C42" s="77" t="inlineStr">
        <is>
          <t>Tier 1 (monthly notices)</t>
        </is>
      </c>
      <c r="D42" s="77" t="n">
        <v>0.047317</v>
      </c>
      <c r="E42" s="77" t="n">
        <v>0.0868</v>
      </c>
      <c r="T42" s="77" t="inlineStr">
        <is>
          <t>2022: 0 -&gt; 2023: 0.0209 -&gt; 2024: 0.0349 -&gt; 2025: 0.047317 -&gt; 2026 (Jan-Jun): 0.0868. Drivers: coal capacity recovery 30%-&gt;&gt;=50% from 2026 (1501号; JS in 30% group 2024-25); 114号 extends capacity pricing to gas/PSH/storage into 系统运行费; 136号 mechanism line JS 0.0118 (Jan-26) -&gt; 0.0186 (Mar-26) (S114)</t>
        </is>
      </c>
    </row>
    <row r="43" ht="16.5" customHeight="1" s="78">
      <c r="A43" s="77" t="inlineStr">
        <is>
          <t>CN projection stance</t>
        </is>
      </c>
      <c r="B43" s="77" t="inlineStr">
        <is>
          <t>note</t>
        </is>
      </c>
      <c r="C43" s="77" t="inlineStr">
        <is>
          <t>central = hold 2026H1 level; direction UP</t>
        </is>
      </c>
      <c r="T43" s="77" t="inlineStr">
        <is>
          <t>No official forward path exists. Published parameters imply upside: capacity recovery floor rises to &gt;=50% (some provinces &gt;=70%); 136号 auctions expand the mechanism line. T&amp;D itself locked flat-to-down to 2028. Present as drivers, not a fan chart.</t>
        </is>
      </c>
    </row>
    <row r="44" ht="16.5" customHeight="1" s="78">
      <c r="A44" s="77" t="inlineStr">
        <is>
          <t>Memo: grid investment anchors</t>
        </is>
      </c>
      <c r="B44" s="77" t="inlineStr">
        <is>
          <t>CNY bn/yr</t>
        </is>
      </c>
      <c r="C44" s="77" t="inlineStr">
        <is>
          <t>context</t>
        </is>
      </c>
      <c r="D44" s="77" t="n">
        <v>639.5</v>
      </c>
      <c r="E44" s="77" t="n">
        <v>800</v>
      </c>
      <c r="T44" s="77" t="inlineStr">
        <is>
          <t>National grid-project completion 2025: 639.5bn (+5.1%, CEC via 人民网 02/2026); SGCC 十五五 total 4tn CNY (~800bn/yr avg, +40% vs 十四五) + CSG ~1tn (yicai 20.01.2026; NEA 30.01.2026) (S115)</t>
        </is>
      </c>
    </row>
    <row r="46" ht="15" customHeight="1" s="78">
      <c r="A46" s="77" t="inlineStr">
        <is>
          <t>E. UTILISATION — system load factor = delivered energy / (system peak x hours) (D43). Cols D..S = 2010..2025.</t>
        </is>
      </c>
    </row>
    <row r="47" ht="15" customHeight="1" s="78">
      <c r="A47" s="77" t="inlineStr">
        <is>
          <t>(year labels)</t>
        </is>
      </c>
      <c r="D47" s="77" t="n">
        <v>2010</v>
      </c>
      <c r="E47" s="77" t="n">
        <v>2011</v>
      </c>
      <c r="F47" s="77" t="n">
        <v>2012</v>
      </c>
      <c r="G47" s="77" t="n">
        <v>2013</v>
      </c>
      <c r="H47" s="77" t="n">
        <v>2014</v>
      </c>
      <c r="I47" s="77" t="n">
        <v>2015</v>
      </c>
      <c r="J47" s="77" t="n">
        <v>2016</v>
      </c>
      <c r="K47" s="77" t="n">
        <v>2017</v>
      </c>
      <c r="L47" s="77" t="n">
        <v>2018</v>
      </c>
      <c r="M47" s="77" t="n">
        <v>2019</v>
      </c>
      <c r="N47" s="77" t="n">
        <v>2020</v>
      </c>
      <c r="O47" s="77" t="n">
        <v>2021</v>
      </c>
      <c r="P47" s="77" t="n">
        <v>2022</v>
      </c>
      <c r="Q47" s="77" t="n">
        <v>2023</v>
      </c>
      <c r="R47" s="77" t="n">
        <v>2024</v>
      </c>
      <c r="S47" s="77" t="n">
        <v>2025</v>
      </c>
    </row>
    <row r="48" ht="15" customHeight="1" s="78">
      <c r="A48" s="77" t="inlineStr">
        <is>
          <t>UK electricity supplied (net)</t>
        </is>
      </c>
      <c r="B48" s="77" t="inlineStr">
        <is>
          <t>TWh</t>
        </is>
      </c>
      <c r="C48" s="77" t="inlineStr">
        <is>
          <t>Tier 1</t>
        </is>
      </c>
      <c r="D48" s="77" t="n">
        <v>361.73</v>
      </c>
      <c r="E48" s="77" t="n">
        <v>347.69</v>
      </c>
      <c r="F48" s="77" t="n">
        <v>341.91</v>
      </c>
      <c r="G48" s="77" t="n">
        <v>336.5</v>
      </c>
      <c r="H48" s="77" t="n">
        <v>317.73</v>
      </c>
      <c r="I48" s="77" t="n">
        <v>318.51</v>
      </c>
      <c r="J48" s="77" t="n">
        <v>319.88</v>
      </c>
      <c r="K48" s="77" t="n">
        <v>318.87</v>
      </c>
      <c r="L48" s="77" t="n">
        <v>315.16</v>
      </c>
      <c r="M48" s="77" t="n">
        <v>310.21</v>
      </c>
      <c r="N48" s="77" t="n">
        <v>296.18</v>
      </c>
      <c r="O48" s="77" t="n">
        <v>292.97</v>
      </c>
      <c r="P48" s="77" t="n">
        <v>310.27</v>
      </c>
      <c r="Q48" s="77" t="n">
        <v>280.25</v>
      </c>
      <c r="R48" s="77" t="n">
        <v>270.88</v>
      </c>
      <c r="T48" s="77" t="inlineStr">
        <is>
          <t>DUKES 5.1.2 (July 2025 ed.), col B — retr. 2026-07-16 (S116)</t>
        </is>
      </c>
    </row>
    <row r="49" ht="15" customHeight="1" s="78">
      <c r="A49" s="77" t="inlineStr">
        <is>
          <t>GB simultaneous maximum load met</t>
        </is>
      </c>
      <c r="B49" s="77" t="inlineStr">
        <is>
          <t>GW</t>
        </is>
      </c>
      <c r="C49" s="77" t="inlineStr">
        <is>
          <t>Tier 1</t>
        </is>
      </c>
      <c r="D49" s="77" t="n">
        <v>59.13</v>
      </c>
      <c r="E49" s="77" t="n">
        <v>55.505</v>
      </c>
      <c r="F49" s="77" t="n">
        <v>55.765</v>
      </c>
      <c r="G49" s="77" t="n">
        <v>51.811</v>
      </c>
      <c r="H49" s="77" t="n">
        <v>52.516</v>
      </c>
      <c r="I49" s="77" t="n">
        <v>51.1</v>
      </c>
      <c r="J49" s="77" t="n">
        <v>51.858</v>
      </c>
      <c r="K49" s="77" t="n">
        <v>50.608</v>
      </c>
      <c r="L49" s="77" t="n">
        <v>48.8</v>
      </c>
      <c r="M49" s="77" t="n">
        <v>46.802</v>
      </c>
      <c r="N49" s="77" t="n">
        <v>47.398</v>
      </c>
      <c r="O49" s="77" t="n">
        <v>47.128</v>
      </c>
      <c r="P49" s="77" t="n">
        <v>47.117</v>
      </c>
      <c r="Q49" s="77" t="n">
        <v>46.854</v>
      </c>
      <c r="R49" s="77" t="n">
        <v>46.045</v>
      </c>
      <c r="T49" s="77" t="inlineStr">
        <is>
          <t>DUKES 5.10.A, Great Britain row — retr. 2026-07-16 (S116)</t>
        </is>
      </c>
    </row>
    <row r="50" ht="15" customHeight="1" s="78">
      <c r="A50" s="77" t="inlineStr">
        <is>
          <t>UK system load factor</t>
        </is>
      </c>
      <c r="B50" s="77" t="inlineStr">
        <is>
          <t>ratio</t>
        </is>
      </c>
      <c r="C50" s="77" t="inlineStr">
        <is>
          <t>computed</t>
        </is>
      </c>
      <c r="D50" s="77">
        <f>IF(AND(ISNUMBER(D48),ISNUMBER(D49)),D48/(D49*8.76),"")</f>
        <v/>
      </c>
      <c r="E50" s="77">
        <f>IF(AND(ISNUMBER(E48),ISNUMBER(E49)),E48/(E49*8.76),"")</f>
        <v/>
      </c>
      <c r="F50" s="77">
        <f>IF(AND(ISNUMBER(F48),ISNUMBER(F49)),F48/(F49*8.76),"")</f>
        <v/>
      </c>
      <c r="G50" s="77">
        <f>IF(AND(ISNUMBER(G48),ISNUMBER(G49)),G48/(G49*8.76),"")</f>
        <v/>
      </c>
      <c r="H50" s="77">
        <f>IF(AND(ISNUMBER(H48),ISNUMBER(H49)),H48/(H49*8.76),"")</f>
        <v/>
      </c>
      <c r="I50" s="77">
        <f>IF(AND(ISNUMBER(I48),ISNUMBER(I49)),I48/(I49*8.76),"")</f>
        <v/>
      </c>
      <c r="J50" s="77">
        <f>IF(AND(ISNUMBER(J48),ISNUMBER(J49)),J48/(J49*8.76),"")</f>
        <v/>
      </c>
      <c r="K50" s="77">
        <f>IF(AND(ISNUMBER(K48),ISNUMBER(K49)),K48/(K49*8.76),"")</f>
        <v/>
      </c>
      <c r="L50" s="77">
        <f>IF(AND(ISNUMBER(L48),ISNUMBER(L49)),L48/(L49*8.76),"")</f>
        <v/>
      </c>
      <c r="M50" s="77">
        <f>IF(AND(ISNUMBER(M48),ISNUMBER(M49)),M48/(M49*8.76),"")</f>
        <v/>
      </c>
      <c r="N50" s="77">
        <f>IF(AND(ISNUMBER(N48),ISNUMBER(N49)),N48/(N49*8.76),"")</f>
        <v/>
      </c>
      <c r="O50" s="77">
        <f>IF(AND(ISNUMBER(O48),ISNUMBER(O49)),O48/(O49*8.76),"")</f>
        <v/>
      </c>
      <c r="P50" s="77">
        <f>IF(AND(ISNUMBER(P48),ISNUMBER(P49)),P48/(P49*8.76),"")</f>
        <v/>
      </c>
      <c r="Q50" s="77">
        <f>IF(AND(ISNUMBER(Q48),ISNUMBER(Q49)),Q48/(Q49*8.76),"")</f>
        <v/>
      </c>
      <c r="R50" s="77">
        <f>IF(AND(ISNUMBER(R48),ISNUMBER(R49)),R48/(R49*8.76),"")</f>
        <v/>
      </c>
      <c r="S50" s="77">
        <f>IF(AND(ISNUMBER(S48),ISNUMBER(S49)),S48/(S49*8.76),"")</f>
        <v/>
      </c>
      <c r="T50" s="77" t="inlineStr">
        <is>
          <t>supplied / (peak x 8.76); leap-year 2nd-order ignored</t>
        </is>
      </c>
    </row>
    <row r="51" ht="15" customHeight="1" s="78">
      <c r="A51" s="77" t="inlineStr">
        <is>
          <t>DE Netzlast annual energy (own SMARD aggregation)</t>
        </is>
      </c>
      <c r="B51" s="77" t="inlineStr">
        <is>
          <t>TWh</t>
        </is>
      </c>
      <c r="C51" s="77" t="inlineStr">
        <is>
          <t>estimated=Y (Tier-1 data, own sum)</t>
        </is>
      </c>
      <c r="I51" s="77" t="n">
        <v>502</v>
      </c>
      <c r="J51" s="77" t="n">
        <v>503.9</v>
      </c>
      <c r="K51" s="77" t="n">
        <v>506.8</v>
      </c>
      <c r="L51" s="77" t="n">
        <v>509.2</v>
      </c>
      <c r="M51" s="77" t="n">
        <v>497.4</v>
      </c>
      <c r="N51" s="77" t="n">
        <v>485.4</v>
      </c>
      <c r="O51" s="77" t="n">
        <v>504.6</v>
      </c>
      <c r="P51" s="77" t="n">
        <v>482.3</v>
      </c>
      <c r="Q51" s="77" t="n">
        <v>458.4</v>
      </c>
      <c r="R51" s="77" t="n">
        <v>465.5</v>
      </c>
      <c r="S51" s="77" t="n">
        <v>465.8</v>
      </c>
      <c r="T51" s="77" t="inlineStr">
        <is>
          <t>SMARD (BNetzA) quarterhour Netzlast series 410, summed per year — computed 2026-07-16; 2010-14 GAP (S117)</t>
        </is>
      </c>
    </row>
    <row r="52" ht="15" customHeight="1" s="78">
      <c r="A52" s="77" t="inlineStr">
        <is>
          <t>DE annual peak Netzlast (own SMARD max)</t>
        </is>
      </c>
      <c r="B52" s="77" t="inlineStr">
        <is>
          <t>GW</t>
        </is>
      </c>
      <c r="C52" s="77" t="inlineStr">
        <is>
          <t>estimated=Y (own max, winter windows)</t>
        </is>
      </c>
      <c r="I52" s="77" t="n">
        <v>78.09999999999999</v>
      </c>
      <c r="J52" s="77" t="n">
        <v>80.2</v>
      </c>
      <c r="K52" s="77" t="n">
        <v>79.8</v>
      </c>
      <c r="L52" s="77" t="n">
        <v>81.3</v>
      </c>
      <c r="M52" s="77" t="n">
        <v>77.90000000000001</v>
      </c>
      <c r="N52" s="77" t="n">
        <v>79</v>
      </c>
      <c r="O52" s="77" t="n">
        <v>81.59999999999999</v>
      </c>
      <c r="P52" s="77" t="n">
        <v>78.8</v>
      </c>
      <c r="Q52" s="77" t="n">
        <v>73.8</v>
      </c>
      <c r="R52" s="77" t="n">
        <v>75.8</v>
      </c>
      <c r="S52" s="77" t="n">
        <v>76</v>
      </c>
      <c r="T52" s="77" t="inlineStr">
        <is>
          <t>Same source, annual maximum; cross-check: 2024 = 75.8 GW matches BNetzA Monitoringbericht 2024</t>
        </is>
      </c>
    </row>
    <row r="53" ht="15" customHeight="1" s="78">
      <c r="A53" s="77" t="inlineStr">
        <is>
          <t>DE system load factor</t>
        </is>
      </c>
      <c r="B53" s="77" t="inlineStr">
        <is>
          <t>ratio</t>
        </is>
      </c>
      <c r="C53" s="77" t="inlineStr">
        <is>
          <t>computed (same source both terms)</t>
        </is>
      </c>
      <c r="D53" s="77">
        <f>IF(AND(ISNUMBER(D51),ISNUMBER(D52)),D51/(D52*8.76),"")</f>
        <v/>
      </c>
      <c r="E53" s="77">
        <f>IF(AND(ISNUMBER(E51),ISNUMBER(E52)),E51/(E52*8.76),"")</f>
        <v/>
      </c>
      <c r="F53" s="77">
        <f>IF(AND(ISNUMBER(F51),ISNUMBER(F52)),F51/(F52*8.76),"")</f>
        <v/>
      </c>
      <c r="G53" s="77">
        <f>IF(AND(ISNUMBER(G51),ISNUMBER(G52)),G51/(G52*8.76),"")</f>
        <v/>
      </c>
      <c r="H53" s="77">
        <f>IF(AND(ISNUMBER(H51),ISNUMBER(H52)),H51/(H52*8.76),"")</f>
        <v/>
      </c>
      <c r="I53" s="77">
        <f>IF(AND(ISNUMBER(I51),ISNUMBER(I52)),I51/(I52*8.76),"")</f>
        <v/>
      </c>
      <c r="J53" s="77">
        <f>IF(AND(ISNUMBER(J51),ISNUMBER(J52)),J51/(J52*8.76),"")</f>
        <v/>
      </c>
      <c r="K53" s="77">
        <f>IF(AND(ISNUMBER(K51),ISNUMBER(K52)),K51/(K52*8.76),"")</f>
        <v/>
      </c>
      <c r="L53" s="77">
        <f>IF(AND(ISNUMBER(L51),ISNUMBER(L52)),L51/(L52*8.76),"")</f>
        <v/>
      </c>
      <c r="M53" s="77">
        <f>IF(AND(ISNUMBER(M51),ISNUMBER(M52)),M51/(M52*8.76),"")</f>
        <v/>
      </c>
      <c r="N53" s="77">
        <f>IF(AND(ISNUMBER(N51),ISNUMBER(N52)),N51/(N52*8.76),"")</f>
        <v/>
      </c>
      <c r="O53" s="77">
        <f>IF(AND(ISNUMBER(O51),ISNUMBER(O52)),O51/(O52*8.76),"")</f>
        <v/>
      </c>
      <c r="P53" s="77">
        <f>IF(AND(ISNUMBER(P51),ISNUMBER(P52)),P51/(P52*8.76),"")</f>
        <v/>
      </c>
      <c r="Q53" s="77">
        <f>IF(AND(ISNUMBER(Q51),ISNUMBER(Q52)),Q51/(Q52*8.76),"")</f>
        <v/>
      </c>
      <c r="R53" s="77">
        <f>IF(AND(ISNUMBER(R51),ISNUMBER(R52)),R51/(R52*8.76),"")</f>
        <v/>
      </c>
      <c r="S53" s="77">
        <f>IF(AND(ISNUMBER(S51),ISNUMBER(S52)),S51/(S52*8.76),"")</f>
        <v/>
      </c>
      <c r="T53" s="77" t="n"/>
    </row>
    <row r="54" ht="16.5" customHeight="1" s="78">
      <c r="A54" s="77" t="inlineStr">
        <is>
          <t>CN 全社会用电量</t>
        </is>
      </c>
      <c r="B54" s="142" t="inlineStr">
        <is>
          <t>亿kWh</t>
        </is>
      </c>
      <c r="C54" s="77" t="inlineStr">
        <is>
          <t>Tier 1 (NEA annual releases)</t>
        </is>
      </c>
      <c r="D54" s="77" t="n">
        <v>41923</v>
      </c>
      <c r="E54" s="77" t="n">
        <v>46928</v>
      </c>
      <c r="F54" s="77" t="n">
        <v>49591</v>
      </c>
      <c r="G54" s="77" t="n">
        <v>53223</v>
      </c>
      <c r="H54" s="77" t="n">
        <v>55233</v>
      </c>
      <c r="I54" s="77" t="n">
        <v>55500</v>
      </c>
      <c r="J54" s="77" t="n">
        <v>59198</v>
      </c>
      <c r="K54" s="77" t="n">
        <v>63077</v>
      </c>
      <c r="L54" s="77" t="n">
        <v>68449</v>
      </c>
      <c r="M54" s="77" t="n">
        <v>72255</v>
      </c>
      <c r="N54" s="77" t="n">
        <v>75110</v>
      </c>
      <c r="O54" s="77" t="n">
        <v>83128</v>
      </c>
      <c r="P54" s="77" t="n">
        <v>86372</v>
      </c>
      <c r="Q54" s="77" t="n">
        <v>92241</v>
      </c>
      <c r="R54" s="77" t="n">
        <v>98521</v>
      </c>
      <c r="S54" s="77" t="n">
        <v>103682</v>
      </c>
      <c r="T54" s="77" t="inlineStr">
        <is>
          <t>NEA January releases per year (2025: nea.gov.cn 21.01.2026, +5.0%) (S115)</t>
        </is>
      </c>
    </row>
    <row r="55" ht="16.5" customHeight="1" s="78">
      <c r="A55" s="77" t="inlineStr">
        <is>
          <t>CN 统调最高用电负荷 (anchors only)</t>
        </is>
      </c>
      <c r="B55" s="142" t="inlineStr">
        <is>
          <t>亿kW</t>
        </is>
      </c>
      <c r="C55" s="77" t="inlineStr">
        <is>
          <t>Tier 1; partial series</t>
        </is>
      </c>
      <c r="Q55" s="77" t="n">
        <v>13.4</v>
      </c>
      <c r="R55" s="77" t="n">
        <v>14.5</v>
      </c>
      <c r="S55" s="77" t="n">
        <v>15.08</v>
      </c>
      <c r="T55" s="77" t="inlineStr">
        <is>
          <t>2024: 14.5 (CEC 供需报告 01/2025, "同比提高1.1亿千瓦" -&gt; 2023 = 13.4 derived, est=Y); 2025: 15.08 (17.07.2025, NEA 10.07.2026 release; 2026 YTD record 15.18). DEFINITION CAVEAT: dispatched (统调) peak vs total-consumption numerator — ratio is indicative (S115)</t>
        </is>
      </c>
    </row>
    <row r="56" ht="15" customHeight="1" s="78">
      <c r="A56" s="77" t="inlineStr">
        <is>
          <t>CN indicative load factor (anchor years)</t>
        </is>
      </c>
      <c r="B56" s="77" t="inlineStr">
        <is>
          <t>ratio</t>
        </is>
      </c>
      <c r="C56" s="77" t="inlineStr">
        <is>
          <t>estimated=Y (definition mismatch flagged)</t>
        </is>
      </c>
      <c r="Q56" s="77">
        <f>IF(AND(ISNUMBER(Q54),ISNUMBER(Q55)),Q54/(Q55*8760),"")</f>
        <v/>
      </c>
      <c r="R56" s="77">
        <f>IF(AND(ISNUMBER(R54),ISNUMBER(R55)),R54/(R55*8760),"")</f>
        <v/>
      </c>
      <c r="S56" s="77">
        <f>IF(AND(ISNUMBER(S54),ISNUMBER(S55)),S54/(S55*8760),"")</f>
        <v/>
      </c>
      <c r="T56" s="77" t="n"/>
    </row>
    <row r="57" ht="16.5" customHeight="1" s="78">
      <c r="A57" s="77" t="inlineStr">
        <is>
          <t>Demand outlooks (context for the denominator-side driver)</t>
        </is>
      </c>
      <c r="B57" s="77" t="inlineStr">
        <is>
          <t>various</t>
        </is>
      </c>
      <c r="C57" s="77" t="inlineStr">
        <is>
          <t>as published</t>
        </is>
      </c>
      <c r="T57" s="77" t="inlineStr">
        <is>
          <t>CN: CEC 2026 = 10.9-11.0万亿kWh (+5-6%); 国网能源院 2030 = 13.5万亿, 2035 = 16.7万亿. UK/DE forward utilisation: FES-2025 and Szenariorahmen pathway points NOT retrieved this session — Q51.</t>
        </is>
      </c>
    </row>
    <row r="59" ht="15" customHeight="1" s="78">
      <c r="A59" s="77" t="inlineStr">
        <is>
          <t>F. THE DRIVER ARITHMETIC, stated plainly (chapter-6 spine)</t>
        </is>
      </c>
    </row>
    <row r="60" ht="15" customHeight="1" s="78">
      <c r="A60" s="77" t="inlineStr">
        <is>
          <t>UK</t>
        </is>
      </c>
      <c r="B60" s="77" t="inlineStr">
        <is>
          <t>reading</t>
        </is>
      </c>
      <c r="C60" s="77" t="n"/>
      <c r="T60" s="77" t="inlineStr">
        <is>
          <t>Residual revenue nearly doubles 2025/26-&gt;2026/27 (3.84 -&gt; 7.52bn) and grows ~56% further to 2030/31 (FYV), while delivered volumes FELL 25% since 2010 and utilisation ~0.70 -&gt; 0.67: the charge per site rises because the numerator (RIIO-3 capex recovery) grows into a shrinking, flatter-loaded denominator. T-Demand4 per-MWh (large archetype): 9.3 (2025/26) -&gt; 15.2 (2026/27) -&gt; ~22.4 GBP/MWh by 2030/31 central.</t>
        </is>
      </c>
    </row>
    <row r="61" ht="15" customHeight="1" s="78">
      <c r="A61" s="77" t="inlineStr">
        <is>
          <t>DE</t>
        </is>
      </c>
      <c r="B61" s="77" t="inlineStr">
        <is>
          <t>reading</t>
        </is>
      </c>
      <c r="C61" s="77" t="n"/>
      <c r="T61" s="77" t="inlineStr">
        <is>
          <t>The 2026 subsidy is a LEVEL shift, not a driver change: ohne-Zuschuss the archetype pays ~31 EUR/MWh and the draft-2027 subsidy holds ~16 EUR/MWh. Utilisation fell 0.73 -&gt; 0.70 (2015-2025). E2 stays 10-24% of E1 under grandfathering + AgNes successor "similar heights" — the E1/E2 wedge (borne by others) widens with E1.</t>
        </is>
      </c>
    </row>
    <row r="62" ht="16.5" customHeight="1" s="78">
      <c r="A62" s="77" t="inlineStr">
        <is>
          <t>CN</t>
        </is>
      </c>
      <c r="B62" s="77" t="inlineStr">
        <is>
          <t>reading</t>
        </is>
      </c>
      <c r="C62" s="77" t="n"/>
      <c r="T62" s="77" t="inlineStr">
        <is>
          <t>The regulated T&amp;D price is flat-to-down (P4), demand grows 5-6%/yr and utilisation is high and stable — the network denominator GROWS with the numerator. Chinese network cost growth lands in the 系统运行费 (capacity + mechanism costs), quadrupling 2023-&gt;2026H1 but still only ~87 CNY/MWh (~USD 12).</t>
        </is>
      </c>
    </row>
    <row r="64">
      <c r="A64" s="77" t="inlineStr">
        <is>
          <t>G. UK FORWARD UTILISATION — NESO FES 2025, Holistic Transition (S178; Q51 UK leg; imported 2026-07-19, D63). Fiscal years. System demand = "GBFES System Demand: Total"; peak = "GBFES Peak Customer Demand: Total Consumption plus Losses" (ACS-normalised). BOUNDARY: scenario series — DO NOT SPLICE with DUKES outturn LF (Section C basis differs); numerator includes electrolysis while the peak line excludes it, so the implied LF is indicative (estimated=Y).</t>
        </is>
      </c>
    </row>
    <row r="65">
      <c r="A65" s="77" t="inlineStr">
        <is>
          <t>Year</t>
        </is>
      </c>
      <c r="B65" s="77" t="n">
        <v>2023</v>
      </c>
      <c r="C65" s="77" t="n">
        <v>2024</v>
      </c>
      <c r="D65" s="77" t="n">
        <v>2025</v>
      </c>
      <c r="E65" s="77" t="n">
        <v>2026</v>
      </c>
      <c r="F65" s="77" t="n">
        <v>2027</v>
      </c>
      <c r="G65" s="77" t="n">
        <v>2028</v>
      </c>
      <c r="H65" s="77" t="n">
        <v>2029</v>
      </c>
      <c r="I65" s="77" t="n">
        <v>2030</v>
      </c>
      <c r="J65" s="77" t="n">
        <v>2031</v>
      </c>
      <c r="K65" s="77" t="n">
        <v>2032</v>
      </c>
      <c r="L65" s="77" t="n">
        <v>2033</v>
      </c>
      <c r="M65" s="77" t="n">
        <v>2034</v>
      </c>
      <c r="N65" s="77" t="n">
        <v>2035</v>
      </c>
    </row>
    <row r="66">
      <c r="A66" s="77" t="inlineStr">
        <is>
          <t>FES HT system demand</t>
        </is>
      </c>
      <c r="B66" s="77" t="n">
        <v>286780</v>
      </c>
      <c r="C66" s="77" t="n">
        <v>289650</v>
      </c>
      <c r="D66" s="77" t="n">
        <v>290891</v>
      </c>
      <c r="E66" s="77" t="n">
        <v>294991</v>
      </c>
      <c r="F66" s="77" t="n">
        <v>302613</v>
      </c>
      <c r="G66" s="77" t="n">
        <v>314320</v>
      </c>
      <c r="H66" s="77" t="n">
        <v>326293</v>
      </c>
      <c r="I66" s="77" t="n">
        <v>339295</v>
      </c>
      <c r="J66" s="77" t="n">
        <v>355884</v>
      </c>
      <c r="K66" s="77" t="n">
        <v>373666</v>
      </c>
      <c r="L66" s="77" t="n">
        <v>392593</v>
      </c>
      <c r="M66" s="77" t="n">
        <v>411573</v>
      </c>
      <c r="N66" s="77" t="n">
        <v>433422</v>
      </c>
      <c r="O66" s="77" t="inlineStr">
        <is>
          <t>GWh</t>
        </is>
      </c>
    </row>
    <row r="67">
      <c r="A67" s="77" t="inlineStr">
        <is>
          <t>FES HT peak (customer+losses, ACS)</t>
        </is>
      </c>
      <c r="B67" s="157" t="n">
        <v>57.46</v>
      </c>
      <c r="C67" s="157" t="n">
        <v>58.34</v>
      </c>
      <c r="D67" s="157" t="n">
        <v>58.15</v>
      </c>
      <c r="E67" s="157" t="n">
        <v>58.1</v>
      </c>
      <c r="F67" s="157" t="n">
        <v>58.73</v>
      </c>
      <c r="G67" s="157" t="n">
        <v>59.4</v>
      </c>
      <c r="H67" s="157" t="n">
        <v>60.53</v>
      </c>
      <c r="I67" s="157" t="n">
        <v>62.09</v>
      </c>
      <c r="J67" s="157" t="n">
        <v>63.97</v>
      </c>
      <c r="K67" s="157" t="n">
        <v>66.29000000000001</v>
      </c>
      <c r="L67" s="157" t="n">
        <v>68.83</v>
      </c>
      <c r="M67" s="157" t="n">
        <v>71.5</v>
      </c>
      <c r="N67" s="157" t="n">
        <v>74.34</v>
      </c>
      <c r="O67" s="77" t="inlineStr">
        <is>
          <t>GW</t>
        </is>
      </c>
    </row>
    <row r="68">
      <c r="A68" s="77" t="inlineStr">
        <is>
          <t>Implied scenario load factor</t>
        </is>
      </c>
      <c r="B68" s="158">
        <f>B66/(B67*8760)</f>
        <v/>
      </c>
      <c r="C68" s="158">
        <f>C66/(C67*8760)</f>
        <v/>
      </c>
      <c r="D68" s="158">
        <f>D66/(D67*8760)</f>
        <v/>
      </c>
      <c r="E68" s="158">
        <f>E66/(E67*8760)</f>
        <v/>
      </c>
      <c r="F68" s="158">
        <f>F66/(F67*8760)</f>
        <v/>
      </c>
      <c r="G68" s="158">
        <f>G66/(G67*8760)</f>
        <v/>
      </c>
      <c r="H68" s="158">
        <f>H66/(H67*8760)</f>
        <v/>
      </c>
      <c r="I68" s="158">
        <f>I66/(I67*8760)</f>
        <v/>
      </c>
      <c r="J68" s="158">
        <f>J66/(J67*8760)</f>
        <v/>
      </c>
      <c r="K68" s="158">
        <f>K66/(K67*8760)</f>
        <v/>
      </c>
      <c r="L68" s="158">
        <f>L66/(L67*8760)</f>
        <v/>
      </c>
      <c r="M68" s="158">
        <f>M66/(M67*8760)</f>
        <v/>
      </c>
      <c r="N68" s="158">
        <f>N66/(N67*8760)</f>
        <v/>
      </c>
      <c r="O68" s="77" t="inlineStr">
        <is>
          <t>ratio (estimated=Y)</t>
        </is>
      </c>
    </row>
    <row r="69">
      <c r="A69" s="77" t="inlineStr">
        <is>
          <t>READING: scenario LF rises 0.567 (2024) → 0.624 (2030) → 0.666 (2035) as demand growth outpaces peak — utilisation pressure EASES on this published path, in contrast to the 2010–24 outturn decline (DUKES 0.698→0.672, Section C). Demand-side context only; the Section-B charge projections are unchanged.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V5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78">
      <c r="A1" s="146" t="inlineStr">
        <is>
          <t>STAGE 8.1 — NORTH SEA / UK CONTINENTAL SHELF OIL &amp; GAS (evidence). Tags: OBS=observed/official, EST=calculated, GAP=unavailable(blank). Proven-reserve change is NOT "new discoveries" (production, sanction, technical/economic revision, licence change). NSTA unit operating cost is MIXED oil+gas £/boe — NOT oil USD/bbl. Operating cost != full-cycle != breakeven != realised price != marginal price. USD/bbl (oil-only) and USD/boe (mixed) are kept as SEPARATE series.</t>
        </is>
      </c>
    </row>
    <row r="3" ht="15" customHeight="1" s="78">
      <c r="A3" s="109" t="inlineStr">
        <is>
          <t>year</t>
        </is>
      </c>
      <c r="D3" s="109" t="n">
        <v>2010</v>
      </c>
      <c r="E3" s="109" t="n">
        <v>2011</v>
      </c>
      <c r="F3" s="109" t="n">
        <v>2012</v>
      </c>
      <c r="G3" s="109" t="n">
        <v>2013</v>
      </c>
      <c r="H3" s="109" t="n">
        <v>2014</v>
      </c>
      <c r="I3" s="109" t="n">
        <v>2015</v>
      </c>
      <c r="J3" s="109" t="n">
        <v>2016</v>
      </c>
      <c r="K3" s="109" t="n">
        <v>2017</v>
      </c>
      <c r="L3" s="109" t="n">
        <v>2018</v>
      </c>
      <c r="M3" s="109" t="n">
        <v>2019</v>
      </c>
      <c r="N3" s="109" t="n">
        <v>2020</v>
      </c>
      <c r="O3" s="109" t="n">
        <v>2021</v>
      </c>
      <c r="P3" s="109" t="n">
        <v>2022</v>
      </c>
      <c r="Q3" s="109" t="n">
        <v>2023</v>
      </c>
      <c r="R3" s="109" t="n">
        <v>2024</v>
      </c>
      <c r="T3" s="77" t="inlineStr">
        <is>
          <t>unit</t>
        </is>
      </c>
      <c r="U3" s="77" t="inlineStr">
        <is>
          <t>tag</t>
        </is>
      </c>
      <c r="V3" s="77" t="inlineStr">
        <is>
          <t>source</t>
        </is>
      </c>
    </row>
    <row r="4" ht="15" customHeight="1" s="78">
      <c r="A4" s="109" t="inlineStr">
        <is>
          <t>A. RESERVES &amp; E&amp;P INVESTMENT</t>
        </is>
      </c>
    </row>
    <row r="5" ht="15" customHeight="1" s="78">
      <c r="A5" s="77" t="inlineStr">
        <is>
          <t>Proven (1P) OIL reserves</t>
        </is>
      </c>
      <c r="I5" s="77" t="n">
        <v>2.6</v>
      </c>
      <c r="J5" s="77" t="n">
        <v>2.5</v>
      </c>
      <c r="K5" s="77" t="n">
        <v>2.5</v>
      </c>
      <c r="L5" s="77" t="n">
        <v>2.7</v>
      </c>
      <c r="M5" s="77" t="n">
        <v>2.5</v>
      </c>
      <c r="N5" s="77" t="n">
        <v>2</v>
      </c>
      <c r="O5" s="77" t="n">
        <v>1.8</v>
      </c>
      <c r="P5" s="77" t="n">
        <v>1.5</v>
      </c>
      <c r="Q5" s="77" t="n">
        <v>1.5</v>
      </c>
      <c r="R5" s="77" t="n">
        <v>1.3</v>
      </c>
      <c r="T5" s="77" t="inlineStr">
        <is>
          <t>bn boe</t>
        </is>
      </c>
      <c r="U5" s="77" t="inlineStr">
        <is>
          <t>OBS</t>
        </is>
      </c>
      <c r="V5" s="77" t="inlineStr">
        <is>
          <t>S118 NSTA Reserves&amp;Resources end-2016..end-2024, central 1P (2010-14 GAP)</t>
        </is>
      </c>
    </row>
    <row r="6" ht="15" customHeight="1" s="78">
      <c r="A6" s="77" t="inlineStr">
        <is>
          <t>Proven (1P) GAS reserves</t>
        </is>
      </c>
      <c r="I6" s="77" t="n">
        <v>1.3</v>
      </c>
      <c r="J6" s="77" t="n">
        <v>1.1</v>
      </c>
      <c r="K6" s="77" t="n">
        <v>1.1</v>
      </c>
      <c r="L6" s="77" t="n">
        <v>1.1</v>
      </c>
      <c r="M6" s="77" t="n">
        <v>1.1</v>
      </c>
      <c r="N6" s="77" t="n">
        <v>0.8</v>
      </c>
      <c r="O6" s="77" t="n">
        <v>0.9</v>
      </c>
      <c r="P6" s="77" t="n">
        <v>0.8</v>
      </c>
      <c r="Q6" s="77" t="n">
        <v>0.7</v>
      </c>
      <c r="R6" s="77" t="n">
        <v>0.6</v>
      </c>
      <c r="T6" s="77" t="inlineStr">
        <is>
          <t>bn boe</t>
        </is>
      </c>
      <c r="U6" s="77" t="inlineStr">
        <is>
          <t>OBS</t>
        </is>
      </c>
      <c r="V6" s="77" t="inlineStr">
        <is>
          <t>S118 (2010-14 not published by NSTA)</t>
        </is>
      </c>
    </row>
    <row r="7" ht="15" customHeight="1" s="78">
      <c r="A7" s="77" t="inlineStr">
        <is>
          <t>Proven (1P) TOTAL reserves</t>
        </is>
      </c>
      <c r="I7" s="77">
        <f>IF(COUNT(I5,I6)=2,I5+I6,"")</f>
        <v/>
      </c>
      <c r="J7" s="77">
        <f>IF(COUNT(J5,J6)=2,J5+J6,"")</f>
        <v/>
      </c>
      <c r="K7" s="77">
        <f>IF(COUNT(K5,K6)=2,K5+K6,"")</f>
        <v/>
      </c>
      <c r="L7" s="77">
        <f>IF(COUNT(L5,L6)=2,L5+L6,"")</f>
        <v/>
      </c>
      <c r="M7" s="77">
        <f>IF(COUNT(M5,M6)=2,M5+M6,"")</f>
        <v/>
      </c>
      <c r="N7" s="77">
        <f>IF(COUNT(N5,N6)=2,N5+N6,"")</f>
        <v/>
      </c>
      <c r="O7" s="77">
        <f>IF(COUNT(O5,O6)=2,O5+O6,"")</f>
        <v/>
      </c>
      <c r="P7" s="77">
        <f>IF(COUNT(P5,P6)=2,P5+P6,"")</f>
        <v/>
      </c>
      <c r="Q7" s="77">
        <f>IF(COUNT(Q5,Q6)=2,Q5+Q6,"")</f>
        <v/>
      </c>
      <c r="R7" s="77">
        <f>IF(COUNT(R5,R6)=2,R5+R6,"")</f>
        <v/>
      </c>
      <c r="T7" s="77" t="inlineStr">
        <is>
          <t>bn boe</t>
        </is>
      </c>
      <c r="U7" s="77" t="inlineStr">
        <is>
          <t>EST</t>
        </is>
      </c>
      <c r="V7" s="77" t="inlineStr">
        <is>
          <t>sum of oil+gas 1P (formula)</t>
        </is>
      </c>
    </row>
    <row r="8" ht="15" customHeight="1" s="78">
      <c r="A8" s="77" t="inlineStr">
        <is>
          <t>Proven (1P) OIL reserves (native)</t>
        </is>
      </c>
      <c r="Q8" s="77" t="n">
        <v>196</v>
      </c>
      <c r="R8" s="77" t="n">
        <v>171</v>
      </c>
      <c r="T8" s="77" t="inlineStr">
        <is>
          <t>million tonnes</t>
        </is>
      </c>
      <c r="U8" s="77" t="inlineStr">
        <is>
          <t>OBS</t>
        </is>
      </c>
      <c r="V8" s="77" t="inlineStr">
        <is>
          <t>S118 end-2024 App.D (mt); 171 mt=2024</t>
        </is>
      </c>
    </row>
    <row r="9" ht="15" customHeight="1" s="78">
      <c r="A9" s="77" t="inlineStr">
        <is>
          <t>Proven (1P) GAS reserves (native)</t>
        </is>
      </c>
      <c r="Q9" s="77" t="n">
        <v>119</v>
      </c>
      <c r="R9" s="77" t="n">
        <v>103</v>
      </c>
      <c r="T9" s="77" t="inlineStr">
        <is>
          <t>bcm</t>
        </is>
      </c>
      <c r="U9" s="77" t="inlineStr">
        <is>
          <t>OBS</t>
        </is>
      </c>
      <c r="V9" s="77" t="inlineStr">
        <is>
          <t>S118 end-2024 App.D (bcm); 103 bcm=2024</t>
        </is>
      </c>
    </row>
    <row r="10" ht="15" customHeight="1" s="78">
      <c r="A10" s="77" t="inlineStr">
        <is>
          <t>Total production (context)</t>
        </is>
      </c>
      <c r="I10" s="77" t="n">
        <v>571</v>
      </c>
      <c r="J10" s="77" t="n">
        <v>598</v>
      </c>
      <c r="R10" s="77" t="n">
        <v>401</v>
      </c>
      <c r="T10" s="77" t="inlineStr">
        <is>
          <t>mmboe</t>
        </is>
      </c>
      <c r="U10" s="77" t="inlineStr">
        <is>
          <t>OBS</t>
        </is>
      </c>
      <c r="V10" s="77" t="inlineStr">
        <is>
          <t>S121 OGA opcost2016 T1; S118 end-2024 (401 mmboe 2024)</t>
        </is>
      </c>
    </row>
    <row r="11" ht="15" customHeight="1" s="78">
      <c r="A11" s="77" t="inlineStr">
        <is>
          <t>E&amp;P capex (NSTA, REAL 2018 prices)</t>
        </is>
      </c>
      <c r="I11" s="77" t="n">
        <v>12.45</v>
      </c>
      <c r="J11" s="77" t="n">
        <v>8.82</v>
      </c>
      <c r="K11" s="77" t="n">
        <v>5.7</v>
      </c>
      <c r="L11" s="77" t="n">
        <v>5.01</v>
      </c>
      <c r="T11" s="77" t="inlineStr">
        <is>
          <t>GBP bn real-2018</t>
        </is>
      </c>
      <c r="U11" s="77" t="inlineStr">
        <is>
          <t>OBS</t>
        </is>
      </c>
      <c r="V11" s="77" t="inlineStr">
        <is>
          <t>S119 NSTA Projections Mar-2019 (2018 prices); actuals only; 2019+ were projections (excluded)</t>
        </is>
      </c>
    </row>
    <row r="12" ht="15" customHeight="1" s="78">
      <c r="A12" s="77" t="inlineStr">
        <is>
          <t>E&amp;P capex (NOMINAL, full series 2026-07-25): NSTA "Income from and expenditure on UK upstream oil and gas 1970-2024" workbook, sheet Annual for Web, Total capex incl E&amp;A. 2025e 5.11 (Feb-2026 projections, 2025 prices). Decom EXCLUDED. S201</t>
        </is>
      </c>
      <c r="D12" s="77" t="n">
        <v>7.4</v>
      </c>
      <c r="E12" s="77" t="n">
        <v>10.7</v>
      </c>
      <c r="F12" s="77" t="n">
        <v>13.3</v>
      </c>
      <c r="G12" s="77" t="n">
        <v>16</v>
      </c>
      <c r="H12" s="77" t="n">
        <v>16.2</v>
      </c>
      <c r="I12" s="77" t="n">
        <v>12.64</v>
      </c>
      <c r="J12" s="77" t="n">
        <v>8.92</v>
      </c>
      <c r="K12" s="77" t="n">
        <v>6.24</v>
      </c>
      <c r="L12" s="77" t="n">
        <v>5.55</v>
      </c>
      <c r="M12" s="77" t="n">
        <v>6.22</v>
      </c>
      <c r="N12" s="77" t="n">
        <v>4.04</v>
      </c>
      <c r="O12" s="77" t="n">
        <v>3.76</v>
      </c>
      <c r="P12" s="77" t="n">
        <v>4.61</v>
      </c>
      <c r="Q12" s="77" t="n">
        <v>5.05</v>
      </c>
      <c r="R12" s="77" t="n">
        <v>6.05</v>
      </c>
      <c r="T12" s="77" t="inlineStr">
        <is>
          <t>GBP bn nominal</t>
        </is>
      </c>
      <c r="U12" s="77" t="inlineStr">
        <is>
          <t>OBS</t>
        </is>
      </c>
      <c r="V12" s="77" t="inlineStr">
        <is>
          <t>S119 OEUK Business Outlook 2025 p.9 ("approximately GBP 6bn capex in 2024"); other years GAP (OEUK charts unlabelled)</t>
        </is>
      </c>
    </row>
    <row r="13" ht="15" customHeight="1" s="78">
      <c r="A13" s="77" t="inlineStr">
        <is>
          <t>UK GDP deflator (FY, 2025-26=100)</t>
        </is>
      </c>
      <c r="D13" s="77" t="n">
        <v>66.55710000000001</v>
      </c>
      <c r="E13" s="77" t="n">
        <v>67.97790000000001</v>
      </c>
      <c r="F13" s="77" t="n">
        <v>69.15649999999999</v>
      </c>
      <c r="G13" s="77" t="n">
        <v>70.59520000000001</v>
      </c>
      <c r="H13" s="77" t="n">
        <v>71.59310000000001</v>
      </c>
      <c r="I13" s="77" t="n">
        <v>72.0902</v>
      </c>
      <c r="J13" s="77" t="n">
        <v>73.53530000000001</v>
      </c>
      <c r="K13" s="77" t="n">
        <v>74.4665</v>
      </c>
      <c r="L13" s="77" t="n">
        <v>76.1639</v>
      </c>
      <c r="M13" s="77" t="n">
        <v>78.1735</v>
      </c>
      <c r="N13" s="77" t="n">
        <v>82.25879999999999</v>
      </c>
      <c r="O13" s="77" t="n">
        <v>82.4554</v>
      </c>
      <c r="P13" s="77" t="n">
        <v>88.2512</v>
      </c>
      <c r="Q13" s="77" t="n">
        <v>92.89449999999999</v>
      </c>
      <c r="R13" s="77" t="n">
        <v>96.6694</v>
      </c>
      <c r="T13" s="77" t="inlineStr">
        <is>
          <t>index</t>
        </is>
      </c>
      <c r="U13" s="77" t="inlineStr">
        <is>
          <t>OBS</t>
        </is>
      </c>
      <c r="V13" s="77" t="inlineStr">
        <is>
          <t>S120 HMT GDP deflators Jun-2026 (L8GG, FY starting year Y; calendar/FY mismatch =&gt; EST on conversions)</t>
        </is>
      </c>
    </row>
    <row r="14" ht="15" customHeight="1" s="78">
      <c r="A14" s="77" t="inlineStr">
        <is>
          <t>E&amp;P capex, real-2025 GBP (chart line)</t>
        </is>
      </c>
      <c r="I14" s="77">
        <f>I11*100/L13</f>
        <v/>
      </c>
      <c r="J14" s="77">
        <f>J11*100/L13</f>
        <v/>
      </c>
      <c r="K14" s="77">
        <f>K11*100/L13</f>
        <v/>
      </c>
      <c r="L14" s="77">
        <f>L11*100/L13</f>
        <v/>
      </c>
      <c r="R14" s="77">
        <f>R12*100/R13</f>
        <v/>
      </c>
      <c r="T14" s="77" t="inlineStr">
        <is>
          <t>GBP bn real-2025</t>
        </is>
      </c>
      <c r="U14" s="77" t="inlineStr">
        <is>
          <t>EST</t>
        </is>
      </c>
      <c r="V14" s="77" t="inlineStr">
        <is>
          <t>S119/S120 2015-18 = NSTA real-2018 reflated by GDP deflator; 2024 = nominal reflated; other years GAP (blank, not zero)</t>
        </is>
      </c>
    </row>
    <row r="15" ht="15" customHeight="1" s="78">
      <c r="A15" s="109" t="inlineStr">
        <is>
          <t>B. PRODUCTION COSTS — two SEPARATE concepts</t>
        </is>
      </c>
    </row>
    <row r="16" ht="15" customHeight="1" s="78">
      <c r="A16" s="77" t="inlineStr">
        <is>
          <t>NSTA UKCS unit operating cost (MIXED oil+gas, nominal GBP/boe). 2015-2024 NSTA/OGA primary (UOC reports + benchmarking dashboards); 2012-14 OGUK Activity/Economic Survey (secondary — but NSTA workbook itself builds 2009-14 on that survey; computed cross-checks agree); 2011 OGUK $17/boe at 1.604 (EST); 2010 COMPUTED = NSTA opex 7.17bn / ~814 mmboe (EST). 2017 later revised ~11.35-11.4. 2025e 17.63. S201</t>
        </is>
      </c>
      <c r="D16" s="77" t="n">
        <v>8.800000000000001</v>
      </c>
      <c r="E16" s="77" t="n">
        <v>10.6</v>
      </c>
      <c r="F16" s="77" t="n">
        <v>13.5</v>
      </c>
      <c r="G16" s="77" t="n">
        <v>17</v>
      </c>
      <c r="H16" s="77" t="n">
        <v>18.5</v>
      </c>
      <c r="I16" s="77" t="n">
        <v>15</v>
      </c>
      <c r="J16" s="77" t="n">
        <v>12</v>
      </c>
      <c r="K16" s="77" t="n">
        <v>11.6</v>
      </c>
      <c r="L16" s="77" t="n">
        <v>11.6</v>
      </c>
      <c r="M16" s="77" t="n">
        <v>11.9</v>
      </c>
      <c r="N16" s="77" t="n">
        <v>11.2</v>
      </c>
      <c r="O16" s="77" t="n">
        <v>15.24</v>
      </c>
      <c r="P16" s="77" t="n">
        <v>16.35</v>
      </c>
      <c r="Q16" s="77" t="n">
        <v>18.59</v>
      </c>
      <c r="R16" s="77" t="n">
        <v>19.49</v>
      </c>
      <c r="T16" s="77" t="inlineStr">
        <is>
          <t>GBP/boe nominal</t>
        </is>
      </c>
      <c r="U16" s="77" t="inlineStr">
        <is>
          <t>OBS/EST (see note)</t>
        </is>
      </c>
      <c r="V16" s="77" t="inlineStr">
        <is>
          <t>S121 OGA opcost2016 T1 (2015-17); NSTA opcost2018; NSTA Benchmarking Dashboards 2022-24 (2019-21 GAP)</t>
        </is>
      </c>
    </row>
    <row r="17" ht="15" customHeight="1" s="78">
      <c r="A17" s="77" t="inlineStr">
        <is>
          <t>NSTA UKCS unit operating cost (nominal USD)</t>
        </is>
      </c>
      <c r="I17" s="77">
        <f>IF(ISNUMBER(I16),I16*fx_deflator!$I$10,"")</f>
        <v/>
      </c>
      <c r="J17" s="77">
        <f>IF(ISNUMBER(J16),J16*fx_deflator!$I$11,"")</f>
        <v/>
      </c>
      <c r="K17" s="77">
        <f>IF(ISNUMBER(K16),K16*fx_deflator!$I$12,"")</f>
        <v/>
      </c>
      <c r="L17" s="77">
        <f>IF(ISNUMBER(L16),L16*fx_deflator!$I$13,"")</f>
        <v/>
      </c>
      <c r="M17" s="77">
        <f>IF(ISNUMBER(M16),M16*fx_deflator!$I$14,"")</f>
        <v/>
      </c>
      <c r="N17" s="77">
        <f>IF(ISNUMBER(N16),N16*fx_deflator!$I$15,"")</f>
        <v/>
      </c>
      <c r="O17" s="77">
        <f>IF(ISNUMBER(O16),O16*fx_deflator!$I$16,"")</f>
        <v/>
      </c>
      <c r="P17" s="77">
        <f>IF(ISNUMBER(P16),P16*fx_deflator!$I$17,"")</f>
        <v/>
      </c>
      <c r="Q17" s="77">
        <f>IF(ISNUMBER(Q16),Q16*fx_deflator!$I$18,"")</f>
        <v/>
      </c>
      <c r="R17" s="77">
        <f>IF(ISNUMBER(R16),R16*fx_deflator!$I$19,"")</f>
        <v/>
      </c>
      <c r="T17" s="77" t="inlineStr">
        <is>
          <t>USD/boe nominal</t>
        </is>
      </c>
      <c r="U17" s="77" t="inlineStr">
        <is>
          <t>EST</t>
        </is>
      </c>
      <c r="V17" s="77" t="inlineStr">
        <is>
          <t>S121 x locked FX (fx_deflator I). MIXED oil+gas per-boe — NOT oil USD/bbl</t>
        </is>
      </c>
    </row>
    <row r="18" ht="15" customHeight="1" s="78">
      <c r="A18" s="77" t="inlineStr">
        <is>
          <t>UK oil OPERATING cost, oil-relevant (Rystad)</t>
        </is>
      </c>
      <c r="H18" s="77" t="n">
        <v>30</v>
      </c>
      <c r="M18" s="77" t="n">
        <v>16</v>
      </c>
      <c r="T18" s="77" t="inlineStr">
        <is>
          <t>USD/boe</t>
        </is>
      </c>
      <c r="U18" s="77" t="inlineStr">
        <is>
          <t>OBS</t>
        </is>
      </c>
      <c r="V18" s="77" t="inlineStr">
        <is>
          <t>S122 Rystad via OGJ 08.01.2020 ("UK ... &gt;$30/bbl 2014 -&gt; $16/bbl 2019"; text: opex per boe). Tier-2 media-relayed Rystad</t>
        </is>
      </c>
    </row>
    <row r="19" ht="15" customHeight="1" s="78">
      <c r="A19" s="77" t="inlineStr">
        <is>
          <t>US oil OPERATING cost (comparator)</t>
        </is>
      </c>
      <c r="M19" s="77" t="n">
        <v>32</v>
      </c>
      <c r="P19" s="77" t="n">
        <v>28.06</v>
      </c>
      <c r="T19" s="77" t="inlineStr">
        <is>
          <t>USD/boe</t>
        </is>
      </c>
      <c r="U19" s="77" t="inlineStr">
        <is>
          <t>OBS</t>
        </is>
      </c>
      <c r="V19" s="77" t="inlineStr">
        <is>
          <t>S122 EIA Today-in-Energy ($32/boe 2019; $28.06/boe Q1-2022) — US-only comparator</t>
        </is>
      </c>
    </row>
    <row r="20" ht="15" customHeight="1" s="78">
      <c r="A20" s="77" t="inlineStr">
        <is>
          <t>Global oil-only OPEX, production-weighted (USD/bbl)</t>
        </is>
      </c>
      <c r="T20" s="77" t="inlineStr">
        <is>
          <t>USD/bbl</t>
        </is>
      </c>
      <c r="U20" s="77" t="inlineStr">
        <is>
          <t>GAP</t>
        </is>
      </c>
      <c r="V20" s="77" t="inlineStr">
        <is>
          <t>S122 GAP at primary/free level (Rystad UCube/WoodMac/IHS paywalled). Method if obtained: anchor x S&amp;P UOCI (S123). Cells BLANK, not zero</t>
        </is>
      </c>
    </row>
    <row r="21" ht="15" customHeight="1" s="78">
      <c r="A21" s="77" t="inlineStr">
        <is>
          <t>S&amp;P Global Upstream Operating Costs Index (UOCI)</t>
        </is>
      </c>
      <c r="D21" s="77" t="n">
        <v>173</v>
      </c>
      <c r="G21" s="77" t="n">
        <v>196</v>
      </c>
      <c r="M21" s="77" t="n">
        <v>173</v>
      </c>
      <c r="Q21" s="77" t="n">
        <v>197</v>
      </c>
      <c r="T21" s="77" t="inlineStr">
        <is>
          <t>index 2000=100</t>
        </is>
      </c>
      <c r="U21" s="77" t="inlineStr">
        <is>
          <t>OBS</t>
        </is>
      </c>
      <c r="V21" s="77" t="inlineStr">
        <is>
          <t>S123 UOCI levels (Q3 each yr where disclosed); 2014 peak level undisclosed; most years paywalled -&gt; sparse. This index (NOT CPI) evolves oil opex anchors</t>
        </is>
      </c>
    </row>
    <row r="22" ht="15" customHeight="1" s="78">
      <c r="A22" s="146" t="inlineStr">
        <is>
          <t xml:space="preserve">  Oil-only USD/bbl like-for-like UK-vs-global series: NOT constructable from disclosed primary data this session (Q56). UK mixed USD/boe (above) is the usable UK production-cost evidence; do NOT compare it with global oil USD/bbl.</t>
        </is>
      </c>
    </row>
    <row r="23" ht="15" customHeight="1" s="78">
      <c r="A23" s="109" t="inlineStr">
        <is>
          <t>C. EXTRACTION vs UK DEMAND</t>
        </is>
      </c>
    </row>
    <row r="24" ht="15" customHeight="1" s="78">
      <c r="A24" s="77" t="inlineStr">
        <is>
          <t>UK indigenous GAS production</t>
        </is>
      </c>
      <c r="D24" s="77" t="n">
        <v>643343.7</v>
      </c>
      <c r="E24" s="77" t="n">
        <v>512028.1</v>
      </c>
      <c r="F24" s="77" t="n">
        <v>435470.9</v>
      </c>
      <c r="G24" s="77" t="n">
        <v>410893.1</v>
      </c>
      <c r="H24" s="77" t="n">
        <v>415905.7</v>
      </c>
      <c r="I24" s="77" t="n">
        <v>451790.9</v>
      </c>
      <c r="J24" s="77" t="n">
        <v>463757.7</v>
      </c>
      <c r="K24" s="77" t="n">
        <v>465385</v>
      </c>
      <c r="L24" s="77" t="n">
        <v>450585.5</v>
      </c>
      <c r="M24" s="77" t="n">
        <v>436566.1</v>
      </c>
      <c r="N24" s="77" t="n">
        <v>439685.9</v>
      </c>
      <c r="O24" s="77" t="n">
        <v>364286.3</v>
      </c>
      <c r="P24" s="77" t="n">
        <v>423535.5</v>
      </c>
      <c r="Q24" s="77" t="n">
        <v>383218.6</v>
      </c>
      <c r="R24" s="77" t="n">
        <v>343857.8</v>
      </c>
      <c r="T24" s="77" t="inlineStr">
        <is>
          <t>GWh (GCV)</t>
        </is>
      </c>
      <c r="U24" s="77" t="inlineStr">
        <is>
          <t>OBS</t>
        </is>
      </c>
      <c r="V24" s="77" t="inlineStr">
        <is>
          <t>S124 DUKES 2025 T4.1.1 (methane)</t>
        </is>
      </c>
    </row>
    <row r="25" ht="15" customHeight="1" s="78">
      <c r="A25" s="77" t="inlineStr">
        <is>
          <t>UK total GAS consumption (all sectors)</t>
        </is>
      </c>
      <c r="D25" s="77" t="n">
        <v>1082229.4</v>
      </c>
      <c r="E25" s="77" t="n">
        <v>900940.9</v>
      </c>
      <c r="F25" s="77" t="n">
        <v>846539.4</v>
      </c>
      <c r="G25" s="77" t="n">
        <v>840590.6</v>
      </c>
      <c r="H25" s="77" t="n">
        <v>771538.2</v>
      </c>
      <c r="I25" s="77" t="n">
        <v>792178.4</v>
      </c>
      <c r="J25" s="77" t="n">
        <v>882386.6</v>
      </c>
      <c r="K25" s="77" t="n">
        <v>864164.7</v>
      </c>
      <c r="L25" s="77" t="n">
        <v>872086.1</v>
      </c>
      <c r="M25" s="77" t="n">
        <v>861724.9</v>
      </c>
      <c r="N25" s="77" t="n">
        <v>812586.9</v>
      </c>
      <c r="O25" s="77" t="n">
        <v>851153.9</v>
      </c>
      <c r="P25" s="77" t="n">
        <v>776479.7</v>
      </c>
      <c r="Q25" s="77" t="n">
        <v>700035.4</v>
      </c>
      <c r="R25" s="77" t="n">
        <v>683947.1</v>
      </c>
      <c r="T25" s="77" t="inlineStr">
        <is>
          <t>GWh (GCV)</t>
        </is>
      </c>
      <c r="U25" s="77" t="inlineStr">
        <is>
          <t>OBS</t>
        </is>
      </c>
      <c r="V25" s="77" t="inlineStr">
        <is>
          <t>S124 DUKES 2025 T4.1.1 — total, not household</t>
        </is>
      </c>
    </row>
    <row r="26" ht="15" customHeight="1" s="78">
      <c r="A26" s="77" t="inlineStr">
        <is>
          <t>(1) UK gas production / total gas consumption</t>
        </is>
      </c>
      <c r="D26" s="77">
        <f>IF(ISNUMBER(D24),D24/D25*100,"")</f>
        <v/>
      </c>
      <c r="E26" s="77">
        <f>IF(ISNUMBER(E24),E24/E25*100,"")</f>
        <v/>
      </c>
      <c r="F26" s="77">
        <f>IF(ISNUMBER(F24),F24/F25*100,"")</f>
        <v/>
      </c>
      <c r="G26" s="77">
        <f>IF(ISNUMBER(G24),G24/G25*100,"")</f>
        <v/>
      </c>
      <c r="H26" s="77">
        <f>IF(ISNUMBER(H24),H24/H25*100,"")</f>
        <v/>
      </c>
      <c r="I26" s="77">
        <f>IF(ISNUMBER(I24),I24/I25*100,"")</f>
        <v/>
      </c>
      <c r="J26" s="77">
        <f>IF(ISNUMBER(J24),J24/J25*100,"")</f>
        <v/>
      </c>
      <c r="K26" s="77">
        <f>IF(ISNUMBER(K24),K24/K25*100,"")</f>
        <v/>
      </c>
      <c r="L26" s="77">
        <f>IF(ISNUMBER(L24),L24/L25*100,"")</f>
        <v/>
      </c>
      <c r="M26" s="77">
        <f>IF(ISNUMBER(M24),M24/M25*100,"")</f>
        <v/>
      </c>
      <c r="N26" s="77">
        <f>IF(ISNUMBER(N24),N24/N25*100,"")</f>
        <v/>
      </c>
      <c r="O26" s="77">
        <f>IF(ISNUMBER(O24),O24/O25*100,"")</f>
        <v/>
      </c>
      <c r="P26" s="77">
        <f>IF(ISNUMBER(P24),P24/P25*100,"")</f>
        <v/>
      </c>
      <c r="Q26" s="77">
        <f>IF(ISNUMBER(Q24),Q24/Q25*100,"")</f>
        <v/>
      </c>
      <c r="R26" s="77">
        <f>IF(ISNUMBER(R24),R24/R25*100,"")</f>
        <v/>
      </c>
      <c r="T26" s="77" t="inlineStr">
        <is>
          <t>%</t>
        </is>
      </c>
      <c r="U26" s="77" t="inlineStr">
        <is>
          <t>EST</t>
        </is>
      </c>
      <c r="V26" s="77" t="inlineStr">
        <is>
          <t>numerator/denominator formula</t>
        </is>
      </c>
    </row>
    <row r="27" ht="15" customHeight="1" s="78">
      <c r="A27" s="77" t="inlineStr">
        <is>
          <t>UK indigenous OIL+GAS production</t>
        </is>
      </c>
      <c r="D27" s="77" t="n">
        <v>124300.4</v>
      </c>
      <c r="E27" s="77" t="n">
        <v>100928.6</v>
      </c>
      <c r="F27" s="77" t="n">
        <v>86199.60000000001</v>
      </c>
      <c r="G27" s="77" t="n">
        <v>79798.89999999999</v>
      </c>
      <c r="H27" s="77" t="n">
        <v>79466.89999999999</v>
      </c>
      <c r="I27" s="77" t="n">
        <v>88390.60000000001</v>
      </c>
      <c r="J27" s="77" t="n">
        <v>91827.7</v>
      </c>
      <c r="K27" s="77" t="n">
        <v>91105.60000000001</v>
      </c>
      <c r="L27" s="77" t="n">
        <v>94793</v>
      </c>
      <c r="M27" s="77" t="n">
        <v>95038.39999999999</v>
      </c>
      <c r="N27" s="77" t="n">
        <v>91453.8</v>
      </c>
      <c r="O27" s="77" t="n">
        <v>76062.8</v>
      </c>
      <c r="P27" s="77" t="n">
        <v>78211.7</v>
      </c>
      <c r="Q27" s="77" t="n">
        <v>69476.7</v>
      </c>
      <c r="R27" s="77" t="n">
        <v>62864.5</v>
      </c>
      <c r="T27" s="77" t="inlineStr">
        <is>
          <t>ktoe</t>
        </is>
      </c>
      <c r="U27" s="77" t="inlineStr">
        <is>
          <t>OBS</t>
        </is>
      </c>
      <c r="V27" s="77" t="inlineStr">
        <is>
          <t>S124 DUKES 2025 T1.1 (indigenous UK, INCLUDES small onshore — not pure UKCS)</t>
        </is>
      </c>
    </row>
    <row r="28" ht="15" customHeight="1" s="78">
      <c r="A28" s="77" t="inlineStr">
        <is>
          <t>UK primary energy consumption</t>
        </is>
      </c>
      <c r="D28" s="77" t="n">
        <v>220.02</v>
      </c>
      <c r="E28" s="77" t="n">
        <v>204.22</v>
      </c>
      <c r="F28" s="77" t="n">
        <v>208.62</v>
      </c>
      <c r="G28" s="77" t="n">
        <v>207.45</v>
      </c>
      <c r="H28" s="77" t="n">
        <v>194.37</v>
      </c>
      <c r="I28" s="77" t="n">
        <v>194.71</v>
      </c>
      <c r="J28" s="77" t="n">
        <v>191.41</v>
      </c>
      <c r="K28" s="77" t="n">
        <v>190.7</v>
      </c>
      <c r="L28" s="77" t="n">
        <v>190.53</v>
      </c>
      <c r="M28" s="77" t="n">
        <v>183.87</v>
      </c>
      <c r="N28" s="77" t="n">
        <v>164.69</v>
      </c>
      <c r="O28" s="77" t="n">
        <v>170.65</v>
      </c>
      <c r="P28" s="77" t="n">
        <v>168.22</v>
      </c>
      <c r="Q28" s="77" t="n">
        <v>163.77</v>
      </c>
      <c r="R28" s="77" t="n">
        <v>164.37</v>
      </c>
      <c r="T28" s="77" t="inlineStr">
        <is>
          <t>mtoe</t>
        </is>
      </c>
      <c r="U28" s="77" t="inlineStr">
        <is>
          <t>OBS</t>
        </is>
      </c>
      <c r="V28" s="77" t="inlineStr">
        <is>
          <t>S124 DUKES 2025 T1.1.1.B total</t>
        </is>
      </c>
    </row>
    <row r="29" ht="15" customHeight="1" s="78">
      <c r="A29" s="77" t="inlineStr">
        <is>
          <t>(2) UK indigenous oil+gas / primary energy</t>
        </is>
      </c>
      <c r="D29" s="77">
        <f>IF(ISNUMBER(D27),D27/(D28*1000)*100,"")</f>
        <v/>
      </c>
      <c r="E29" s="77">
        <f>IF(ISNUMBER(E27),E27/(E28*1000)*100,"")</f>
        <v/>
      </c>
      <c r="F29" s="77">
        <f>IF(ISNUMBER(F27),F27/(F28*1000)*100,"")</f>
        <v/>
      </c>
      <c r="G29" s="77">
        <f>IF(ISNUMBER(G27),G27/(G28*1000)*100,"")</f>
        <v/>
      </c>
      <c r="H29" s="77">
        <f>IF(ISNUMBER(H27),H27/(H28*1000)*100,"")</f>
        <v/>
      </c>
      <c r="I29" s="77">
        <f>IF(ISNUMBER(I27),I27/(I28*1000)*100,"")</f>
        <v/>
      </c>
      <c r="J29" s="77">
        <f>IF(ISNUMBER(J27),J27/(J28*1000)*100,"")</f>
        <v/>
      </c>
      <c r="K29" s="77">
        <f>IF(ISNUMBER(K27),K27/(K28*1000)*100,"")</f>
        <v/>
      </c>
      <c r="L29" s="77">
        <f>IF(ISNUMBER(L27),L27/(L28*1000)*100,"")</f>
        <v/>
      </c>
      <c r="M29" s="77">
        <f>IF(ISNUMBER(M27),M27/(M28*1000)*100,"")</f>
        <v/>
      </c>
      <c r="N29" s="77">
        <f>IF(ISNUMBER(N27),N27/(N28*1000)*100,"")</f>
        <v/>
      </c>
      <c r="O29" s="77">
        <f>IF(ISNUMBER(O27),O27/(O28*1000)*100,"")</f>
        <v/>
      </c>
      <c r="P29" s="77">
        <f>IF(ISNUMBER(P27),P27/(P28*1000)*100,"")</f>
        <v/>
      </c>
      <c r="Q29" s="77">
        <f>IF(ISNUMBER(Q27),Q27/(Q28*1000)*100,"")</f>
        <v/>
      </c>
      <c r="R29" s="77">
        <f>IF(ISNUMBER(R27),R27/(R28*1000)*100,"")</f>
        <v/>
      </c>
      <c r="T29" s="77" t="inlineStr">
        <is>
          <t>%</t>
        </is>
      </c>
      <c r="U29" s="77" t="inlineStr">
        <is>
          <t>EST</t>
        </is>
      </c>
      <c r="V29" s="77" t="inlineStr">
        <is>
          <t>ktoe/(mtoe*1000)*100; indigenous UK (incl. onshore), not pure UKCS</t>
        </is>
      </c>
    </row>
    <row r="30" ht="15" customHeight="1" s="78">
      <c r="A30" s="77" t="inlineStr">
        <is>
          <t>UK gas production (EI basis)</t>
        </is>
      </c>
      <c r="H30" s="77" t="n">
        <v>37.4</v>
      </c>
      <c r="I30" s="77" t="n">
        <v>40.7</v>
      </c>
      <c r="J30" s="77" t="n">
        <v>41.7</v>
      </c>
      <c r="K30" s="77" t="n">
        <v>41.9</v>
      </c>
      <c r="L30" s="77" t="n">
        <v>40.6</v>
      </c>
      <c r="M30" s="77" t="n">
        <v>39.3</v>
      </c>
      <c r="N30" s="77" t="n">
        <v>39.6</v>
      </c>
      <c r="O30" s="77" t="n">
        <v>32.8</v>
      </c>
      <c r="P30" s="77" t="n">
        <v>38.1</v>
      </c>
      <c r="Q30" s="77" t="n">
        <v>34.5</v>
      </c>
      <c r="R30" s="77" t="n">
        <v>30.7</v>
      </c>
      <c r="T30" s="77" t="inlineStr">
        <is>
          <t>bcm</t>
        </is>
      </c>
      <c r="U30" s="77" t="inlineStr">
        <is>
          <t>OBS</t>
        </is>
      </c>
      <c r="V30" s="77" t="inlineStr">
        <is>
          <t>S125 EI Statistical Review 2025 (Rystad); 2010-13 GAP</t>
        </is>
      </c>
    </row>
    <row r="31" ht="15" customHeight="1" s="78">
      <c r="A31" s="77" t="inlineStr">
        <is>
          <t>World inter-regional gas trade (imports: pipe+LNG)</t>
        </is>
      </c>
      <c r="H31" s="77" t="n">
        <v>720.8</v>
      </c>
      <c r="I31" s="77" t="n">
        <v>729.6</v>
      </c>
      <c r="J31" s="77" t="n">
        <v>774.4</v>
      </c>
      <c r="K31" s="77" t="n">
        <v>830.8</v>
      </c>
      <c r="L31" s="77" t="n">
        <v>867.9</v>
      </c>
      <c r="M31" s="77" t="n">
        <v>917.7</v>
      </c>
      <c r="N31" s="77" t="n">
        <v>877</v>
      </c>
      <c r="O31" s="77" t="n">
        <v>957.7</v>
      </c>
      <c r="P31" s="77" t="n">
        <v>884.1</v>
      </c>
      <c r="Q31" s="77" t="n">
        <v>854</v>
      </c>
      <c r="R31" s="77" t="n">
        <v>884.8</v>
      </c>
      <c r="T31" s="77" t="inlineStr">
        <is>
          <t>bcm</t>
        </is>
      </c>
      <c r="U31" s="77" t="inlineStr">
        <is>
          <t>OBS</t>
        </is>
      </c>
      <c r="V31" s="77" t="inlineStr">
        <is>
          <t>S125 EI 2025 inter-regional trade (importing side; excl intra-regional)</t>
        </is>
      </c>
    </row>
    <row r="32" ht="15" customHeight="1" s="78">
      <c r="A32" s="77" t="inlineStr">
        <is>
          <t>(3) UKCS gas / globally traded gas</t>
        </is>
      </c>
      <c r="D32" s="77">
        <f>IF(ISNUMBER(D30),D30/D31*100,"")</f>
        <v/>
      </c>
      <c r="E32" s="77">
        <f>IF(ISNUMBER(E30),E30/E31*100,"")</f>
        <v/>
      </c>
      <c r="F32" s="77">
        <f>IF(ISNUMBER(F30),F30/F31*100,"")</f>
        <v/>
      </c>
      <c r="G32" s="77">
        <f>IF(ISNUMBER(G30),G30/G31*100,"")</f>
        <v/>
      </c>
      <c r="H32" s="77">
        <f>IF(ISNUMBER(H30),H30/H31*100,"")</f>
        <v/>
      </c>
      <c r="I32" s="77">
        <f>IF(ISNUMBER(I30),I30/I31*100,"")</f>
        <v/>
      </c>
      <c r="J32" s="77">
        <f>IF(ISNUMBER(J30),J30/J31*100,"")</f>
        <v/>
      </c>
      <c r="K32" s="77">
        <f>IF(ISNUMBER(K30),K30/K31*100,"")</f>
        <v/>
      </c>
      <c r="L32" s="77">
        <f>IF(ISNUMBER(L30),L30/L31*100,"")</f>
        <v/>
      </c>
      <c r="M32" s="77">
        <f>IF(ISNUMBER(M30),M30/M31*100,"")</f>
        <v/>
      </c>
      <c r="N32" s="77">
        <f>IF(ISNUMBER(N30),N30/N31*100,"")</f>
        <v/>
      </c>
      <c r="O32" s="77">
        <f>IF(ISNUMBER(O30),O30/O31*100,"")</f>
        <v/>
      </c>
      <c r="P32" s="77">
        <f>IF(ISNUMBER(P30),P30/P31*100,"")</f>
        <v/>
      </c>
      <c r="Q32" s="77">
        <f>IF(ISNUMBER(Q30),Q30/Q31*100,"")</f>
        <v/>
      </c>
      <c r="R32" s="77">
        <f>IF(ISNUMBER(R30),R30/R31*100,"")</f>
        <v/>
      </c>
      <c r="T32" s="77" t="inlineStr">
        <is>
          <t>%</t>
        </is>
      </c>
      <c r="U32" s="77" t="inlineStr">
        <is>
          <t>EST</t>
        </is>
      </c>
      <c r="V32" s="77" t="inlineStr">
        <is>
          <t>UK bcm / world traded bcm (NOT world production/consumption)</t>
        </is>
      </c>
    </row>
    <row r="33" ht="15" customHeight="1" s="78">
      <c r="A33" s="109" t="inlineStr">
        <is>
          <t>D. INTERPRETATION (descriptive; see stage8_summary).</t>
        </is>
      </c>
    </row>
    <row r="34" ht="15" customHeight="1" s="78">
      <c r="A34" s="77" t="inlineStr">
        <is>
          <t xml:space="preserve">  Physical resource: 1P reserves fell 3.9-&gt;1.9 bn boe (2015-2024); annual change reflects depletion+sanction+revision, NOT discoveries.</t>
        </is>
      </c>
    </row>
    <row r="35" ht="15" customHeight="1" s="78">
      <c r="A35" s="77" t="inlineStr">
        <is>
          <t xml:space="preserve">  Demand coverage: UK gas production/consumption ~50% (2024 50.3%) and FALLING; indigenous oil+gas ~38% of primary energy (2024).</t>
        </is>
      </c>
    </row>
    <row r="36" ht="15" customHeight="1" s="78">
      <c r="A36" s="77" t="inlineStr">
        <is>
          <t xml:space="preserve">  Globally-traded exposure: UKCS gas = ~3.5% of world traded gas (2024) -&gt; UK is a price-TAKER on internationally traded gas.</t>
        </is>
      </c>
    </row>
    <row r="37" ht="15" customHeight="1" s="78">
      <c r="A37" s="77" t="inlineStr">
        <is>
          <t xml:space="preserve">  Marginal pricing: gas sets the GB power price ~90%+ of hours (Stage 6 carbon memo) -&gt; UK electricity tracks the international gas price, not UK production volume.</t>
        </is>
      </c>
    </row>
    <row r="38" ht="15" customHeight="1" s="78">
      <c r="A38" s="77" t="inlineStr">
        <is>
          <t xml:space="preserve">  Costs: NSTA mixed opex ~GBP 19/boe (2024, rising as production falls); operating cost != full-cycle != breakeven != realised != marginal price.</t>
        </is>
      </c>
    </row>
    <row r="39" ht="15" customHeight="1" s="78">
      <c r="A39" s="77" t="inlineStr">
        <is>
          <t xml:space="preserve">  CONCLUSION: additional North Sea drilling would NOT plausibly materially reduce UK industrial ELECTRICITY prices in the near term. Effects on fiscal receipts / security-of-supply / balance-of-payments are real but DISTINCT from the wholesale electricity price. Direct electricity-price effect ~ nil; indirect via global gas price negligible given ~3.5% share.</t>
        </is>
      </c>
    </row>
    <row r="41">
      <c r="A41" s="77" t="inlineStr">
        <is>
          <t>UK GDP deflator, CALENDAR year (NSTA workbook column; 2024=100)</t>
        </is>
      </c>
      <c r="D41" s="77" t="n">
        <v>69.51000000000001</v>
      </c>
      <c r="E41" s="77" t="n">
        <v>71.04000000000001</v>
      </c>
      <c r="F41" s="77" t="n">
        <v>72.14</v>
      </c>
      <c r="G41" s="77" t="n">
        <v>73.66</v>
      </c>
      <c r="H41" s="77" t="n">
        <v>74.63</v>
      </c>
      <c r="I41" s="77" t="n">
        <v>75.12</v>
      </c>
      <c r="J41" s="77" t="n">
        <v>76.59</v>
      </c>
      <c r="K41" s="77" t="n">
        <v>78.02</v>
      </c>
      <c r="L41" s="77" t="n">
        <v>79.51000000000001</v>
      </c>
      <c r="M41" s="77" t="n">
        <v>81.20999999999999</v>
      </c>
      <c r="N41" s="77" t="n">
        <v>85.43000000000001</v>
      </c>
      <c r="O41" s="77" t="n">
        <v>85.31</v>
      </c>
      <c r="P41" s="77" t="n">
        <v>89.94</v>
      </c>
      <c r="Q41" s="77" t="n">
        <v>96.15000000000001</v>
      </c>
      <c r="R41" s="77" t="n">
        <v>100</v>
      </c>
      <c r="T41" s="77" t="inlineStr">
        <is>
          <t>index</t>
        </is>
      </c>
      <c r="U41" s="77" t="inlineStr">
        <is>
          <t>OBS</t>
        </is>
      </c>
    </row>
    <row r="42">
      <c r="A42" s="77" t="inlineStr">
        <is>
          <t>E&amp;P capex, REAL 2024 GBP bn = r12 x 100/r41 (chart series for article fig10 merged panel, rev 42)</t>
        </is>
      </c>
      <c r="D42" s="77">
        <f>D12*100/D41</f>
        <v/>
      </c>
      <c r="E42" s="77">
        <f>E12*100/E41</f>
        <v/>
      </c>
      <c r="F42" s="77">
        <f>F12*100/F41</f>
        <v/>
      </c>
      <c r="G42" s="77">
        <f>G12*100/G41</f>
        <v/>
      </c>
      <c r="H42" s="77">
        <f>H12*100/H41</f>
        <v/>
      </c>
      <c r="I42" s="77">
        <f>I12*100/I41</f>
        <v/>
      </c>
      <c r="J42" s="77">
        <f>J12*100/J41</f>
        <v/>
      </c>
      <c r="K42" s="77">
        <f>K12*100/K41</f>
        <v/>
      </c>
      <c r="L42" s="77">
        <f>L12*100/L41</f>
        <v/>
      </c>
      <c r="M42" s="77">
        <f>M12*100/M41</f>
        <v/>
      </c>
      <c r="N42" s="77">
        <f>N12*100/N41</f>
        <v/>
      </c>
      <c r="O42" s="77">
        <f>O12*100/O41</f>
        <v/>
      </c>
      <c r="P42" s="77">
        <f>P12*100/P41</f>
        <v/>
      </c>
      <c r="Q42" s="77">
        <f>Q12*100/Q41</f>
        <v/>
      </c>
      <c r="R42" s="77">
        <f>R12*100/R41</f>
        <v/>
      </c>
      <c r="T42" s="77" t="inlineStr">
        <is>
          <t>GBP bn real-2024</t>
        </is>
      </c>
      <c r="U42" s="77" t="inlineStr">
        <is>
          <t>EST</t>
        </is>
      </c>
    </row>
    <row r="44">
      <c r="A44" s="77" t="inlineStr">
        <is>
          <t>HMRC net government revenues from UK oil&amp;gas production (RFCT+SC+PRT+EPL), FY starting in column year (2010-11 -&gt; col 2010). Sept-2025 edition, Table 2. Marginal rate since 01.11.2024 = 78% (RFCT 30 + SC 10 + EPL 38); EPL to 31.03.2030, then OGPM (35% above $90/bbl / 90p/therm). OBR 2025-26 forecast 2.7bn. S202</t>
        </is>
      </c>
      <c r="D44" s="77" t="n">
        <v>8322</v>
      </c>
      <c r="E44" s="77" t="n">
        <v>10872</v>
      </c>
      <c r="F44" s="77" t="n">
        <v>6149</v>
      </c>
      <c r="G44" s="77" t="n">
        <v>4674</v>
      </c>
      <c r="H44" s="77" t="n">
        <v>2103</v>
      </c>
      <c r="I44" s="77" t="n">
        <v>-2</v>
      </c>
      <c r="J44" s="77" t="n">
        <v>-359</v>
      </c>
      <c r="K44" s="77" t="n">
        <v>1188</v>
      </c>
      <c r="L44" s="77" t="n">
        <v>1168</v>
      </c>
      <c r="M44" s="77" t="n">
        <v>866</v>
      </c>
      <c r="N44" s="77" t="n">
        <v>257</v>
      </c>
      <c r="O44" s="77" t="n">
        <v>1444</v>
      </c>
      <c r="P44" s="77" t="n">
        <v>9011</v>
      </c>
      <c r="Q44" s="77" t="n">
        <v>6110</v>
      </c>
      <c r="R44" s="77" t="n">
        <v>4469</v>
      </c>
      <c r="T44" s="77" t="inlineStr">
        <is>
          <t>GBP m nominal</t>
        </is>
      </c>
      <c r="U44" s="77" t="inlineStr">
        <is>
          <t>OBS</t>
        </is>
      </c>
    </row>
    <row r="45">
      <c r="A45" s="77" t="inlineStr">
        <is>
          <t>RENT LEDGER 2025 (Q95, computed): NBP 89.1 p/th = 30.40 GBP/MWh. UKCS full-cycle cost proxy = (opex 7.78bn + capex 6.05bn 2024) / 401 mmboe = 34.49 GBP/boe = 20.29 GBP/MWh — MIXED oil+gas basis (no gas-only split exists; OIES NG-148 suggests gas-directed opex sits at the CHEAP end). Wedge 10.11 GBP/MWh; at the 78% marginal rate: Exchequer 7.89, producer post-tax 2.22. ILLUSTRATIVE split — marginal not average rate (allowances/decom relief mean HMRC actuals run below 78% of accounting rent).</t>
        </is>
      </c>
      <c r="D45" s="77" t="n">
        <v>30.4</v>
      </c>
      <c r="E45" s="77" t="n">
        <v>20.29</v>
      </c>
      <c r="F45" s="77" t="n">
        <v>10.11</v>
      </c>
      <c r="G45" s="77" t="n">
        <v>7.89</v>
      </c>
      <c r="H45" s="77" t="n">
        <v>2.22</v>
      </c>
      <c r="I45" s="77" t="n"/>
      <c r="J45" s="77" t="n"/>
      <c r="K45" s="77" t="n"/>
      <c r="L45" s="77" t="n"/>
      <c r="M45" s="77" t="n"/>
      <c r="N45" s="77" t="n"/>
      <c r="O45" s="77" t="n"/>
      <c r="P45" s="77" t="n"/>
      <c r="Q45" s="77" t="n"/>
      <c r="R45" s="77" t="n"/>
      <c r="T45" s="77" t="inlineStr">
        <is>
          <t>GBP/MWh 2025</t>
        </is>
      </c>
      <c r="U45" s="77" t="inlineStr">
        <is>
          <t>EST</t>
        </is>
      </c>
    </row>
    <row r="46">
      <c r="A46" s="77" t="inlineStr">
        <is>
          <t>NATIONALISE-AT-COST CEILING (Q95): wedge 10.11 x gas output 344 TWh = 3.48 GBP bn/yr max transfer to consumers = ~5 GBP/MWh across 684 TWh consumed. Compare HMRC take FY2024-25 4.47bn (ALL UKCS incl oil) and OBR 2025-26 forecast 2.7bn: the transfer is funded largely by cancelling the remaining Exchequer take. Duration capped by the proven gas inventory (~1,020 TWh = 18 months of consumption); sustaining it requires the E&amp;P investment whose returns the scheme confiscates.</t>
        </is>
      </c>
      <c r="D46" s="77" t="n">
        <v>3.48</v>
      </c>
      <c r="E46" s="77" t="n">
        <v>5.08</v>
      </c>
      <c r="F46" s="77" t="n"/>
      <c r="G46" s="77" t="n"/>
      <c r="H46" s="77" t="n"/>
      <c r="I46" s="77" t="n"/>
      <c r="J46" s="77" t="n"/>
      <c r="K46" s="77" t="n"/>
      <c r="L46" s="77" t="n"/>
      <c r="M46" s="77" t="n"/>
      <c r="N46" s="77" t="n"/>
      <c r="O46" s="77" t="n"/>
      <c r="P46" s="77" t="n"/>
      <c r="Q46" s="77" t="n"/>
      <c r="R46" s="77" t="n"/>
      <c r="T46" s="77" t="inlineStr">
        <is>
          <t>GBP bn/yr; GBP/MWh</t>
        </is>
      </c>
      <c r="U46" s="77" t="inlineStr">
        <is>
          <t>EST</t>
        </is>
      </c>
    </row>
    <row r="47">
      <c r="A47" s="77" t="inlineStr">
        <is>
          <t>DELIVERED-COST ANCHORS, USD/MMBtu (Q95/S202): UK domestic &lt;5 and Norway pipe &lt;6 and Qatar LNG &lt;5 (OIES NG-195 Fig 2/16, 2021 stack, real-2022 USD, MARGINAL-field basis — averages lower); Qatar delivered 5-6 (OIES Jan-2025); US LNG full-cycle build-up at HH: feedgas 115%xHH + liquefaction 2.50-3.00 + shipping ~1.50 (NW Europe) + regas ~0.45 -&gt; 8.5-9.0 at HH 3.52 (2025); SR marginal (liquefaction sunk) 5.5-6.0. PRESENTATION (article fig12, rev 55): the chart shows the FIRST segment as gas at the hub price (3.52) and rolls the 15% tolling surcharge (0.53) into the liquefaction segment (2.75 -&gt; 3.28), so the first bar segment is comparable across routes as "the gas itself" and the amber segments are the whole avoidable chain (5.23). Total unchanged at 8.75. Norway opex ~USD 5.7/boe (Aker BP FY24) ~1.0/MMBtu; Gassled transport O(0.1-0.3). Market refs: HH 2024 2.19 / 2025 3.52 (EIA); TTF 2024 10.96 (WB) / 2025 ~11.9 (IEA GMR Q1-26); NBP trades within ~0.5 of TTF (unsourced approx). Heterogeneous bases — comparison is order-of-magnitude, flagged in fig12 caption.</t>
        </is>
      </c>
      <c r="D47" s="77" t="n"/>
      <c r="E47" s="77" t="n"/>
      <c r="F47" s="77" t="n"/>
      <c r="G47" s="77" t="n"/>
      <c r="H47" s="77" t="n"/>
      <c r="I47" s="77" t="n"/>
      <c r="J47" s="77" t="n"/>
      <c r="K47" s="77" t="n"/>
      <c r="L47" s="77" t="n"/>
      <c r="M47" s="77" t="n"/>
      <c r="N47" s="77" t="n"/>
      <c r="O47" s="77" t="n"/>
      <c r="P47" s="77" t="n"/>
      <c r="Q47" s="77" t="n"/>
      <c r="R47" s="77" t="n"/>
      <c r="T47" s="77" t="inlineStr">
        <is>
          <t>USD/MMBtu</t>
        </is>
      </c>
      <c r="U47" s="77" t="inlineStr">
        <is>
          <t>OBS/EST mixed</t>
        </is>
      </c>
    </row>
    <row r="48">
      <c r="A48" s="77" t="inlineStr">
        <is>
          <t>RESOURCE LADDER end-2024 (NSTA R&amp;R report 17.10.2025, Tables 1-4/7-10): 1P 1.9 / 2P 2.9 / 3P 3.6 bn boe; 2C CONTINGENT 6.2 (1C 3.6 / 3C 10.3) = producing 1.4 + proposed devs 1.5 + licensed marginal 1.4 + UNLICENSED marginal 2.0; 2C fluid split OIL 4.3 / GAS 2.0 (~70/30, same as reserves); marginal-discovery gas share 42%. Prospective: mapped leads+prospects mean 4.6 risked (P90 3.3/P50 4.4/P10 6.0; +31% yoy on 33rd-round acreage; drill-ready only 0.3) + 11.2 play-level (no cut-offs). 2024 progression: production 401 mmboe; TWO consents moved &lt;50 mmboe 2C-&gt;reserves; zero FDP addenda; net revisions -90; replacement ratio -14%. NSTA: maturation "would require substantial investment". Court of Session 29.01.2025 (Jackdaw/Rosebank) volumes still in reserves at report date. S203</t>
        </is>
      </c>
      <c r="D48" s="77" t="n">
        <v>1.9</v>
      </c>
      <c r="E48" s="77" t="n">
        <v>2.9</v>
      </c>
      <c r="F48" s="77" t="n">
        <v>3.6</v>
      </c>
      <c r="G48" s="77" t="n">
        <v>6.2</v>
      </c>
      <c r="H48" s="77" t="n">
        <v>4.3</v>
      </c>
      <c r="I48" s="77" t="n">
        <v>2</v>
      </c>
      <c r="J48" s="77" t="n">
        <v>4.6</v>
      </c>
      <c r="K48" s="77" t="n">
        <v>11.2</v>
      </c>
      <c r="L48" s="77" t="n"/>
      <c r="M48" s="77" t="n"/>
      <c r="N48" s="77" t="n"/>
      <c r="O48" s="77" t="n"/>
      <c r="P48" s="77" t="n"/>
      <c r="Q48" s="77" t="n"/>
      <c r="R48" s="77" t="n"/>
      <c r="T48" s="77" t="inlineStr">
        <is>
          <t>bn boe (1P/2P/3P/2C/2C-oil/2C-gas/prospective-mapped/play)</t>
        </is>
      </c>
      <c r="U48" s="77" t="inlineStr">
        <is>
          <t>OBS</t>
        </is>
      </c>
    </row>
    <row r="49">
      <c r="A49" s="77" t="inlineStr">
        <is>
          <t>DISCOVERED VOLUMES per year, mmboe expected, added to 2C (NSTA R&amp;R reports 2018-2024 exec summaries): 2018 239 (3 disc) / 2019 240 (6) / 2020 212 (6) / 2021 &lt;50 / 2022 100 (5) / 2023 &lt;100 (6 wells) / 2024 &lt;100 (4 wells). 2010-17 chart-only (Wells Insight 2018 Fig 9-10, declining trend). OGA KPI era target: 200 mmboe/yr 5-yr rolling avg. Success rate ~50% stable two decades; historic finding cost GBP 2-4/boe (WIR 2018 p.17, chart only, no current series). Cols M-S = 2018..2024.</t>
        </is>
      </c>
      <c r="D49" s="77" t="n"/>
      <c r="E49" s="77" t="n"/>
      <c r="F49" s="77" t="n"/>
      <c r="G49" s="77" t="n"/>
      <c r="H49" s="77" t="n"/>
      <c r="I49" s="77" t="n"/>
      <c r="J49" s="77" t="n"/>
      <c r="K49" s="77" t="n"/>
      <c r="L49" s="77" t="n">
        <v>239</v>
      </c>
      <c r="M49" s="77" t="n">
        <v>240</v>
      </c>
      <c r="N49" s="77" t="n">
        <v>212</v>
      </c>
      <c r="O49" s="77" t="n">
        <v>50</v>
      </c>
      <c r="P49" s="77" t="n">
        <v>100</v>
      </c>
      <c r="Q49" s="77" t="n">
        <v>100</v>
      </c>
      <c r="R49" s="77" t="n">
        <v>100</v>
      </c>
      <c r="T49" s="77" t="inlineStr">
        <is>
          <t>mmboe (2021/23/24 are &lt;= upper bounds)</t>
        </is>
      </c>
      <c r="U49" s="77" t="inlineStr">
        <is>
          <t>OBS</t>
        </is>
      </c>
    </row>
    <row r="50">
      <c r="A50" s="77" t="inlineStr">
        <is>
          <t>E&amp;A ORIGIN WELLS spudded per year — OWN TABULATION from NSTA Open Data UKCS wellbores layer (WONS), est=Y; NSTA published anchors agree within definitional variance (2019 29 spudded; 2020 9; 2021 5+5; 2022 12 completed; 2023 15; 2024 3 expl + 3 appr = 10-year low, 46% of planned — Wells Insights 2025 via Energy Voice). S203</t>
        </is>
      </c>
      <c r="D50" s="77" t="n">
        <v>49</v>
      </c>
      <c r="E50" s="77" t="n">
        <v>32</v>
      </c>
      <c r="F50" s="77" t="n">
        <v>49</v>
      </c>
      <c r="G50" s="77" t="n">
        <v>32</v>
      </c>
      <c r="H50" s="77" t="n">
        <v>32</v>
      </c>
      <c r="I50" s="77" t="n">
        <v>16</v>
      </c>
      <c r="J50" s="77" t="n">
        <v>20</v>
      </c>
      <c r="K50" s="77" t="n">
        <v>22</v>
      </c>
      <c r="L50" s="77" t="n">
        <v>15</v>
      </c>
      <c r="M50" s="77" t="n">
        <v>32</v>
      </c>
      <c r="N50" s="77" t="n">
        <v>7</v>
      </c>
      <c r="O50" s="77" t="n">
        <v>7</v>
      </c>
      <c r="P50" s="77" t="n">
        <v>11</v>
      </c>
      <c r="Q50" s="77" t="n">
        <v>8</v>
      </c>
      <c r="R50" s="77" t="n">
        <v>7</v>
      </c>
      <c r="T50" s="77" t="inlineStr">
        <is>
          <t>origin E+A wells</t>
        </is>
      </c>
      <c r="U50" s="77" t="inlineStr">
        <is>
          <t>EST (own tabulation)</t>
        </is>
      </c>
    </row>
    <row r="51">
      <c r="A51" s="77" t="inlineStr">
        <is>
          <t>PRODUCTION SCENARIOS to 2050: NSTA central (Feb-2026, stylised, no variants): 1.09 mmboe/d 2024 -&gt; 0.65 by 2030; NSTA 2025-2050 recovery projection fell 6.5 (2019 vintage) -&gt; 3.8 bn boe (2024 vintage). Westwood/OEUK UKCS Outlook Jun-2025: LOW (no further sanction/E&amp;A) 2.57 bn boe to 2050; HIGH (accelerated but achievable) 4.26; NO-CONSTRAINTS ~7.5; total UKCS potential 26.5. OEUK BO2026: LNG import reliance 14% (2025) -&gt; &gt;25% by 2030 no-action vs 6% by 2035 with support. Discovery-&gt;first production ~5 years (NSTA 33rd round release). S203</t>
        </is>
      </c>
      <c r="D51" s="77" t="n">
        <v>2.57</v>
      </c>
      <c r="E51" s="77" t="n">
        <v>4.26</v>
      </c>
      <c r="F51" s="77" t="n">
        <v>7.5</v>
      </c>
      <c r="G51" s="77" t="n"/>
      <c r="H51" s="77" t="n"/>
      <c r="I51" s="77" t="n"/>
      <c r="J51" s="77" t="n"/>
      <c r="K51" s="77" t="n"/>
      <c r="L51" s="77" t="n"/>
      <c r="M51" s="77" t="n"/>
      <c r="N51" s="77" t="n"/>
      <c r="O51" s="77" t="n"/>
      <c r="P51" s="77" t="n"/>
      <c r="Q51" s="77" t="n"/>
      <c r="R51" s="77" t="n"/>
      <c r="T51" s="77" t="inlineStr">
        <is>
          <t>bn boe to 2050 (low/high/unconstrained)</t>
        </is>
      </c>
      <c r="U51" s="77" t="inlineStr">
        <is>
          <t>OBS (Westwood/OEUK)</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20.xml><?xml version="1.0" encoding="utf-8"?>
<worksheet xmlns="http://schemas.openxmlformats.org/spreadsheetml/2006/main">
  <sheetPr filterMode="0">
    <outlinePr summaryBelow="1" summaryRight="1"/>
    <pageSetUpPr fitToPage="0"/>
  </sheetPr>
  <dimension ref="A1:N7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78">
      <c r="A1" s="146" t="inlineStr">
        <is>
          <t>STAGE 8.2 — GLOBAL NUCLEAR COSTS &amp; DELIVERY (evidence). MANDATORY: Section A (HARMONISED OECD/NEA MODEL) is SEPARATE from Section B (REALISED/project-specific). Any sub-$100/MWh US figure in A is a MODELLED cost+financing case, NOT realised Vogtle. Vogtle LCOE-like values are INDICATIVE DERIVED PROXIES. FOAK!=NOAK; modelled!=realised; vendor target!=observed. UK/Germany have NO OECD/NEA nuclear cells (blank, not zero).</t>
        </is>
      </c>
    </row>
    <row r="3" ht="15" customHeight="1" s="78">
      <c r="A3" s="109" t="inlineStr">
        <is>
          <t>A. HARMONISED OECD/NEA BENCHMARK — Projected Costs of Generating Electricity 2020 (2018 USD; 85% CF; 60-yr life; commissioning 2025). 2020 = latest full edition (no 2025 update found, Q57).</t>
        </is>
      </c>
    </row>
    <row r="4" ht="15" customHeight="1" s="78">
      <c r="A4" s="109" t="inlineStr">
        <is>
          <t>Country</t>
        </is>
      </c>
      <c r="B4" s="109" t="inlineStr">
        <is>
          <t>Technology</t>
        </is>
      </c>
      <c r="C4" s="109" t="inlineStr">
        <is>
          <t>Net MWe</t>
        </is>
      </c>
      <c r="D4" s="109" t="inlineStr">
        <is>
          <t>Overnight USD/kWe</t>
        </is>
      </c>
      <c r="E4" s="109" t="inlineStr">
        <is>
          <t>LCOE@3% (2018USD)</t>
        </is>
      </c>
      <c r="F4" s="109" t="inlineStr">
        <is>
          <t>LCOE@7% (2018USD)</t>
        </is>
      </c>
      <c r="G4" s="109" t="inlineStr">
        <is>
          <t>LCOE@10% (2018USD)</t>
        </is>
      </c>
      <c r="H4" s="109" t="inlineStr">
        <is>
          <t>LCOE@7% real-2025-USD</t>
        </is>
      </c>
      <c r="I4" s="109" t="inlineStr">
        <is>
          <t>tag</t>
        </is>
      </c>
      <c r="J4" s="109" t="inlineStr">
        <is>
          <t>source</t>
        </is>
      </c>
    </row>
    <row r="5" ht="15" customHeight="1" s="78">
      <c r="A5" s="77" t="inlineStr">
        <is>
          <t>France</t>
        </is>
      </c>
      <c r="B5" s="77" t="inlineStr">
        <is>
          <t>EPR</t>
        </is>
      </c>
      <c r="C5" s="77" t="n">
        <v>1650</v>
      </c>
      <c r="D5" s="77" t="n">
        <v>4013</v>
      </c>
      <c r="E5" s="77" t="n">
        <v>45.27</v>
      </c>
      <c r="F5" s="77" t="n">
        <v>71.09999999999999</v>
      </c>
      <c r="G5" s="77" t="n">
        <v>96.89</v>
      </c>
      <c r="H5" s="77">
        <f>F5*fx_deflator!$M$13</f>
        <v/>
      </c>
      <c r="I5" s="77" t="inlineStr">
        <is>
          <t>MODELLED</t>
        </is>
      </c>
      <c r="J5" s="77" t="inlineStr">
        <is>
          <t>S126 OECD/NEA EGC 2020 T3.13a/T3.4a</t>
        </is>
      </c>
    </row>
    <row r="6" ht="15" customHeight="1" s="78">
      <c r="A6" s="77" t="inlineStr">
        <is>
          <t>Japan</t>
        </is>
      </c>
      <c r="B6" s="77" t="inlineStr">
        <is>
          <t>ALWR</t>
        </is>
      </c>
      <c r="C6" s="77" t="n">
        <v>1152</v>
      </c>
      <c r="D6" s="77" t="n">
        <v>3963</v>
      </c>
      <c r="E6" s="77" t="n">
        <v>61.16</v>
      </c>
      <c r="F6" s="77" t="n">
        <v>86.67</v>
      </c>
      <c r="G6" s="77" t="n">
        <v>112.13</v>
      </c>
      <c r="H6" s="77">
        <f>F6*fx_deflator!$M$13</f>
        <v/>
      </c>
      <c r="I6" s="77" t="inlineStr">
        <is>
          <t>MODELLED</t>
        </is>
      </c>
      <c r="J6" s="77" t="inlineStr">
        <is>
          <t>S126 OECD/NEA EGC 2020 T3.13a/T3.4a</t>
        </is>
      </c>
    </row>
    <row r="7" ht="15" customHeight="1" s="78">
      <c r="A7" s="77" t="inlineStr">
        <is>
          <t>Korea</t>
        </is>
      </c>
      <c r="B7" s="77" t="inlineStr">
        <is>
          <t>ALWR</t>
        </is>
      </c>
      <c r="C7" s="77" t="n">
        <v>1377</v>
      </c>
      <c r="D7" s="77" t="n">
        <v>2157</v>
      </c>
      <c r="E7" s="77" t="n">
        <v>39.42</v>
      </c>
      <c r="F7" s="77" t="n">
        <v>53.3</v>
      </c>
      <c r="G7" s="77" t="n">
        <v>67.16</v>
      </c>
      <c r="H7" s="77">
        <f>F7*fx_deflator!$M$13</f>
        <v/>
      </c>
      <c r="I7" s="77" t="inlineStr">
        <is>
          <t>MODELLED</t>
        </is>
      </c>
      <c r="J7" s="77" t="inlineStr">
        <is>
          <t>S126 OECD/NEA EGC 2020 T3.13a/T3.4a</t>
        </is>
      </c>
    </row>
    <row r="8" ht="15" customHeight="1" s="78">
      <c r="A8" s="77" t="inlineStr">
        <is>
          <t>Russia</t>
        </is>
      </c>
      <c r="B8" s="77" t="inlineStr">
        <is>
          <t>VVER</t>
        </is>
      </c>
      <c r="C8" s="77" t="n">
        <v>1122</v>
      </c>
      <c r="D8" s="77" t="n">
        <v>2271</v>
      </c>
      <c r="E8" s="77" t="n">
        <v>27.41</v>
      </c>
      <c r="F8" s="77" t="n">
        <v>42.02</v>
      </c>
      <c r="G8" s="77" t="n">
        <v>56.61</v>
      </c>
      <c r="H8" s="77">
        <f>F8*fx_deflator!$M$13</f>
        <v/>
      </c>
      <c r="I8" s="77" t="inlineStr">
        <is>
          <t>MODELLED</t>
        </is>
      </c>
      <c r="J8" s="77" t="inlineStr">
        <is>
          <t>S126 OECD/NEA EGC 2020 T3.13a/T3.4a</t>
        </is>
      </c>
    </row>
    <row r="9" ht="15" customHeight="1" s="78">
      <c r="A9" s="77" t="inlineStr">
        <is>
          <t>Slovak Republic</t>
        </is>
      </c>
      <c r="B9" s="77" t="inlineStr">
        <is>
          <t>nuclear</t>
        </is>
      </c>
      <c r="C9" s="77" t="n">
        <v>1004</v>
      </c>
      <c r="D9" s="77" t="n">
        <v>6920</v>
      </c>
      <c r="E9" s="77" t="n">
        <v>57.61</v>
      </c>
      <c r="F9" s="77" t="n">
        <v>101.84</v>
      </c>
      <c r="G9" s="77" t="n">
        <v>146.06</v>
      </c>
      <c r="H9" s="77">
        <f>F9*fx_deflator!$M$13</f>
        <v/>
      </c>
      <c r="I9" s="77" t="inlineStr">
        <is>
          <t>MODELLED</t>
        </is>
      </c>
      <c r="J9" s="77" t="inlineStr">
        <is>
          <t>S126 OECD/NEA EGC 2020 T3.13a/T3.4a</t>
        </is>
      </c>
    </row>
    <row r="10" ht="15" customHeight="1" s="78">
      <c r="A10" s="77" t="inlineStr">
        <is>
          <t>United States</t>
        </is>
      </c>
      <c r="B10" s="77" t="inlineStr">
        <is>
          <t>LWR</t>
        </is>
      </c>
      <c r="C10" s="77" t="n">
        <v>1100</v>
      </c>
      <c r="D10" s="77" t="n">
        <v>4250</v>
      </c>
      <c r="E10" s="77" t="n">
        <v>43.9</v>
      </c>
      <c r="F10" s="77" t="n">
        <v>71.25</v>
      </c>
      <c r="G10" s="77" t="n">
        <v>98.56</v>
      </c>
      <c r="H10" s="77">
        <f>F10*fx_deflator!$M$13</f>
        <v/>
      </c>
      <c r="I10" s="77" t="inlineStr">
        <is>
          <t>MODELLED</t>
        </is>
      </c>
      <c r="J10" s="77" t="inlineStr">
        <is>
          <t>S126 OECD/NEA EGC 2020 T3.13a/T3.4a</t>
        </is>
      </c>
    </row>
    <row r="11" ht="15" customHeight="1" s="78">
      <c r="A11" s="77" t="inlineStr">
        <is>
          <t>China</t>
        </is>
      </c>
      <c r="B11" s="77" t="inlineStr">
        <is>
          <t>LWR</t>
        </is>
      </c>
      <c r="C11" s="77" t="n">
        <v>950</v>
      </c>
      <c r="D11" s="77" t="n">
        <v>2500</v>
      </c>
      <c r="E11" s="77" t="n">
        <v>49.92</v>
      </c>
      <c r="F11" s="77" t="n">
        <v>66.01000000000001</v>
      </c>
      <c r="G11" s="77" t="n">
        <v>82.08</v>
      </c>
      <c r="H11" s="77">
        <f>F11*fx_deflator!$M$13</f>
        <v/>
      </c>
      <c r="I11" s="77" t="inlineStr">
        <is>
          <t>MODELLED</t>
        </is>
      </c>
      <c r="J11" s="77" t="inlineStr">
        <is>
          <t>S126 OECD/NEA EGC 2020 T3.13a/T3.4a</t>
        </is>
      </c>
    </row>
    <row r="12" ht="15" customHeight="1" s="78">
      <c r="A12" s="77" t="inlineStr">
        <is>
          <t>India</t>
        </is>
      </c>
      <c r="B12" s="77" t="inlineStr">
        <is>
          <t>LWR</t>
        </is>
      </c>
      <c r="C12" s="77" t="n">
        <v>950</v>
      </c>
      <c r="D12" s="77" t="n">
        <v>2778</v>
      </c>
      <c r="E12" s="77" t="n">
        <v>48.17</v>
      </c>
      <c r="F12" s="77" t="n">
        <v>66.06</v>
      </c>
      <c r="G12" s="77" t="n">
        <v>83.91</v>
      </c>
      <c r="H12" s="77">
        <f>F12*fx_deflator!$M$13</f>
        <v/>
      </c>
      <c r="I12" s="77" t="inlineStr">
        <is>
          <t>MODELLED</t>
        </is>
      </c>
      <c r="J12" s="77" t="inlineStr">
        <is>
          <t>S126 OECD/NEA EGC 2020 T3.13a/T3.4a</t>
        </is>
      </c>
    </row>
    <row r="13" ht="15" customHeight="1" s="78">
      <c r="A13" s="77" t="inlineStr">
        <is>
          <t>United Kingdom</t>
        </is>
      </c>
      <c r="I13" s="77" t="inlineStr">
        <is>
          <t>n/a</t>
        </is>
      </c>
      <c r="J13" s="77" t="inlineStr">
        <is>
          <t>S126 — no UK nuclear observation in EGC 2020 (cells BLANK)</t>
        </is>
      </c>
    </row>
    <row r="14" ht="15" customHeight="1" s="78">
      <c r="A14" s="77" t="inlineStr">
        <is>
          <t>Germany</t>
        </is>
      </c>
      <c r="I14" s="77" t="inlineStr">
        <is>
          <t>n/a</t>
        </is>
      </c>
      <c r="J14" s="77" t="inlineStr">
        <is>
          <t>S126 — no DE nuclear observation in EGC 2020 (cells BLANK)</t>
        </is>
      </c>
    </row>
    <row r="15" ht="15" customHeight="1" s="78">
      <c r="A15" s="146" t="inlineStr">
        <is>
          <t xml:space="preserve">  FLAG: US LWR @7% = 71.25 (2018 USD) is MODELLED, not realised Vogtle. LTO/life-extension cases (US @7% ~36) are existing-plant refurbishment — excluded here.</t>
        </is>
      </c>
    </row>
    <row r="17" ht="15" customHeight="1" s="78">
      <c r="A17" s="109" t="inlineStr">
        <is>
          <t>B. WESTERN PROJECT-SPECIFIC EVIDENCE (REALISED — separate from A). Vogtle LCOE = INDICATIVE DERIVED PROXY.</t>
        </is>
      </c>
    </row>
    <row r="18" ht="15" customHeight="1" s="78">
      <c r="A18" s="109" t="inlineStr">
        <is>
          <t>Project</t>
        </is>
      </c>
      <c r="B18" s="109" t="inlineStr">
        <is>
          <t>Metric</t>
        </is>
      </c>
      <c r="C18" s="109" t="inlineStr">
        <is>
          <t>Value</t>
        </is>
      </c>
      <c r="D18" s="109" t="inlineStr">
        <is>
          <t>Unit</t>
        </is>
      </c>
      <c r="E18" s="109" t="inlineStr">
        <is>
          <t>price year</t>
        </is>
      </c>
      <c r="F18" s="109" t="inlineStr">
        <is>
          <t>tag</t>
        </is>
      </c>
      <c r="G18" s="109" t="inlineStr">
        <is>
          <t>source/locator</t>
        </is>
      </c>
    </row>
    <row r="19" ht="15" customHeight="1" s="78">
      <c r="A19" s="77" t="inlineStr">
        <is>
          <t>Vogtle 3&amp;4</t>
        </is>
      </c>
      <c r="B19" s="77" t="inlineStr">
        <is>
          <t>Whole-project in-service cost (broader)</t>
        </is>
      </c>
      <c r="C19" s="77" t="n">
        <v>34.36</v>
      </c>
      <c r="D19" s="77" t="inlineStr">
        <is>
          <t>USD bn</t>
        </is>
      </c>
      <c r="E19" s="77" t="inlineStr">
        <is>
          <t>~2022</t>
        </is>
      </c>
      <c r="F19" s="77" t="inlineStr">
        <is>
          <t>OBS</t>
        </is>
      </c>
      <c r="G19" s="77" t="inlineStr">
        <is>
          <t>S127 MEAG 22.7% share $7.8bn / 0.227 (GPB/MEAG 2022-05); &gt;$34bn incl Toshiba settlement</t>
        </is>
      </c>
    </row>
    <row r="20" ht="15" customHeight="1" s="78">
      <c r="A20" s="77" t="inlineStr">
        <is>
          <t>Vogtle 3&amp;4</t>
        </is>
      </c>
      <c r="B20" s="77" t="inlineStr">
        <is>
          <t>Capital cost (narrower)</t>
        </is>
      </c>
      <c r="C20" s="77" t="n">
        <v>22.32</v>
      </c>
      <c r="D20" s="77" t="inlineStr">
        <is>
          <t>USD bn</t>
        </is>
      </c>
      <c r="E20" s="77" t="inlineStr">
        <is>
          <t>~2022</t>
        </is>
      </c>
      <c r="F20" s="77" t="inlineStr">
        <is>
          <t>OBS</t>
        </is>
      </c>
      <c r="G20" s="77" t="inlineStr">
        <is>
          <t>S127 Georgia Power 45.7% share $10.2bn / 0.457</t>
        </is>
      </c>
    </row>
    <row r="21" ht="15" customHeight="1" s="78">
      <c r="A21" s="77" t="inlineStr">
        <is>
          <t>Vogtle 3&amp;4</t>
        </is>
      </c>
      <c r="B21" s="77" t="inlineStr">
        <is>
          <t>Net capacity</t>
        </is>
      </c>
      <c r="C21" s="77" t="n">
        <v>2234</v>
      </c>
      <c r="D21" s="77" t="inlineStr">
        <is>
          <t>MWe</t>
        </is>
      </c>
      <c r="E21" s="77" t="inlineStr">
        <is>
          <t>-</t>
        </is>
      </c>
      <c r="F21" s="77" t="inlineStr">
        <is>
          <t>OBS</t>
        </is>
      </c>
      <c r="G21" s="77" t="inlineStr">
        <is>
          <t>S127 2x1117 MWe net (GP fact sheet / PRIS)</t>
        </is>
      </c>
    </row>
    <row r="22" ht="15" customHeight="1" s="78">
      <c r="A22" s="77" t="inlineStr">
        <is>
          <t>Vogtle 3&amp;4</t>
        </is>
      </c>
      <c r="B22" s="77" t="inlineStr">
        <is>
          <t>Annual generation</t>
        </is>
      </c>
      <c r="C22" s="77" t="inlineStr">
        <is>
          <t>GAP</t>
        </is>
      </c>
      <c r="E22" s="77" t="inlineStr">
        <is>
          <t>-</t>
        </is>
      </c>
      <c r="F22" s="77" t="inlineStr">
        <is>
          <t>GAP</t>
        </is>
      </c>
      <c r="G22" s="77" t="inlineStr">
        <is>
          <t>not disclosed -&gt; assumed CF 0.90 (assumptions E)</t>
        </is>
      </c>
    </row>
    <row r="23" ht="15" customHeight="1" s="78">
      <c r="A23" s="77" t="inlineStr">
        <is>
          <t>Vogtle 3&amp;4</t>
        </is>
      </c>
      <c r="B23" s="77" t="inlineStr">
        <is>
          <t>O&amp;M+fuel assumption</t>
        </is>
      </c>
      <c r="C23" s="77" t="n">
        <v>20.93</v>
      </c>
      <c r="D23" s="77" t="inlineStr">
        <is>
          <t>USD/MWh</t>
        </is>
      </c>
      <c r="E23" s="77" t="inlineStr">
        <is>
          <t>2018</t>
        </is>
      </c>
      <c r="F23" s="77" t="inlineStr">
        <is>
          <t>EST</t>
        </is>
      </c>
      <c r="G23" s="77" t="inlineStr">
        <is>
          <t>S126 OECD/NEA US LWR proxy (Vogtle value GAP)</t>
        </is>
      </c>
    </row>
    <row r="24" ht="15" customHeight="1" s="78">
      <c r="A24" s="77" t="inlineStr">
        <is>
          <t>Vogtle 3&amp;4</t>
        </is>
      </c>
      <c r="B24" s="77" t="inlineStr">
        <is>
          <t>Annual generation (assumed)</t>
        </is>
      </c>
      <c r="C24" s="77">
        <f>2234*8760*0.9/1000</f>
        <v/>
      </c>
      <c r="D24" s="77" t="inlineStr">
        <is>
          <t>GWh</t>
        </is>
      </c>
      <c r="E24" s="77" t="inlineStr">
        <is>
          <t>-</t>
        </is>
      </c>
      <c r="F24" s="77" t="inlineStr">
        <is>
          <t>EST</t>
        </is>
      </c>
      <c r="G24" s="77">
        <f>2234*8760*0.9/1000</f>
        <v/>
      </c>
    </row>
    <row r="25" ht="15" customHeight="1" s="78">
      <c r="A25" s="77" t="inlineStr">
        <is>
          <t>Vogtle 3&amp;4</t>
        </is>
      </c>
      <c r="B25" s="77" t="inlineStr">
        <is>
          <t>INDICATIVE LCOE proxy — BROADER (in-service)</t>
        </is>
      </c>
      <c r="C25" s="77">
        <f>(C19*1000000000*assumptions!$B$68)/(C24*1000)+20.93</f>
        <v/>
      </c>
      <c r="D25" s="77" t="inlineStr">
        <is>
          <t>USD/MWh nominal~2022</t>
        </is>
      </c>
      <c r="E25" s="77" t="inlineStr">
        <is>
          <t>~2022</t>
        </is>
      </c>
      <c r="F25" s="77" t="inlineStr">
        <is>
          <t>EST(PROXY)</t>
        </is>
      </c>
      <c r="G25" s="77" t="inlineStr">
        <is>
          <t>S127 = in-service capital x CRF(7%,60) / annual gen + O&amp;M; NOT official LCOE</t>
        </is>
      </c>
    </row>
    <row r="26" ht="15" customHeight="1" s="78">
      <c r="A26" s="77" t="inlineStr">
        <is>
          <t>Vogtle 3&amp;4</t>
        </is>
      </c>
      <c r="B26" s="77" t="inlineStr">
        <is>
          <t>INDICATIVE LCOE proxy — NARROWER (capital)</t>
        </is>
      </c>
      <c r="C26" s="77">
        <f>(C20*1000000000*assumptions!$B$68)/(C24*1000)+20.93</f>
        <v/>
      </c>
      <c r="D26" s="77" t="inlineStr">
        <is>
          <t>USD/MWh nominal~2022</t>
        </is>
      </c>
      <c r="E26" s="77" t="inlineStr">
        <is>
          <t>~2022</t>
        </is>
      </c>
      <c r="F26" s="77" t="inlineStr">
        <is>
          <t>EST(PROXY)</t>
        </is>
      </c>
      <c r="G26" s="77" t="inlineStr">
        <is>
          <t>S127 = capital x CRF / annual gen + O&amp;M; NOT official LCOE</t>
        </is>
      </c>
    </row>
    <row r="27" ht="15" customHeight="1" s="78">
      <c r="A27" s="77" t="inlineStr">
        <is>
          <t>Vogtle 3&amp;4</t>
        </is>
      </c>
      <c r="B27" s="77" t="inlineStr">
        <is>
          <t>INDICATIVE LCOE proxy — BROADER, real-2025-USD</t>
        </is>
      </c>
      <c r="C27" s="77">
        <f>C25*fx_deflator!$M$17</f>
        <v/>
      </c>
      <c r="D27" s="77" t="inlineStr">
        <is>
          <t>USD/MWh real-2025</t>
        </is>
      </c>
      <c r="E27" s="77" t="inlineStr">
        <is>
          <t>2025</t>
        </is>
      </c>
      <c r="F27" s="77" t="inlineStr">
        <is>
          <t>EST(PROXY)</t>
        </is>
      </c>
      <c r="G27" s="77" t="inlineStr">
        <is>
          <t>calc: broader proxy x CPI deflator 2022-&gt;2025 (principal chart value)</t>
        </is>
      </c>
    </row>
    <row r="28" ht="15" customHeight="1" s="78">
      <c r="A28" s="77" t="inlineStr">
        <is>
          <t>Flamanville 3</t>
        </is>
      </c>
      <c r="B28" s="77" t="inlineStr">
        <is>
          <t>Cost requirement @7% real, 85% CF</t>
        </is>
      </c>
      <c r="C28" s="77" t="n">
        <v>176</v>
      </c>
      <c r="D28" s="77" t="inlineStr">
        <is>
          <t>EUR/MWh</t>
        </is>
      </c>
      <c r="E28" s="77" t="inlineStr">
        <is>
          <t>2023</t>
        </is>
      </c>
      <c r="F28" s="77" t="inlineStr">
        <is>
          <t>OBS</t>
        </is>
      </c>
      <c r="G28" s="77" t="inlineStr">
        <is>
          <t>S128 Cour des comptes 2025 p.30 (176 EUR2023/MWh; =155 EUR2015)</t>
        </is>
      </c>
    </row>
    <row r="29" ht="15" customHeight="1" s="78">
      <c r="A29" s="77" t="inlineStr">
        <is>
          <t>Flamanville 3</t>
        </is>
      </c>
      <c r="B29" s="77" t="inlineStr">
        <is>
          <t>Cost requirement, real-2025-USD</t>
        </is>
      </c>
      <c r="C29" s="77">
        <f>176*fx_deflator!$J$18*fx_deflator!$M$18</f>
        <v/>
      </c>
      <c r="D29" s="77" t="inlineStr">
        <is>
          <t>USD/MWh real-2025</t>
        </is>
      </c>
      <c r="E29" s="77" t="inlineStr">
        <is>
          <t>2025</t>
        </is>
      </c>
      <c r="F29" s="77" t="inlineStr">
        <is>
          <t>EST</t>
        </is>
      </c>
      <c r="G29" s="77" t="inlineStr">
        <is>
          <t>calc: 176 x USD/EUR(2023) x CPI deflator(2023) — official cost requirement, NOT market price</t>
        </is>
      </c>
    </row>
    <row r="30" ht="15" customHeight="1" s="78">
      <c r="A30" s="77" t="inlineStr">
        <is>
          <t>Flamanville 3</t>
        </is>
      </c>
      <c r="B30" s="77" t="inlineStr">
        <is>
          <t>Total cost to completion (CdC)</t>
        </is>
      </c>
      <c r="C30" s="77" t="n">
        <v>23.7</v>
      </c>
      <c r="D30" s="77" t="inlineStr">
        <is>
          <t>EUR bn</t>
        </is>
      </c>
      <c r="E30" s="77" t="inlineStr">
        <is>
          <t>2023</t>
        </is>
      </c>
      <c r="F30" s="77" t="inlineStr">
        <is>
          <t>OBS</t>
        </is>
      </c>
      <c r="G30" s="77" t="inlineStr">
        <is>
          <t>S128 CdC 2025 p.27 (23.7 Md EUR2023 incl. interest)</t>
        </is>
      </c>
    </row>
    <row r="31" ht="15" customHeight="1" s="78">
      <c r="A31" s="77" t="inlineStr">
        <is>
          <t>Flamanville 3</t>
        </is>
      </c>
      <c r="B31" s="77" t="inlineStr">
        <is>
          <t>Delivery slip</t>
        </is>
      </c>
      <c r="C31" s="77" t="n">
        <v>12</v>
      </c>
      <c r="D31" s="77" t="inlineStr">
        <is>
          <t>years</t>
        </is>
      </c>
      <c r="E31" s="77" t="inlineStr">
        <is>
          <t>-</t>
        </is>
      </c>
      <c r="F31" s="77" t="inlineStr">
        <is>
          <t>OBS</t>
        </is>
      </c>
      <c r="G31" s="77" t="inlineStr">
        <is>
          <t>S128 CdC 2025 (grid connection 2024-12; ~2012 original)</t>
        </is>
      </c>
    </row>
    <row r="32" ht="15" customHeight="1" s="78">
      <c r="A32" s="77" t="inlineStr">
        <is>
          <t>Olkiluoto 3</t>
        </is>
      </c>
      <c r="B32" s="77" t="inlineStr">
        <is>
          <t>Construction duration</t>
        </is>
      </c>
      <c r="C32" s="77" t="n">
        <v>17.7</v>
      </c>
      <c r="D32" s="77" t="inlineStr">
        <is>
          <t>years</t>
        </is>
      </c>
      <c r="E32" s="77" t="inlineStr">
        <is>
          <t>-</t>
        </is>
      </c>
      <c r="F32" s="77" t="inlineStr">
        <is>
          <t>OBS</t>
        </is>
      </c>
      <c r="G32" s="77" t="inlineStr">
        <is>
          <t>S129 IAEA PRIS (start 2005-08 -&gt; comm.op 2023-05)</t>
        </is>
      </c>
    </row>
    <row r="33" ht="15" customHeight="1" s="78">
      <c r="A33" s="77" t="inlineStr">
        <is>
          <t>Olkiluoto 3</t>
        </is>
      </c>
      <c r="B33" s="77" t="inlineStr">
        <is>
          <t>Final full-cost LCOE</t>
        </is>
      </c>
      <c r="C33" s="77" t="inlineStr">
        <is>
          <t>GAP</t>
        </is>
      </c>
      <c r="E33" s="77" t="inlineStr">
        <is>
          <t>-</t>
        </is>
      </c>
      <c r="F33" s="77" t="inlineStr">
        <is>
          <t>GAP</t>
        </is>
      </c>
      <c r="G33" s="77" t="inlineStr">
        <is>
          <t>no competent audited final-cost LCOE recoverable -&gt; unquantified</t>
        </is>
      </c>
    </row>
    <row r="34" ht="15" customHeight="1" s="78">
      <c r="A34" s="77" t="inlineStr">
        <is>
          <t>Hinkley Point C</t>
        </is>
      </c>
      <c r="B34" s="77" t="inlineStr">
        <is>
          <t>Latest EDF cost estimate</t>
        </is>
      </c>
      <c r="C34" s="77" t="inlineStr">
        <is>
          <t>31-34</t>
        </is>
      </c>
      <c r="D34" s="77" t="inlineStr">
        <is>
          <t>GBP bn</t>
        </is>
      </c>
      <c r="E34" s="77" t="inlineStr">
        <is>
          <t>2015 prices</t>
        </is>
      </c>
      <c r="F34" s="77" t="inlineStr">
        <is>
          <t>OBS</t>
        </is>
      </c>
      <c r="G34" s="77" t="inlineStr">
        <is>
          <t>S132 EDF HPC Update 2024-01-23 (excl interim interest)</t>
        </is>
      </c>
    </row>
    <row r="35" ht="15" customHeight="1" s="78">
      <c r="A35" s="77" t="inlineStr">
        <is>
          <t>Hinkley Point C</t>
        </is>
      </c>
      <c r="B35" s="77" t="inlineStr">
        <is>
          <t>Realised cost / duration</t>
        </is>
      </c>
      <c r="C35" s="77" t="inlineStr">
        <is>
          <t>U1 start-up 2030 (guidance); GBP 35bn 2015 prices (~48bn current)</t>
        </is>
      </c>
      <c r="E35" s="77" t="inlineStr">
        <is>
          <t>-</t>
        </is>
      </c>
      <c r="F35" s="77" t="inlineStr">
        <is>
          <t>OBS (guidance)</t>
        </is>
      </c>
      <c r="G35" s="77" t="inlineStr">
        <is>
          <t>S206: EDF annual results 02/2026 (via Construction Enquirer 22.02.2026, verified in-session). FID baseline: U1 delivery end-2025, GBP 18bn (gov.uk 29.09.2016; EDF 03.07.2017). Jan-2024 step: 2029-2031, GBP 31-35bn 2015. Article fig14: planned dur 7.0 yr (constr start 12/2018 -&gt; end-2025), projected 11.0 (-&gt; 2030), slip 4+ and building</t>
        </is>
      </c>
    </row>
    <row r="37" ht="15" customHeight="1" s="78">
      <c r="A37" s="109" t="inlineStr">
        <is>
          <t>C. UK &amp; GERMANY COUNTRY CONTEXT (separate from A and B).</t>
        </is>
      </c>
    </row>
    <row r="38" ht="15" customHeight="1" s="78">
      <c r="A38" s="109" t="inlineStr">
        <is>
          <t>Country</t>
        </is>
      </c>
      <c r="B38" s="109" t="inlineStr">
        <is>
          <t>Metric</t>
        </is>
      </c>
      <c r="C38" s="109" t="inlineStr">
        <is>
          <t>Central</t>
        </is>
      </c>
      <c r="D38" s="109" t="inlineStr">
        <is>
          <t>Low</t>
        </is>
      </c>
      <c r="E38" s="109" t="inlineStr">
        <is>
          <t>High</t>
        </is>
      </c>
      <c r="F38" s="109" t="inlineStr">
        <is>
          <t>Unit</t>
        </is>
      </c>
      <c r="G38" s="109" t="inlineStr">
        <is>
          <t>price year</t>
        </is>
      </c>
      <c r="H38" s="109" t="inlineStr">
        <is>
          <t>financing</t>
        </is>
      </c>
      <c r="I38" s="109" t="inlineStr">
        <is>
          <t>vintage</t>
        </is>
      </c>
      <c r="J38" s="109" t="inlineStr">
        <is>
          <t>operating</t>
        </is>
      </c>
      <c r="K38" s="109" t="inlineStr">
        <is>
          <t>under construction</t>
        </is>
      </c>
      <c r="L38" s="109" t="inlineStr">
        <is>
          <t>status</t>
        </is>
      </c>
      <c r="M38" s="109" t="inlineStr">
        <is>
          <t>tag</t>
        </is>
      </c>
      <c r="N38" s="109" t="inlineStr">
        <is>
          <t>source</t>
        </is>
      </c>
    </row>
    <row r="39" ht="15" customHeight="1" s="78">
      <c r="A39" s="77" t="inlineStr">
        <is>
          <t>UK</t>
        </is>
      </c>
      <c r="B39" s="77" t="inlineStr">
        <is>
          <t>FOAK nuclear LCOE</t>
        </is>
      </c>
      <c r="C39" s="77" t="n">
        <v>95</v>
      </c>
      <c r="D39" s="77" t="n">
        <v>85</v>
      </c>
      <c r="E39" s="77" t="n">
        <v>158</v>
      </c>
      <c r="F39" s="77" t="inlineStr">
        <is>
          <t>GBP/MWh</t>
        </is>
      </c>
      <c r="G39" s="77" t="inlineStr">
        <is>
          <t>2014</t>
        </is>
      </c>
      <c r="H39" s="77" t="inlineStr">
        <is>
          <t>8.90% hurdle</t>
        </is>
      </c>
      <c r="I39" s="77" t="inlineStr">
        <is>
          <t>BEIS 2016 (DESNZ 2023/25 publish NO nuclear — confidential)</t>
        </is>
      </c>
      <c r="J39" s="77" t="inlineStr">
        <is>
          <t>9 (4 AGR+Sizewell B)</t>
        </is>
      </c>
      <c r="K39" s="77" t="inlineStr">
        <is>
          <t>Hinkley Pt C</t>
        </is>
      </c>
      <c r="L39" s="77" t="inlineStr">
        <is>
          <t>AGR closures 2027-30; Sizewell C FID Jul-2025</t>
        </is>
      </c>
      <c r="M39" s="77" t="inlineStr">
        <is>
          <t>OBS</t>
        </is>
      </c>
      <c r="N39" s="77" t="inlineStr">
        <is>
          <t>S130 BEIS 2016 T6 p.28</t>
        </is>
      </c>
    </row>
    <row r="40" ht="15" customHeight="1" s="78">
      <c r="A40" s="77" t="inlineStr">
        <is>
          <t>UK</t>
        </is>
      </c>
      <c r="B40" s="77" t="inlineStr">
        <is>
          <t>NOAK nuclear LCOE</t>
        </is>
      </c>
      <c r="C40" s="77" t="n">
        <v>78</v>
      </c>
      <c r="D40" s="77" t="n">
        <v>69</v>
      </c>
      <c r="E40" s="77" t="n">
        <v>146</v>
      </c>
      <c r="F40" s="77" t="inlineStr">
        <is>
          <t>GBP/MWh</t>
        </is>
      </c>
      <c r="G40" s="77" t="inlineStr">
        <is>
          <t>2014</t>
        </is>
      </c>
      <c r="H40" s="77" t="inlineStr">
        <is>
          <t>8.90% hurdle</t>
        </is>
      </c>
      <c r="I40" s="77" t="inlineStr">
        <is>
          <t>BEIS 2016</t>
        </is>
      </c>
      <c r="M40" s="77" t="inlineStr">
        <is>
          <t>OBS</t>
        </is>
      </c>
      <c r="N40" s="77" t="inlineStr">
        <is>
          <t>S130</t>
        </is>
      </c>
    </row>
    <row r="41" ht="15" customHeight="1" s="78">
      <c r="A41" s="77" t="inlineStr">
        <is>
          <t>UK</t>
        </is>
      </c>
      <c r="B41" s="77" t="inlineStr">
        <is>
          <t>FOAK central, real-2025-USD</t>
        </is>
      </c>
      <c r="C41" s="77">
        <f>95*fx_deflator!$I$9*fx_deflator!$M$9</f>
        <v/>
      </c>
      <c r="F41" s="77" t="inlineStr">
        <is>
          <t>USD/MWh</t>
        </is>
      </c>
      <c r="G41" s="77" t="inlineStr">
        <is>
          <t>2025</t>
        </is>
      </c>
      <c r="I41" s="77" t="inlineStr">
        <is>
          <t>calc: 95 x USD/GBP(2014) x CPI deflator(2014)</t>
        </is>
      </c>
      <c r="M41" s="77" t="inlineStr">
        <is>
          <t>EST</t>
        </is>
      </c>
      <c r="N41" s="77" t="inlineStr">
        <is>
          <t>S130 x fx_deflator</t>
        </is>
      </c>
    </row>
    <row r="42" ht="15" customHeight="1" s="78">
      <c r="A42" s="77" t="inlineStr">
        <is>
          <t>Germany</t>
        </is>
      </c>
      <c r="B42" s="77" t="inlineStr">
        <is>
          <t>Theoretical new-build overnight</t>
        </is>
      </c>
      <c r="D42" s="77" t="n">
        <v>4000</v>
      </c>
      <c r="E42" s="77" t="n">
        <v>9000</v>
      </c>
      <c r="F42" s="77" t="inlineStr">
        <is>
          <t>EUR/kW</t>
        </is>
      </c>
      <c r="G42" s="77" t="inlineStr">
        <is>
          <t>~2019</t>
        </is>
      </c>
      <c r="H42" s="77" t="inlineStr">
        <is>
          <t>WACC 4-10%</t>
        </is>
      </c>
      <c r="I42" s="77" t="inlineStr">
        <is>
          <t>DIW 30/2019 (Monte-Carlo; mean NPV negative)</t>
        </is>
      </c>
      <c r="J42" s="77" t="inlineStr">
        <is>
          <t>0 (phased out 15 Apr 2023)</t>
        </is>
      </c>
      <c r="K42" s="77" t="inlineStr">
        <is>
          <t>0</t>
        </is>
      </c>
      <c r="L42" s="77" t="inlineStr">
        <is>
          <t>full phase-out complete</t>
        </is>
      </c>
      <c r="M42" s="77" t="inlineStr">
        <is>
          <t>OBS</t>
        </is>
      </c>
      <c r="N42" s="77" t="inlineStr">
        <is>
          <t>S131 DIW DWR 19/30</t>
        </is>
      </c>
    </row>
    <row r="43" ht="15" customHeight="1" s="78">
      <c r="A43" s="77" t="inlineStr">
        <is>
          <t>Germany</t>
        </is>
      </c>
      <c r="B43" s="77" t="inlineStr">
        <is>
          <t>Overnight midpoint (CALCULATED)</t>
        </is>
      </c>
      <c r="C43" s="77">
        <f>(4000+9000)/2</f>
        <v/>
      </c>
      <c r="F43" s="77" t="inlineStr">
        <is>
          <t>EUR/kW</t>
        </is>
      </c>
      <c r="G43" s="77" t="inlineStr">
        <is>
          <t>~2019</t>
        </is>
      </c>
      <c r="I43" s="77" t="inlineStr">
        <is>
          <t>calc: (4000+9000)/2 — marked calculated; DIW gives no EUR/MWh</t>
        </is>
      </c>
      <c r="M43" s="77" t="inlineStr">
        <is>
          <t>EST</t>
        </is>
      </c>
      <c r="N43" s="77" t="inlineStr">
        <is>
          <t>S131 midpoint</t>
        </is>
      </c>
    </row>
    <row r="45" ht="15" customHeight="1" s="78">
      <c r="A45" s="109" t="inlineStr">
        <is>
          <t>D. RECENT DELIVERY TIMELINES (IAEA PRIS) — large reactors, commercial op ~2017-2024. Comparator = OECD/NEA planning ~6-7 yr.</t>
        </is>
      </c>
    </row>
    <row r="46" ht="15" customHeight="1" s="78">
      <c r="A46" s="109" t="inlineStr">
        <is>
          <t>Country</t>
        </is>
      </c>
      <c r="B46" s="109" t="inlineStr">
        <is>
          <t>Project</t>
        </is>
      </c>
      <c r="C46" s="109" t="inlineStr">
        <is>
          <t>Design</t>
        </is>
      </c>
      <c r="D46" s="109" t="inlineStr">
        <is>
          <t>Net MW</t>
        </is>
      </c>
      <c r="E46" s="109" t="inlineStr">
        <is>
          <t>Const. start</t>
        </is>
      </c>
      <c r="F46" s="109" t="inlineStr">
        <is>
          <t>Commercial op</t>
        </is>
      </c>
      <c r="G46" s="109" t="inlineStr">
        <is>
          <t>Actual duration (yr)</t>
        </is>
      </c>
      <c r="H46" s="109" t="inlineStr">
        <is>
          <t>Comparator (yr)</t>
        </is>
      </c>
      <c r="I46" s="109" t="inlineStr">
        <is>
          <t>Variance (yr)</t>
        </is>
      </c>
      <c r="J46" s="109" t="inlineStr">
        <is>
          <t>tag</t>
        </is>
      </c>
      <c r="K46" s="109" t="inlineStr">
        <is>
          <t>source</t>
        </is>
      </c>
      <c r="L46" s="109" t="inlineStr">
        <is>
          <t>Planned dur. (yr, baseline at/nearest constr. start)</t>
        </is>
      </c>
      <c r="M46" s="109" t="inlineStr">
        <is>
          <t>Slip (yr, actual - planned dur.)</t>
        </is>
      </c>
      <c r="N46" s="109" t="inlineStr">
        <is>
          <t>Baseline (S206)</t>
        </is>
      </c>
    </row>
    <row r="47" ht="15" customHeight="1" s="78">
      <c r="A47" s="77" t="inlineStr">
        <is>
          <t>USA</t>
        </is>
      </c>
      <c r="B47" s="77" t="inlineStr">
        <is>
          <t>Vogtle-3</t>
        </is>
      </c>
      <c r="C47" s="77" t="inlineStr">
        <is>
          <t>AP1000</t>
        </is>
      </c>
      <c r="D47" s="77" t="n">
        <v>1117</v>
      </c>
      <c r="E47" s="77" t="inlineStr">
        <is>
          <t>2013-03-02</t>
        </is>
      </c>
      <c r="F47" s="77" t="inlineStr">
        <is>
          <t>2023-07-31</t>
        </is>
      </c>
      <c r="G47" s="77" t="n">
        <v>10.4</v>
      </c>
      <c r="H47" s="77" t="n">
        <v>6.5</v>
      </c>
      <c r="I47" s="77">
        <f>G47-H47</f>
        <v/>
      </c>
      <c r="J47" s="77" t="inlineStr">
        <is>
          <t>OBS</t>
        </is>
      </c>
      <c r="K47" s="77" t="inlineStr">
        <is>
          <t>S129 IAEA PRIS</t>
        </is>
      </c>
      <c r="L47" s="77" t="n">
        <v>3.1</v>
      </c>
      <c r="M47" s="77" t="n">
        <v>7.3</v>
      </c>
      <c r="N47" s="77" t="inlineStr">
        <is>
          <t>GA PSC certification 2009: certified COD 2016-04 (at first concrete 2013 GP said 2017)</t>
        </is>
      </c>
    </row>
    <row r="48" ht="15" customHeight="1" s="78">
      <c r="A48" s="77" t="inlineStr">
        <is>
          <t>USA</t>
        </is>
      </c>
      <c r="B48" s="77" t="inlineStr">
        <is>
          <t>Vogtle-4</t>
        </is>
      </c>
      <c r="C48" s="77" t="inlineStr">
        <is>
          <t>AP1000</t>
        </is>
      </c>
      <c r="D48" s="77" t="n">
        <v>1117</v>
      </c>
      <c r="E48" s="77" t="inlineStr">
        <is>
          <t>2013-11-19</t>
        </is>
      </c>
      <c r="F48" s="77" t="inlineStr">
        <is>
          <t>2024-04-29</t>
        </is>
      </c>
      <c r="G48" s="77" t="n">
        <v>10.4</v>
      </c>
      <c r="H48" s="77" t="n">
        <v>6.5</v>
      </c>
      <c r="I48" s="77">
        <f>G48-H48</f>
        <v/>
      </c>
      <c r="J48" s="77" t="inlineStr">
        <is>
          <t>OBS</t>
        </is>
      </c>
      <c r="K48" s="77" t="inlineStr">
        <is>
          <t>S129 IAEA PRIS</t>
        </is>
      </c>
      <c r="L48" s="77" t="n">
        <v>3.4</v>
      </c>
      <c r="M48" s="77" t="n">
        <v>7</v>
      </c>
      <c r="N48" s="77" t="inlineStr">
        <is>
          <t>GA PSC certification 2009: certified COD 2017-04 (at first concrete: 2018)</t>
        </is>
      </c>
    </row>
    <row r="49" ht="15" customHeight="1" s="78">
      <c r="A49" s="77" t="inlineStr">
        <is>
          <t>China</t>
        </is>
      </c>
      <c r="B49" s="77" t="inlineStr">
        <is>
          <t>Sanmen-1</t>
        </is>
      </c>
      <c r="C49" s="77" t="inlineStr">
        <is>
          <t>AP1000</t>
        </is>
      </c>
      <c r="D49" s="77" t="n">
        <v>1157</v>
      </c>
      <c r="E49" s="77" t="inlineStr">
        <is>
          <t>2009-04-19</t>
        </is>
      </c>
      <c r="F49" s="77" t="inlineStr">
        <is>
          <t>2018-09-21</t>
        </is>
      </c>
      <c r="G49" s="77" t="n">
        <v>9.4</v>
      </c>
      <c r="H49" s="77" t="n">
        <v>6.5</v>
      </c>
      <c r="I49" s="77">
        <f>G49-H49</f>
        <v/>
      </c>
      <c r="J49" s="77" t="inlineStr">
        <is>
          <t>OBS</t>
        </is>
      </c>
      <c r="K49" s="77" t="inlineStr">
        <is>
          <t>S129 IAEA PRIS</t>
        </is>
      </c>
      <c r="L49" s="77" t="n">
        <v>4.3</v>
      </c>
      <c r="M49" s="77" t="n">
        <v>5.1</v>
      </c>
      <c r="N49" s="77" t="inlineStr">
        <is>
          <t>WNN 20.04.2009 (first concrete): "expected to begin operation in August 2013" [verified in-session]</t>
        </is>
      </c>
    </row>
    <row r="50" ht="15" customHeight="1" s="78">
      <c r="A50" s="77" t="inlineStr">
        <is>
          <t>China</t>
        </is>
      </c>
      <c r="B50" s="77" t="inlineStr">
        <is>
          <t>Taishan-1</t>
        </is>
      </c>
      <c r="C50" s="77" t="inlineStr">
        <is>
          <t>EPR</t>
        </is>
      </c>
      <c r="D50" s="77" t="n">
        <v>1660</v>
      </c>
      <c r="E50" s="77" t="inlineStr">
        <is>
          <t>2009-11-18</t>
        </is>
      </c>
      <c r="F50" s="77" t="inlineStr">
        <is>
          <t>2018-12-13</t>
        </is>
      </c>
      <c r="G50" s="77" t="n">
        <v>9.1</v>
      </c>
      <c r="H50" s="77" t="n">
        <v>6.5</v>
      </c>
      <c r="I50" s="77">
        <f>G50-H50</f>
        <v/>
      </c>
      <c r="J50" s="77" t="inlineStr">
        <is>
          <t>OBS</t>
        </is>
      </c>
      <c r="K50" s="77" t="inlineStr">
        <is>
          <t>S129 IAEA PRIS</t>
        </is>
      </c>
      <c r="L50" s="77" t="n">
        <v>4</v>
      </c>
      <c r="M50" s="77" t="n">
        <v>5.1</v>
      </c>
      <c r="N50" s="77" t="inlineStr">
        <is>
          <t>WNN 16.04.2010: "scheduled to start up in 2013"; WNA alt: grid early 2014</t>
        </is>
      </c>
    </row>
    <row r="51" ht="15" customHeight="1" s="78">
      <c r="A51" s="77" t="inlineStr">
        <is>
          <t>Finland</t>
        </is>
      </c>
      <c r="B51" s="77" t="inlineStr">
        <is>
          <t>Olkiluoto-3</t>
        </is>
      </c>
      <c r="C51" s="77" t="inlineStr">
        <is>
          <t>EPR</t>
        </is>
      </c>
      <c r="D51" s="77" t="n">
        <v>1575</v>
      </c>
      <c r="E51" s="77" t="inlineStr">
        <is>
          <t>2005-08-12</t>
        </is>
      </c>
      <c r="F51" s="77" t="inlineStr">
        <is>
          <t>2023-05-01</t>
        </is>
      </c>
      <c r="G51" s="77" t="n">
        <v>17.7</v>
      </c>
      <c r="H51" s="77" t="n">
        <v>6.5</v>
      </c>
      <c r="I51" s="77">
        <f>G51-H51</f>
        <v/>
      </c>
      <c r="J51" s="77" t="inlineStr">
        <is>
          <t>OBS</t>
        </is>
      </c>
      <c r="K51" s="77" t="inlineStr">
        <is>
          <t>S129 IAEA PRIS</t>
        </is>
      </c>
      <c r="L51" s="77" t="n">
        <v>3.9</v>
      </c>
      <c r="M51" s="77" t="n">
        <v>13.8</v>
      </c>
      <c r="N51" s="77" t="inlineStr">
        <is>
          <t>TVO/Areva turnkey contract 12/2003: "commercial operation expected in mid-2009" (WNA Finland) [verified in-session]</t>
        </is>
      </c>
    </row>
    <row r="52" ht="15" customHeight="1" s="78">
      <c r="A52" s="77" t="inlineStr">
        <is>
          <t>China</t>
        </is>
      </c>
      <c r="B52" s="77" t="inlineStr">
        <is>
          <t>Fuqing-5</t>
        </is>
      </c>
      <c r="C52" s="77" t="inlineStr">
        <is>
          <t>HPR1000</t>
        </is>
      </c>
      <c r="D52" s="77" t="n">
        <v>1075</v>
      </c>
      <c r="E52" s="77" t="inlineStr">
        <is>
          <t>2015-05-07</t>
        </is>
      </c>
      <c r="F52" s="77" t="inlineStr">
        <is>
          <t>2021-01-30</t>
        </is>
      </c>
      <c r="G52" s="77" t="n">
        <v>5.7</v>
      </c>
      <c r="H52" s="77" t="n">
        <v>6.5</v>
      </c>
      <c r="I52" s="77">
        <f>G52-H52</f>
        <v/>
      </c>
      <c r="J52" s="77" t="inlineStr">
        <is>
          <t>OBS</t>
        </is>
      </c>
      <c r="K52" s="77" t="inlineStr">
        <is>
          <t>S129 IAEA PRIS</t>
        </is>
      </c>
      <c r="L52" s="77" t="n">
        <v>4.6</v>
      </c>
      <c r="M52" s="77" t="n">
        <v>1.1</v>
      </c>
      <c r="N52" s="77" t="inlineStr">
        <is>
          <t>WNN 26.05.2016: "scheduled to be completed in 2019" (WEAK baseline - construction-day article dead link)</t>
        </is>
      </c>
    </row>
    <row r="53" ht="15" customHeight="1" s="78">
      <c r="A53" s="77" t="inlineStr">
        <is>
          <t>China</t>
        </is>
      </c>
      <c r="B53" s="77" t="inlineStr">
        <is>
          <t>Fangchenggang-3</t>
        </is>
      </c>
      <c r="C53" s="77" t="inlineStr">
        <is>
          <t>HPR1000</t>
        </is>
      </c>
      <c r="D53" s="77" t="n">
        <v>1000</v>
      </c>
      <c r="E53" s="77" t="inlineStr">
        <is>
          <t>2015-12-24</t>
        </is>
      </c>
      <c r="F53" s="77" t="inlineStr">
        <is>
          <t>2023-03-25</t>
        </is>
      </c>
      <c r="G53" s="77" t="n">
        <v>7.2</v>
      </c>
      <c r="H53" s="77" t="n">
        <v>6.5</v>
      </c>
      <c r="I53" s="77">
        <f>G53-H53</f>
        <v/>
      </c>
      <c r="J53" s="77" t="inlineStr">
        <is>
          <t>OBS</t>
        </is>
      </c>
      <c r="K53" s="77" t="inlineStr">
        <is>
          <t>S129 IAEA PRIS</t>
        </is>
      </c>
      <c r="L53" s="77" t="n">
        <v>4</v>
      </c>
      <c r="M53" s="77" t="n">
        <v>3.3</v>
      </c>
      <c r="N53" s="77" t="inlineStr">
        <is>
          <t>WNN 13.09.2016: "expected to start up in 2019"; WNN 26.01.2022 confirms original 2019</t>
        </is>
      </c>
    </row>
    <row r="54" ht="15" customHeight="1" s="78">
      <c r="A54" s="77" t="inlineStr">
        <is>
          <t>Pakistan</t>
        </is>
      </c>
      <c r="B54" s="77" t="inlineStr">
        <is>
          <t>KANUPP-2</t>
        </is>
      </c>
      <c r="C54" s="77" t="inlineStr">
        <is>
          <t>ACP1000</t>
        </is>
      </c>
      <c r="D54" s="77" t="n">
        <v>1017</v>
      </c>
      <c r="E54" s="77" t="inlineStr">
        <is>
          <t>2015-08-20</t>
        </is>
      </c>
      <c r="F54" s="77" t="inlineStr">
        <is>
          <t>2021-05-21</t>
        </is>
      </c>
      <c r="G54" s="77" t="n">
        <v>5.8</v>
      </c>
      <c r="H54" s="77" t="n">
        <v>6.5</v>
      </c>
      <c r="I54" s="77">
        <f>G54-H54</f>
        <v/>
      </c>
      <c r="J54" s="77" t="inlineStr">
        <is>
          <t>OBS</t>
        </is>
      </c>
      <c r="K54" s="77" t="inlineStr">
        <is>
          <t>S129 IAEA PRIS</t>
        </is>
      </c>
      <c r="L54" s="77" t="n">
        <v>6</v>
      </c>
      <c r="M54" s="77" t="n">
        <v>-0.3</v>
      </c>
      <c r="N54" s="77" t="inlineStr">
        <is>
          <t>WNA Pakistan: 72-month plan; WNN 16.04.2020: COD 2021 (weak dating - living country page)</t>
        </is>
      </c>
    </row>
    <row r="55" ht="15" customHeight="1" s="78">
      <c r="A55" s="77" t="inlineStr">
        <is>
          <t>UAE</t>
        </is>
      </c>
      <c r="B55" s="77" t="inlineStr">
        <is>
          <t>Barakah-1</t>
        </is>
      </c>
      <c r="C55" s="77" t="inlineStr">
        <is>
          <t>APR1400</t>
        </is>
      </c>
      <c r="D55" s="77" t="n">
        <v>1337</v>
      </c>
      <c r="E55" s="77" t="inlineStr">
        <is>
          <t>2012-07-19</t>
        </is>
      </c>
      <c r="F55" s="77" t="inlineStr">
        <is>
          <t>2021-04-01</t>
        </is>
      </c>
      <c r="G55" s="77" t="n">
        <v>8.699999999999999</v>
      </c>
      <c r="H55" s="77" t="n">
        <v>6.5</v>
      </c>
      <c r="I55" s="77">
        <f>G55-H55</f>
        <v/>
      </c>
      <c r="J55" s="77" t="inlineStr">
        <is>
          <t>OBS</t>
        </is>
      </c>
      <c r="K55" s="77" t="inlineStr">
        <is>
          <t>S129 IAEA PRIS</t>
        </is>
      </c>
      <c r="L55" s="77" t="n">
        <v>5</v>
      </c>
      <c r="M55" s="77" t="n">
        <v>3.7</v>
      </c>
      <c r="N55" s="77" t="inlineStr">
        <is>
          <t>ENEC at constr. start 07/2012: "operational in 2017"; DELAY = operator training + FANR licensing, construction done 2018 (WNN)</t>
        </is>
      </c>
    </row>
    <row r="56" ht="15" customHeight="1" s="78">
      <c r="A56" s="77" t="inlineStr">
        <is>
          <t>S.Korea</t>
        </is>
      </c>
      <c r="B56" s="77" t="inlineStr">
        <is>
          <t>Shin-Hanul-1</t>
        </is>
      </c>
      <c r="C56" s="77" t="inlineStr">
        <is>
          <t>APR1400</t>
        </is>
      </c>
      <c r="D56" s="77" t="n">
        <v>1429</v>
      </c>
      <c r="E56" s="77" t="inlineStr">
        <is>
          <t>2012-07-10</t>
        </is>
      </c>
      <c r="F56" s="77" t="inlineStr">
        <is>
          <t>2022-12-07</t>
        </is>
      </c>
      <c r="G56" s="77" t="n">
        <v>10.4</v>
      </c>
      <c r="H56" s="77" t="n">
        <v>6.5</v>
      </c>
      <c r="I56" s="77">
        <f>G56-H56</f>
        <v/>
      </c>
      <c r="J56" s="77" t="inlineStr">
        <is>
          <t>OBS</t>
        </is>
      </c>
      <c r="K56" s="77" t="inlineStr">
        <is>
          <t>S129 IAEA PRIS</t>
        </is>
      </c>
      <c r="L56" s="77" t="n">
        <v>4.7</v>
      </c>
      <c r="M56" s="77" t="n">
        <v>5.7</v>
      </c>
      <c r="N56" s="77" t="inlineStr">
        <is>
          <t>KHNP era press 2013: completed Apr-2017; NEI retrospective: COD originally Apr-2017</t>
        </is>
      </c>
    </row>
    <row r="57" ht="15" customHeight="1" s="78">
      <c r="A57" s="77" t="inlineStr">
        <is>
          <t>Russia</t>
        </is>
      </c>
      <c r="B57" s="77" t="inlineStr">
        <is>
          <t>Leningrad 2-1</t>
        </is>
      </c>
      <c r="C57" s="77" t="inlineStr">
        <is>
          <t>VVER-1200</t>
        </is>
      </c>
      <c r="D57" s="77" t="n">
        <v>1101</v>
      </c>
      <c r="E57" s="77" t="inlineStr">
        <is>
          <t>2008-10-25</t>
        </is>
      </c>
      <c r="F57" s="77" t="inlineStr">
        <is>
          <t>2018-10-24</t>
        </is>
      </c>
      <c r="G57" s="77" t="n">
        <v>10</v>
      </c>
      <c r="H57" s="77" t="n">
        <v>6.5</v>
      </c>
      <c r="I57" s="77">
        <f>G57-H57</f>
        <v/>
      </c>
      <c r="J57" s="77" t="inlineStr">
        <is>
          <t>OBS</t>
        </is>
      </c>
      <c r="K57" s="77" t="inlineStr">
        <is>
          <t>S129 IAEA PRIS</t>
        </is>
      </c>
      <c r="L57" s="77" t="n">
        <v>5</v>
      </c>
      <c r="M57" s="77" t="n">
        <v>5</v>
      </c>
      <c r="N57" s="77" t="inlineStr">
        <is>
          <t>Federal target programme: commissioning Oct-2013 (WNN 19.04.2010; WNA Russia)</t>
        </is>
      </c>
    </row>
    <row r="58" ht="15" customHeight="1" s="78">
      <c r="A58" s="77" t="inlineStr">
        <is>
          <t>Belarus</t>
        </is>
      </c>
      <c r="B58" s="77" t="inlineStr">
        <is>
          <t>Belarusian-1</t>
        </is>
      </c>
      <c r="C58" s="77" t="inlineStr">
        <is>
          <t>VVER-1200</t>
        </is>
      </c>
      <c r="D58" s="77" t="n">
        <v>1110</v>
      </c>
      <c r="E58" s="77" t="inlineStr">
        <is>
          <t>2013-11-08</t>
        </is>
      </c>
      <c r="F58" s="77" t="inlineStr">
        <is>
          <t>2021-06-10</t>
        </is>
      </c>
      <c r="G58" s="77" t="n">
        <v>7.6</v>
      </c>
      <c r="H58" s="77" t="n">
        <v>6.5</v>
      </c>
      <c r="I58" s="77">
        <f>G58-H58</f>
        <v/>
      </c>
      <c r="J58" s="77" t="inlineStr">
        <is>
          <t>OBS</t>
        </is>
      </c>
      <c r="K58" s="77" t="inlineStr">
        <is>
          <t>S129 IAEA PRIS</t>
        </is>
      </c>
      <c r="L58" s="77" t="n">
        <v>5</v>
      </c>
      <c r="M58" s="77" t="n">
        <v>2.6</v>
      </c>
      <c r="N58" s="77" t="inlineStr">
        <is>
          <t>IAEA 06.11.2013: "in operation by 2018"; contract 60 months to start-up Nov-2018. Pre-construction 2011 baseline was 2016</t>
        </is>
      </c>
    </row>
    <row r="59" ht="15" customHeight="1" s="78">
      <c r="A59" s="77" t="inlineStr">
        <is>
          <t>India</t>
        </is>
      </c>
      <c r="B59" s="77" t="inlineStr">
        <is>
          <t>Kakrapar-3</t>
        </is>
      </c>
      <c r="C59" s="77" t="inlineStr">
        <is>
          <t>PHWR-700</t>
        </is>
      </c>
      <c r="D59" s="77" t="n">
        <v>630</v>
      </c>
      <c r="E59" s="77" t="inlineStr">
        <is>
          <t>2010-11-22</t>
        </is>
      </c>
      <c r="F59" s="77" t="inlineStr">
        <is>
          <t>2023-06-30</t>
        </is>
      </c>
      <c r="G59" s="77" t="n">
        <v>12.6</v>
      </c>
      <c r="H59" s="77" t="n">
        <v>6.5</v>
      </c>
      <c r="I59" s="77">
        <f>G59-H59</f>
        <v/>
      </c>
      <c r="J59" s="77" t="inlineStr">
        <is>
          <t>OBS</t>
        </is>
      </c>
      <c r="K59" s="77" t="inlineStr">
        <is>
          <t>S129 IAEA PRIS</t>
        </is>
      </c>
      <c r="L59" s="77" t="n">
        <v>5</v>
      </c>
      <c r="M59" s="77" t="n">
        <v>7.6</v>
      </c>
      <c r="N59" s="77" t="inlineStr">
        <is>
          <t>NPCIL at first concrete 11/2010: "start up in 2015"; WNA: 66 months to COD</t>
        </is>
      </c>
    </row>
    <row r="60" ht="15" customHeight="1" s="78">
      <c r="A60" s="77" t="inlineStr">
        <is>
          <t>France</t>
        </is>
      </c>
      <c r="B60" s="77" t="inlineStr">
        <is>
          <t>Flamanville-3</t>
        </is>
      </c>
      <c r="C60" s="77" t="inlineStr">
        <is>
          <t>EPR</t>
        </is>
      </c>
      <c r="D60" s="77" t="n">
        <v>1630</v>
      </c>
      <c r="E60" s="77" t="inlineStr">
        <is>
          <t>2007-12-03</t>
        </is>
      </c>
      <c r="F60" s="77" t="inlineStr">
        <is>
          <t>GAP (grid 2024-12)</t>
        </is>
      </c>
      <c r="G60" s="77" t="n">
        <v>17</v>
      </c>
      <c r="J60" s="77" t="inlineStr">
        <is>
          <t>OBS</t>
        </is>
      </c>
      <c r="K60" s="77" t="inlineStr">
        <is>
          <t>S129 IAEA PRIS</t>
        </is>
      </c>
      <c r="L60" s="77" t="n">
        <v>4.5</v>
      </c>
      <c r="M60" s="77" t="n">
        <v>12.5</v>
      </c>
      <c r="N60" s="77" t="inlineStr">
        <is>
          <t>EDF 12/2007: in service 2012, EUR 3.3bn (WNN 04.12.2007); CdC: grid 12/2024 = 12 yrs late, 23.7bn EUR2023. Actual col G = 17.0 to GRID (comm op 2026, PRIS COD pending)</t>
        </is>
      </c>
    </row>
    <row r="61" ht="15" customHeight="1" s="78">
      <c r="A61" s="77" t="inlineStr">
        <is>
          <t>China</t>
        </is>
      </c>
      <c r="B61" s="77" t="inlineStr">
        <is>
          <t>San'ao-1</t>
        </is>
      </c>
      <c r="C61" s="77" t="inlineStr">
        <is>
          <t>HPR1000</t>
        </is>
      </c>
      <c r="D61" s="77" t="n">
        <v>1116</v>
      </c>
      <c r="E61" s="77" t="inlineStr">
        <is>
          <t>2020-12-31</t>
        </is>
      </c>
      <c r="F61" s="77" t="inlineStr">
        <is>
          <t>2026-04-29</t>
        </is>
      </c>
      <c r="G61" s="77" t="n">
        <v>5.33</v>
      </c>
      <c r="H61" s="77" t="n">
        <v>6.5</v>
      </c>
      <c r="J61" s="77" t="inlineStr">
        <is>
          <t>OBS</t>
        </is>
      </c>
      <c r="K61" s="77" t="inlineStr">
        <is>
          <t>S207 WNN/PRIS</t>
        </is>
      </c>
      <c r="L61" s="77" t="n">
        <v>5.4</v>
      </c>
      <c r="M61" s="77" t="n">
        <v>-0.1</v>
      </c>
      <c r="N61" s="77" t="inlineStr">
        <is>
          <t>WNN 04.01.2022: 'scheduled to begin supplying electricity in 2026' - grid 12.03.2026, COD 29.04.2026, ON PLAN [verified in-session]</t>
        </is>
      </c>
    </row>
    <row r="62">
      <c r="A62" s="77" t="inlineStr">
        <is>
          <t>China</t>
        </is>
      </c>
      <c r="B62" s="77" t="inlineStr">
        <is>
          <t>Taishan-2</t>
        </is>
      </c>
      <c r="C62" s="77" t="inlineStr">
        <is>
          <t>EPR</t>
        </is>
      </c>
      <c r="D62" s="77" t="n">
        <v>1660</v>
      </c>
      <c r="E62" s="77" t="inlineStr">
        <is>
          <t>2010-04-15</t>
        </is>
      </c>
      <c r="F62" s="77" t="inlineStr">
        <is>
          <t>2019-09-07</t>
        </is>
      </c>
      <c r="G62" s="77" t="n">
        <v>9.4</v>
      </c>
      <c r="H62" s="77" t="n">
        <v>6.5</v>
      </c>
      <c r="J62" s="77" t="inlineStr">
        <is>
          <t>OBS</t>
        </is>
      </c>
      <c r="K62" s="77" t="inlineStr">
        <is>
          <t>S207 WNN/PRIS</t>
        </is>
      </c>
      <c r="L62" s="77" t="n">
        <v>5.2</v>
      </c>
      <c r="M62" s="77" t="n">
        <v>4.2</v>
      </c>
      <c r="N62" s="77" t="inlineStr">
        <is>
          <t>WNN 16.04.2010 (same article as Taishan-1 baseline, S206): units 'scheduled to start up in 2013 and 2015, respectively' - unit 2 planned 2015</t>
        </is>
      </c>
    </row>
    <row r="63" ht="15" customHeight="1" s="78">
      <c r="A63" s="77" t="inlineStr">
        <is>
          <t>China</t>
        </is>
      </c>
      <c r="B63" s="77" t="inlineStr">
        <is>
          <t>Taipingling-1</t>
        </is>
      </c>
      <c r="C63" s="77" t="inlineStr">
        <is>
          <t>HPR1000</t>
        </is>
      </c>
      <c r="D63" s="77" t="n">
        <v>1116</v>
      </c>
      <c r="E63" s="77" t="inlineStr">
        <is>
          <t>2019-12-26</t>
        </is>
      </c>
      <c r="F63" s="77" t="inlineStr">
        <is>
          <t>2026-04-19</t>
        </is>
      </c>
      <c r="G63" s="77" t="n">
        <v>6.31</v>
      </c>
      <c r="H63" s="77" t="n">
        <v>6.5</v>
      </c>
      <c r="J63" s="77" t="inlineStr">
        <is>
          <t>OBS</t>
        </is>
      </c>
      <c r="K63" s="77" t="inlineStr">
        <is>
          <t>S208 WNN/PRIS</t>
        </is>
      </c>
      <c r="L63" s="77" t="n">
        <v>5.5</v>
      </c>
      <c r="M63" s="77" t="n">
        <v>0.8</v>
      </c>
      <c r="N63" s="77" t="inlineStr">
        <is>
          <t>WEAK baseline: 'operation in 2025' is a mid-project restatement (WNN 03.06.2024); no construction-start-era schedule recoverable. Grid 13.02.2026, COD 19.04.2026 [verified in-session]. Unit 2: FCD 15.10.2020, grid 04.07.2026, COD expected H2-2026 - add at COD</t>
        </is>
      </c>
    </row>
    <row r="64" ht="15" customHeight="1" s="78">
      <c r="A64" s="146" t="inlineStr">
        <is>
          <t xml:space="preserve">  Western FOAK EPR (OL3 17.7, FL3 ~17) vs serial Asian builds (5.7-10.8 yr) — keep distinct.</t>
        </is>
      </c>
    </row>
    <row r="65" ht="15" customHeight="1" s="78"/>
    <row r="66" ht="15" customHeight="1" s="78">
      <c r="A66" s="109" t="inlineStr">
        <is>
          <t>E. SMR STATUS (vendor targets kept SEPARATE from observed fleet evidence).</t>
        </is>
      </c>
    </row>
    <row r="67" ht="15" customHeight="1" s="78">
      <c r="A67" s="109" t="inlineStr">
        <is>
          <t>Category</t>
        </is>
      </c>
      <c r="B67" s="109" t="inlineStr">
        <is>
          <t>Project/vendor</t>
        </is>
      </c>
      <c r="C67" s="109" t="inlineStr">
        <is>
          <t>Design</t>
        </is>
      </c>
      <c r="D67" s="109" t="inlineStr">
        <is>
          <t>Capacity</t>
        </is>
      </c>
      <c r="E67" s="109" t="inlineStr">
        <is>
          <t>Cost (observed)</t>
        </is>
      </c>
      <c r="F67" s="109" t="inlineStr">
        <is>
          <t>Cost (vendor target)</t>
        </is>
      </c>
      <c r="G67" s="109" t="inlineStr">
        <is>
          <t>tag</t>
        </is>
      </c>
      <c r="H67" s="109" t="inlineStr">
        <is>
          <t>source</t>
        </is>
      </c>
    </row>
    <row r="68" ht="15" customHeight="1" s="78">
      <c r="A68" s="77" t="inlineStr">
        <is>
          <t>Operational</t>
        </is>
      </c>
      <c r="B68" s="77" t="inlineStr">
        <is>
          <t>Akademik Lomonosov (Rosatom)</t>
        </is>
      </c>
      <c r="C68" s="77" t="inlineStr">
        <is>
          <t>KLT-40S floating</t>
        </is>
      </c>
      <c r="D68" s="77" t="inlineStr">
        <is>
          <t>2x~32 MWe</t>
        </is>
      </c>
      <c r="E68" s="77" t="inlineStr">
        <is>
          <t>~USD 700m total (2015)</t>
        </is>
      </c>
      <c r="G68" s="77" t="inlineStr">
        <is>
          <t>OBS</t>
        </is>
      </c>
      <c r="H68" s="77" t="inlineStr">
        <is>
          <t>S133 WNA</t>
        </is>
      </c>
    </row>
    <row r="69" ht="15" customHeight="1" s="78">
      <c r="A69" s="77" t="inlineStr">
        <is>
          <t>Operational</t>
        </is>
      </c>
      <c r="B69" s="77" t="inlineStr">
        <is>
          <t>HTR-PM (CNNC/Huaneng)</t>
        </is>
      </c>
      <c r="C69" s="77" t="inlineStr">
        <is>
          <t>HTGR pebble-bed</t>
        </is>
      </c>
      <c r="D69" s="77" t="inlineStr">
        <is>
          <t>~210 MWe</t>
        </is>
      </c>
      <c r="E69" s="77" t="inlineStr">
        <is>
          <t>GAP</t>
        </is>
      </c>
      <c r="G69" s="77" t="inlineStr">
        <is>
          <t>OBS</t>
        </is>
      </c>
      <c r="H69" s="77" t="inlineStr">
        <is>
          <t>S133 WNN comm.op 2023-12</t>
        </is>
      </c>
    </row>
    <row r="70" ht="15" customHeight="1" s="78">
      <c r="A70" s="77" t="inlineStr">
        <is>
          <t>Under construction</t>
        </is>
      </c>
      <c r="B70" s="77" t="inlineStr">
        <is>
          <t>Linglong-1 ACP100 (CNNC)</t>
        </is>
      </c>
      <c r="C70" s="77" t="inlineStr">
        <is>
          <t>iPWR</t>
        </is>
      </c>
      <c r="D70" s="77" t="inlineStr">
        <is>
          <t>125 MWe</t>
        </is>
      </c>
      <c r="G70" s="77" t="inlineStr">
        <is>
          <t>OBS</t>
        </is>
      </c>
      <c r="H70" s="77" t="inlineStr">
        <is>
          <t>S133 PRIS — not yet grid-connected</t>
        </is>
      </c>
    </row>
    <row r="71" ht="15" customHeight="1" s="78">
      <c r="A71" s="77" t="inlineStr">
        <is>
          <t>Under construction</t>
        </is>
      </c>
      <c r="B71" s="77" t="inlineStr">
        <is>
          <t>BWRX-300 Darlington (OPG/GEH)</t>
        </is>
      </c>
      <c r="C71" s="77" t="inlineStr">
        <is>
          <t>BWR</t>
        </is>
      </c>
      <c r="D71" s="77" t="inlineStr">
        <is>
          <t>300 MWe</t>
        </is>
      </c>
      <c r="E71" s="77" t="inlineStr">
        <is>
          <t>CAD 6.1bn 1st unit; 20.9bn/4 units</t>
        </is>
      </c>
      <c r="F71" s="77" t="inlineStr">
        <is>
          <t>2250 USD/kW NOAK</t>
        </is>
      </c>
      <c r="G71" s="77" t="inlineStr">
        <is>
          <t>OBS+TGT</t>
        </is>
      </c>
      <c r="H71" s="77" t="inlineStr">
        <is>
          <t>S133 WNN 2025-05; GEH target</t>
        </is>
      </c>
    </row>
    <row r="72">
      <c r="A72" s="77" t="inlineStr">
        <is>
          <t>Under construction</t>
        </is>
      </c>
      <c r="B72" s="77" t="inlineStr">
        <is>
          <t>Natrium (TerraPower)</t>
        </is>
      </c>
      <c r="C72" s="77" t="inlineStr">
        <is>
          <t>SFR</t>
        </is>
      </c>
      <c r="D72" s="77" t="inlineStr">
        <is>
          <t>345 MWe</t>
        </is>
      </c>
      <c r="E72" s="77" t="inlineStr">
        <is>
          <t>~USD 4bn (50% DOE)</t>
        </is>
      </c>
      <c r="G72" s="77" t="inlineStr">
        <is>
          <t>OBS</t>
        </is>
      </c>
      <c r="H72" s="77" t="inlineStr">
        <is>
          <t>S133 WNN 2026-04</t>
        </is>
      </c>
    </row>
    <row r="73">
      <c r="A73" s="77" t="inlineStr">
        <is>
          <t>Pre-construction</t>
        </is>
      </c>
      <c r="B73" s="77" t="inlineStr">
        <is>
          <t>Rolls-Royce SMR</t>
        </is>
      </c>
      <c r="C73" s="77" t="inlineStr">
        <is>
          <t>PWR</t>
        </is>
      </c>
      <c r="D73" s="77" t="inlineStr">
        <is>
          <t>470 MWe</t>
        </is>
      </c>
      <c r="F73" s="77" t="inlineStr">
        <is>
          <t>GBP 1.8bn/unit (5th unit)</t>
        </is>
      </c>
      <c r="G73" s="77" t="inlineStr">
        <is>
          <t>TGT</t>
        </is>
      </c>
      <c r="H73" s="77" t="inlineStr">
        <is>
          <t>S133 NucNet; GB Energy selection 2025-06</t>
        </is>
      </c>
    </row>
    <row r="74">
      <c r="A74" s="77" t="inlineStr">
        <is>
          <t>Pre-construction</t>
        </is>
      </c>
      <c r="B74" s="77" t="inlineStr">
        <is>
          <t>NuScale VOYGR</t>
        </is>
      </c>
      <c r="C74" s="77" t="inlineStr">
        <is>
          <t>iPWR</t>
        </is>
      </c>
      <c r="D74" s="77" t="inlineStr">
        <is>
          <t>77 MWe/module</t>
        </is>
      </c>
      <c r="E74" s="77" t="inlineStr">
        <is>
          <t>CFPP cancelled 2023 (never built)</t>
        </is>
      </c>
      <c r="F74" s="77" t="inlineStr">
        <is>
          <t>was 58-&gt;89 USD/MWh</t>
        </is>
      </c>
      <c r="G74" s="77" t="inlineStr">
        <is>
          <t>OBS+TGT</t>
        </is>
      </c>
      <c r="H74" s="77" t="inlineStr">
        <is>
          <t>S133 Utility Dive 2023-11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21.xml><?xml version="1.0" encoding="utf-8"?>
<worksheet xmlns="http://schemas.openxmlformats.org/spreadsheetml/2006/main">
  <sheetPr filterMode="0">
    <outlinePr summaryBelow="1" summaryRight="1"/>
    <pageSetUpPr fitToPage="0"/>
  </sheetPr>
  <dimension ref="A1:M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78">
      <c r="A1" s="146" t="inlineStr">
        <is>
          <t>STAGE 8.3 — SCALABLE UK GEOTHERMAL (evidence). ACTIVE screen: shallow closed-loop, deep closed-loop/coaxial, AGS, EGS, superhot-rock. EXCLUDED (localised/legacy, boundary only): mine-water, O&amp;G well reuse. LCOH(heat)!=LCOE(elec); FOAK!=NOAK; modelled!=vendor target!=global scenario!=observed. DESNZ deep-geothermal "granite" used as EGS proxy is LABELLED a partial proxy (excludes stimulation). AGS UK cost = BLANK (no competent evidence). IEA 2035 = GLOBAL learning scenario, not UK.</t>
        </is>
      </c>
    </row>
    <row r="3" ht="15" customHeight="1" s="78">
      <c r="A3" s="109" t="inlineStr">
        <is>
          <t>Pathway</t>
        </is>
      </c>
      <c r="B3" s="109" t="inlineStr">
        <is>
          <t>Output</t>
        </is>
      </c>
      <c r="C3" s="109" t="inlineStr">
        <is>
          <t>Depth/temp</t>
        </is>
      </c>
      <c r="D3" s="109" t="inlineStr">
        <is>
          <t>UK applicability</t>
        </is>
      </c>
      <c r="E3" s="109" t="inlineStr">
        <is>
          <t>TRL/status</t>
        </is>
      </c>
      <c r="F3" s="109" t="inlineStr">
        <is>
          <t>Metric</t>
        </is>
      </c>
      <c r="G3" s="109" t="inlineStr">
        <is>
          <t>FOAK</t>
        </is>
      </c>
      <c r="H3" s="109" t="inlineStr">
        <is>
          <t>NOAK</t>
        </is>
      </c>
      <c r="I3" s="109" t="inlineStr">
        <is>
          <t>Unit</t>
        </is>
      </c>
      <c r="J3" s="109" t="inlineStr">
        <is>
          <t>tag</t>
        </is>
      </c>
      <c r="K3" s="109" t="inlineStr">
        <is>
          <t>price yr</t>
        </is>
      </c>
      <c r="L3" s="109" t="inlineStr">
        <is>
          <t>source</t>
        </is>
      </c>
    </row>
    <row r="4" ht="15" customHeight="1" s="78">
      <c r="A4" s="77" t="inlineStr">
        <is>
          <t>Shallow closed-loop GSHP</t>
        </is>
      </c>
      <c r="B4" s="77" t="inlineStr">
        <is>
          <t>Heat</t>
        </is>
      </c>
      <c r="C4" s="77" t="inlineStr">
        <is>
          <t>50-200 m</t>
        </is>
      </c>
      <c r="D4" s="77" t="inlineStr">
        <is>
          <t>Nationwide</t>
        </is>
      </c>
      <c r="E4" s="77" t="inlineStr">
        <is>
          <t>Commercial (today)</t>
        </is>
      </c>
      <c r="F4" s="77" t="inlineStr">
        <is>
          <t>LCOH</t>
        </is>
      </c>
      <c r="G4" s="77" t="n">
        <v>49</v>
      </c>
      <c r="H4" s="77" t="n">
        <v>18</v>
      </c>
      <c r="I4" s="77" t="inlineStr">
        <is>
          <t>GBP/MWh-th</t>
        </is>
      </c>
      <c r="J4" s="77" t="inlineStr">
        <is>
          <t>MODELLED-UK</t>
        </is>
      </c>
      <c r="K4" s="77" t="inlineStr">
        <is>
          <t>2023</t>
        </is>
      </c>
      <c r="L4" s="77" t="inlineStr">
        <is>
          <t>S134 DESNZ/Arup 2025</t>
        </is>
      </c>
      <c r="M4" s="77" t="inlineStr">
        <is>
          <t>FOAK 49-143; NOAK 18-56 (heat-only). Broadly deployable TODAY but HEAT not electricity</t>
        </is>
      </c>
    </row>
    <row r="5" ht="15" customHeight="1" s="78">
      <c r="A5" s="77" t="inlineStr">
        <is>
          <t>Deep closed-loop / coaxial (2km)</t>
        </is>
      </c>
      <c r="B5" s="77" t="inlineStr">
        <is>
          <t>Heat</t>
        </is>
      </c>
      <c r="C5" s="77" t="inlineStr">
        <is>
          <t>1-4 km</t>
        </is>
      </c>
      <c r="D5" s="77" t="inlineStr">
        <is>
          <t>Where DHN exists</t>
        </is>
      </c>
      <c r="E5" s="77" t="inlineStr">
        <is>
          <t>Pre-commercial</t>
        </is>
      </c>
      <c r="F5" s="77" t="inlineStr">
        <is>
          <t>LCOH</t>
        </is>
      </c>
      <c r="G5" s="77" t="n">
        <v>523</v>
      </c>
      <c r="H5" s="77" t="n">
        <v>277</v>
      </c>
      <c r="I5" s="77" t="inlineStr">
        <is>
          <t>GBP/MWh-th</t>
        </is>
      </c>
      <c r="J5" s="77" t="inlineStr">
        <is>
          <t>MODELLED-UK</t>
        </is>
      </c>
      <c r="K5" s="77" t="inlineStr">
        <is>
          <t>2023</t>
        </is>
      </c>
      <c r="L5" s="77" t="inlineStr">
        <is>
          <t>S134 review T15</t>
        </is>
      </c>
    </row>
    <row r="6" ht="15" customHeight="1" s="78">
      <c r="A6" s="77" t="inlineStr">
        <is>
          <t>AGS (Eavor-type)</t>
        </is>
      </c>
      <c r="B6" s="77" t="inlineStr">
        <is>
          <t>Heat/elec</t>
        </is>
      </c>
      <c r="C6" s="77" t="inlineStr">
        <is>
          <t>4-7.5 km</t>
        </is>
      </c>
      <c r="D6" s="77" t="inlineStr">
        <is>
          <t>n/a (no UK project)</t>
        </is>
      </c>
      <c r="E6" s="77" t="inlineStr">
        <is>
          <t>Pilot intl.</t>
        </is>
      </c>
      <c r="F6" s="77" t="inlineStr">
        <is>
          <t>LCOH/LCOE</t>
        </is>
      </c>
      <c r="I6" s="77" t="inlineStr">
        <is>
          <t>-</t>
        </is>
      </c>
      <c r="J6" s="77" t="inlineStr">
        <is>
          <t>BLANK</t>
        </is>
      </c>
      <c r="K6" s="77" t="inlineStr">
        <is>
          <t>-</t>
        </is>
      </c>
      <c r="L6" s="77" t="inlineStr">
        <is>
          <t>S134 DESNZ: insufficient data -&gt; BLANK (vendor target NOT substituted)</t>
        </is>
      </c>
    </row>
    <row r="7" ht="15" customHeight="1" s="78">
      <c r="A7" s="77" t="inlineStr">
        <is>
          <t>AGS (Eavor) — global vendor target</t>
        </is>
      </c>
      <c r="B7" s="77" t="inlineStr">
        <is>
          <t>Both</t>
        </is>
      </c>
      <c r="C7" s="77" t="inlineStr">
        <is>
          <t>high gradient</t>
        </is>
      </c>
      <c r="D7" s="77" t="inlineStr">
        <is>
          <t>global</t>
        </is>
      </c>
      <c r="E7" s="77" t="inlineStr">
        <is>
          <t>vendor</t>
        </is>
      </c>
      <c r="F7" s="77" t="inlineStr">
        <is>
          <t>LCOE</t>
        </is>
      </c>
      <c r="G7" s="77" t="inlineStr">
        <is>
          <t>&lt;70*</t>
        </is>
      </c>
      <c r="I7" s="77" t="inlineStr">
        <is>
          <t>USD/MWh</t>
        </is>
      </c>
      <c r="J7" s="77" t="inlineStr">
        <is>
          <t>VENDOR-TGT</t>
        </is>
      </c>
      <c r="K7" s="77" t="inlineStr">
        <is>
          <t>~2022</t>
        </is>
      </c>
      <c r="L7" s="77" t="inlineStr">
        <is>
          <t>S139 Beckers 2022: &lt;$70 only if 60C/km &amp; &lt;9% disc &amp; &lt;$400/m drilling</t>
        </is>
      </c>
    </row>
    <row r="8" ht="15" customHeight="1" s="78">
      <c r="A8" s="77" t="inlineStr">
        <is>
          <t>EGS granite — no heat revenue</t>
        </is>
      </c>
      <c r="B8" s="77" t="inlineStr">
        <is>
          <t>Electricity</t>
        </is>
      </c>
      <c r="C8" s="77" t="inlineStr">
        <is>
          <t>4-5 km, 140-185C</t>
        </is>
      </c>
      <c r="D8" s="77" t="inlineStr">
        <is>
          <t>SW England / N Scotland granites</t>
        </is>
      </c>
      <c r="E8" s="77" t="inlineStr">
        <is>
          <t>FOAK (United Downs live 2026-02)</t>
        </is>
      </c>
      <c r="F8" s="77" t="inlineStr">
        <is>
          <t>LCOE</t>
        </is>
      </c>
      <c r="G8" s="77" t="n">
        <v>311</v>
      </c>
      <c r="H8" s="77" t="n">
        <v>136</v>
      </c>
      <c r="I8" s="77" t="inlineStr">
        <is>
          <t>GBP/MWh</t>
        </is>
      </c>
      <c r="J8" s="77" t="inlineStr">
        <is>
          <t>MODELLED-UK (partial EGS proxy)</t>
        </is>
      </c>
      <c r="K8" s="77" t="inlineStr">
        <is>
          <t>2023</t>
        </is>
      </c>
      <c r="L8" s="77" t="inlineStr">
        <is>
          <t>S134 DESNZ/Arup Annex C (excl. stimulation)</t>
        </is>
      </c>
    </row>
    <row r="9" ht="15" customHeight="1" s="78">
      <c r="A9" s="77" t="inlineStr">
        <is>
          <t>EGS granite — with heat revenue</t>
        </is>
      </c>
      <c r="B9" s="77" t="inlineStr">
        <is>
          <t>Electricity</t>
        </is>
      </c>
      <c r="C9" s="77" t="inlineStr">
        <is>
          <t>as above</t>
        </is>
      </c>
      <c r="D9" s="77" t="inlineStr">
        <is>
          <t>as above</t>
        </is>
      </c>
      <c r="E9" s="77" t="inlineStr">
        <is>
          <t>FOAK</t>
        </is>
      </c>
      <c r="F9" s="77" t="inlineStr">
        <is>
          <t>LCOE</t>
        </is>
      </c>
      <c r="G9" s="77" t="n">
        <v>169</v>
      </c>
      <c r="H9" s="77" t="n">
        <v>-6</v>
      </c>
      <c r="I9" s="77" t="inlineStr">
        <is>
          <t>GBP/MWh</t>
        </is>
      </c>
      <c r="J9" s="77" t="inlineStr">
        <is>
          <t>MODELLED-UK (partial proxy)</t>
        </is>
      </c>
      <c r="K9" s="77" t="inlineStr">
        <is>
          <t>2023</t>
        </is>
      </c>
      <c r="L9" s="77" t="inlineStr">
        <is>
          <t>S134 (NOAK with heat = -6, i.e. heat credit dominates)</t>
        </is>
      </c>
    </row>
    <row r="10" ht="15" customHeight="1" s="78">
      <c r="A10" s="77" t="inlineStr">
        <is>
          <t>EGS granite FOAK (no heat), real-2025-USD</t>
        </is>
      </c>
      <c r="F10" s="77" t="inlineStr">
        <is>
          <t>LCOE</t>
        </is>
      </c>
      <c r="G10" s="77">
        <f>311*fx_deflator!$I$18*fx_deflator!$M$18</f>
        <v/>
      </c>
      <c r="I10" s="77" t="inlineStr">
        <is>
          <t>USD/MWh real-2025</t>
        </is>
      </c>
      <c r="J10" s="77" t="inlineStr">
        <is>
          <t>EST</t>
        </is>
      </c>
      <c r="K10" s="77" t="inlineStr">
        <is>
          <t>2025</t>
        </is>
      </c>
      <c r="L10" s="77" t="inlineStr">
        <is>
          <t>calc: 311 x USD/GBP(2023) x deflator(2023)</t>
        </is>
      </c>
    </row>
    <row r="11" ht="15" customHeight="1" s="78">
      <c r="A11" s="77" t="inlineStr">
        <is>
          <t>EGS (Atkins/DECC 2013) power</t>
        </is>
      </c>
      <c r="B11" s="77" t="inlineStr">
        <is>
          <t>Electricity</t>
        </is>
      </c>
      <c r="C11" s="77" t="inlineStr">
        <is>
          <t>Cornwall granite</t>
        </is>
      </c>
      <c r="D11" s="77" t="inlineStr">
        <is>
          <t>SW England</t>
        </is>
      </c>
      <c r="E11" s="77" t="inlineStr">
        <is>
          <t>superseded</t>
        </is>
      </c>
      <c r="F11" s="77" t="inlineStr">
        <is>
          <t>LCOE</t>
        </is>
      </c>
      <c r="H11" s="77" t="n">
        <v>218</v>
      </c>
      <c r="I11" s="77" t="inlineStr">
        <is>
          <t>GBP/MWh</t>
        </is>
      </c>
      <c r="J11" s="77" t="inlineStr">
        <is>
          <t>MODELLED-UK</t>
        </is>
      </c>
      <c r="K11" s="77" t="inlineStr">
        <is>
          <t>~2013</t>
        </is>
      </c>
      <c r="L11" s="77" t="inlineStr">
        <is>
          <t>S135 Atkins 2013 (22% discount; central NOAK-like)</t>
        </is>
      </c>
    </row>
    <row r="12" ht="15" customHeight="1" s="78">
      <c r="A12" s="77" t="inlineStr">
        <is>
          <t>EGS — CfD AR5 support strike</t>
        </is>
      </c>
      <c r="B12" s="77" t="inlineStr">
        <is>
          <t>Electricity</t>
        </is>
      </c>
      <c r="C12" s="77" t="inlineStr">
        <is>
          <t>-</t>
        </is>
      </c>
      <c r="D12" s="77" t="inlineStr">
        <is>
          <t>-</t>
        </is>
      </c>
      <c r="E12" s="77" t="inlineStr">
        <is>
          <t>contracted 12 MW</t>
        </is>
      </c>
      <c r="F12" s="77" t="inlineStr">
        <is>
          <t>strike price</t>
        </is>
      </c>
      <c r="G12" s="77" t="n">
        <v>119</v>
      </c>
      <c r="I12" s="77" t="inlineStr">
        <is>
          <t>GBP/MWh</t>
        </is>
      </c>
      <c r="J12" s="77" t="inlineStr">
        <is>
          <t>OBS-SUPPORT</t>
        </is>
      </c>
      <c r="K12" s="77" t="inlineStr">
        <is>
          <t>2012</t>
        </is>
      </c>
      <c r="L12" s="77" t="inlineStr">
        <is>
          <t>S137 CfD AR5 (NOT an LCOE; admin strike)</t>
        </is>
      </c>
    </row>
    <row r="13" ht="15" customHeight="1" s="78">
      <c r="A13" s="77" t="inlineStr">
        <is>
          <t>Superhot rock (Quaise)</t>
        </is>
      </c>
      <c r="B13" s="77" t="inlineStr">
        <is>
          <t>Electricity</t>
        </is>
      </c>
      <c r="C13" s="77" t="inlineStr">
        <is>
          <t>&gt;400C</t>
        </is>
      </c>
      <c r="D13" s="77" t="inlineStr">
        <is>
          <t>n/a</t>
        </is>
      </c>
      <c r="E13" s="77" t="inlineStr">
        <is>
          <t>early field demo</t>
        </is>
      </c>
      <c r="F13" s="77" t="inlineStr">
        <is>
          <t>any cost</t>
        </is>
      </c>
      <c r="I13" s="77" t="inlineStr">
        <is>
          <t>-</t>
        </is>
      </c>
      <c r="J13" s="77" t="inlineStr">
        <is>
          <t>GAP</t>
        </is>
      </c>
      <c r="K13" s="77" t="inlineStr">
        <is>
          <t>-</t>
        </is>
      </c>
      <c r="L13" s="77" t="inlineStr">
        <is>
          <t>S139 Quaise 100m drilled 2025; no observed cost</t>
        </is>
      </c>
    </row>
    <row r="14" ht="15" customHeight="1" s="78">
      <c r="A14" s="77" t="inlineStr">
        <is>
          <t>Next-gen geothermal (IEA) — GLOBAL scenario</t>
        </is>
      </c>
      <c r="B14" s="77" t="inlineStr">
        <is>
          <t>Electricity</t>
        </is>
      </c>
      <c r="C14" s="77" t="inlineStr">
        <is>
          <t>-</t>
        </is>
      </c>
      <c r="D14" s="77" t="inlineStr">
        <is>
          <t>GLOBAL not UK</t>
        </is>
      </c>
      <c r="E14" s="77" t="inlineStr">
        <is>
          <t>learning-curve</t>
        </is>
      </c>
      <c r="F14" s="77" t="inlineStr">
        <is>
          <t>LCOE</t>
        </is>
      </c>
      <c r="G14" s="77" t="inlineStr">
        <is>
          <t>&gt;230</t>
        </is>
      </c>
      <c r="H14" s="77" t="inlineStr">
        <is>
          <t>~50 (2035 low)</t>
        </is>
      </c>
      <c r="I14" s="77" t="inlineStr">
        <is>
          <t>USD/MWh</t>
        </is>
      </c>
      <c r="J14" s="77" t="inlineStr">
        <is>
          <t>MODELLED-GLOBAL-SCENARIO</t>
        </is>
      </c>
      <c r="K14" s="77" t="inlineStr">
        <is>
          <t>2023</t>
        </is>
      </c>
      <c r="L14" s="77" t="inlineStr">
        <is>
          <t>S138 IEA 2024: FOAK &gt;230; 2035 low ~50 / medium ~120</t>
        </is>
      </c>
    </row>
    <row r="15" ht="15" customHeight="1" s="78">
      <c r="A15" s="77" t="inlineStr">
        <is>
          <t>United Downs (observed project)</t>
        </is>
      </c>
      <c r="B15" s="77" t="inlineStr">
        <is>
          <t>Electricity</t>
        </is>
      </c>
      <c r="C15" s="77" t="inlineStr">
        <is>
          <t>5.3 km, &gt;180C</t>
        </is>
      </c>
      <c r="D15" s="77" t="inlineStr">
        <is>
          <t>Cornwall</t>
        </is>
      </c>
      <c r="E15" s="77" t="inlineStr">
        <is>
          <t>GENERATING since 2026-02-26</t>
        </is>
      </c>
      <c r="F15" s="77" t="inlineStr">
        <is>
          <t>capacity/cost</t>
        </is>
      </c>
      <c r="G15" s="77" t="inlineStr">
        <is>
          <t>3 MWe / ~£30m</t>
        </is>
      </c>
      <c r="H15" s="77" t="inlineStr">
        <is>
          <t>LCOE GAP</t>
        </is>
      </c>
      <c r="I15" s="77" t="inlineStr">
        <is>
          <t>MWe / GBP</t>
        </is>
      </c>
      <c r="J15" s="77" t="inlineStr">
        <is>
          <t>OBS</t>
        </is>
      </c>
      <c r="K15" s="77" t="inlineStr">
        <is>
          <t>2021-26</t>
        </is>
      </c>
      <c r="L15" s="77" t="inlineStr">
        <is>
          <t>S136 Olver 2025; Envirotec 2026-03 (first UK geothermal power)</t>
        </is>
      </c>
    </row>
    <row r="17" ht="15" customHeight="1" s="78">
      <c r="A17" s="146" t="inlineStr">
        <is>
          <t>CONCLUSIONS: Broadly deployable today = shallow GSHP (HEAT only, no electricity-price effect). Pre-commercial/FOAK = EGS granite for power (United Downs 3 MWe live, but modelled FOAK LCOE £169-311/MWh, small per-site P50 ~2-3 MWe, geographically confined). Drilling-cost-dependent = deep coaxial, AGS, superhot, IEA next-gen. Primarily heat = shallow GSHP, deep coaxial, Eden. NONE likely to affect near-term UK industrial ELECTRICITY prices.</t>
        </is>
      </c>
    </row>
    <row r="19" ht="15" customHeight="1" s="78">
      <c r="A19" s="77" t="inlineStr">
        <is>
          <t>Chart block (elec LCOE, GBP/MWh)</t>
        </is>
      </c>
    </row>
    <row r="20" ht="15" customHeight="1" s="78">
      <c r="A20" s="77" t="inlineStr">
        <is>
          <t>EGS granite FOAK (no heat)</t>
        </is>
      </c>
      <c r="B20" s="77" t="n">
        <v>311</v>
      </c>
    </row>
    <row r="21" ht="15" customHeight="1" s="78">
      <c r="A21" s="77" t="inlineStr">
        <is>
          <t>EGS granite NOAK (no heat)</t>
        </is>
      </c>
      <c r="B21" s="77" t="n">
        <v>136</v>
      </c>
    </row>
    <row r="22" ht="15" customHeight="1" s="78">
      <c r="A22" s="77" t="inlineStr">
        <is>
          <t>EGS granite FOAK (with heat)</t>
        </is>
      </c>
      <c r="B22" s="77" t="n">
        <v>169</v>
      </c>
    </row>
    <row r="23" ht="15" customHeight="1" s="78">
      <c r="A23" s="77" t="inlineStr">
        <is>
          <t>Atkins 2013 NOAK</t>
        </is>
      </c>
      <c r="B23" s="77" t="n">
        <v>218</v>
      </c>
    </row>
    <row r="24" ht="15" customHeight="1" s="78">
      <c r="A24" s="77" t="inlineStr">
        <is>
          <t>CfD AR5 strike (2012px)</t>
        </is>
      </c>
      <c r="B24" s="77" t="n">
        <v>119</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22.xml><?xml version="1.0" encoding="utf-8"?>
<worksheet xmlns="http://schemas.openxmlformats.org/spreadsheetml/2006/main">
  <sheetPr filterMode="0">
    <outlinePr summaryBelow="1" summaryRight="1"/>
    <pageSetUpPr fitToPage="0"/>
  </sheetPr>
  <dimension ref="A1:G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78">
      <c r="A1" s="146" t="inlineStr">
        <is>
          <t>STAGE 8.4 — FLEXIBILITY &amp; NETWORK CHARGES (evidence). Starting point = Stage-7 GB utilisation (peak 46 GW, supplied 271 TWh, load factor 0.67, 2024). Concepts kept SEPARATE: gross system benefit / procurement cost / avoided network expenditure / allowed revenue / govt expenditure / industrial bill relief. Gross system benefit is NOT a procurement budget. LOAD-BEARING FINDING: under Ofgem TCR the demand RESIDUAL (£7.5bn) is a FIXED banded £/site/day charge =&gt; flexibility does NOT reduce a site residual; industrial relief is a SCENARIO on locational/capacity + wider-cost pass-through, NOT automatic.</t>
        </is>
      </c>
    </row>
    <row r="3" ht="15" customHeight="1" s="78">
      <c r="A3" s="109" t="inlineStr">
        <is>
          <t>A. BASELINE (Stage-7 anchors)</t>
        </is>
      </c>
    </row>
    <row r="4" ht="15" customHeight="1" s="78">
      <c r="A4" s="77" t="inlineStr">
        <is>
          <t>Baseline GB peak demand 2024</t>
        </is>
      </c>
      <c r="B4" s="77" t="n">
        <v>46</v>
      </c>
      <c r="C4" s="77" t="inlineStr">
        <is>
          <t>GW</t>
        </is>
      </c>
      <c r="D4" s="77" t="inlineStr">
        <is>
          <t>OBS</t>
        </is>
      </c>
      <c r="E4" s="77" t="inlineStr">
        <is>
          <t>S145 DUKES 5.10.A (Stage-7)</t>
        </is>
      </c>
    </row>
    <row r="5" ht="15" customHeight="1" s="78">
      <c r="A5" s="77" t="inlineStr">
        <is>
          <t>Baseline GB electricity supplied 2024</t>
        </is>
      </c>
      <c r="B5" s="77" t="n">
        <v>270.88</v>
      </c>
      <c r="C5" s="77" t="inlineStr">
        <is>
          <t>TWh</t>
        </is>
      </c>
      <c r="D5" s="77" t="inlineStr">
        <is>
          <t>OBS</t>
        </is>
      </c>
      <c r="E5" s="77" t="inlineStr">
        <is>
          <t>S116 DUKES 5.1.2 (Stage-7)</t>
        </is>
      </c>
    </row>
    <row r="6" ht="15" customHeight="1" s="78">
      <c r="A6" s="77" t="inlineStr">
        <is>
          <t>Baseline system load factor</t>
        </is>
      </c>
      <c r="B6" s="77">
        <f>B5/(B4*8.76)</f>
        <v/>
      </c>
      <c r="C6" s="77" t="inlineStr">
        <is>
          <t>ratio</t>
        </is>
      </c>
      <c r="D6" s="77" t="inlineStr">
        <is>
          <t>EST</t>
        </is>
      </c>
      <c r="E6" s="77" t="inlineStr">
        <is>
          <t>calc: supplied/(peak*8.76)</t>
        </is>
      </c>
    </row>
    <row r="7" ht="15" customHeight="1" s="78">
      <c r="A7" s="77" t="inlineStr">
        <is>
          <t>TNUoS demand residual 2026/27</t>
        </is>
      </c>
      <c r="B7" s="77" t="n">
        <v>7.52</v>
      </c>
      <c r="C7" s="77" t="inlineStr">
        <is>
          <t>GBP bn</t>
        </is>
      </c>
      <c r="D7" s="77" t="inlineStr">
        <is>
          <t>OBS</t>
        </is>
      </c>
      <c r="E7" s="77" t="inlineStr">
        <is>
          <t>S107 NESO Five-Year View (fixed banded £/site/day under TCR)</t>
        </is>
      </c>
    </row>
    <row r="8" ht="15" customHeight="1" s="78">
      <c r="A8" s="77" t="inlineStr">
        <is>
          <t>UK industrial electricity demand 2024</t>
        </is>
      </c>
      <c r="B8" s="77" t="n">
        <v>82.2</v>
      </c>
      <c r="C8" s="77" t="inlineStr">
        <is>
          <t>TWh</t>
        </is>
      </c>
      <c r="D8" s="77" t="inlineStr">
        <is>
          <t>OBS</t>
        </is>
      </c>
      <c r="E8" s="77" t="inlineStr">
        <is>
          <t>S145 DUKES 2025 Ch5</t>
        </is>
      </c>
    </row>
    <row r="10" ht="15" customHeight="1" s="78">
      <c r="A10" s="109" t="inlineStr">
        <is>
          <t>B. SCENARIOS — firm peak reduction (low/central/high), annual consumption HELD CONSTANT</t>
        </is>
      </c>
    </row>
    <row r="11" ht="15" customHeight="1" s="78">
      <c r="A11" s="109" t="inlineStr">
        <is>
          <t>Line</t>
        </is>
      </c>
      <c r="B11" s="109" t="inlineStr">
        <is>
          <t>Low</t>
        </is>
      </c>
      <c r="C11" s="109" t="inlineStr">
        <is>
          <t>Central</t>
        </is>
      </c>
      <c r="D11" s="109" t="inlineStr">
        <is>
          <t>High</t>
        </is>
      </c>
      <c r="E11" s="109" t="inlineStr">
        <is>
          <t>Unit</t>
        </is>
      </c>
      <c r="F11" s="109" t="inlineStr">
        <is>
          <t>tag</t>
        </is>
      </c>
      <c r="G11" s="109" t="inlineStr">
        <is>
          <t>source/formula</t>
        </is>
      </c>
    </row>
    <row r="12" ht="15" customHeight="1" s="78">
      <c r="A12" s="77" t="inlineStr">
        <is>
          <t>Firm peak-demand reduction</t>
        </is>
      </c>
      <c r="B12" s="77" t="n">
        <v>3</v>
      </c>
      <c r="C12" s="77" t="n">
        <v>6</v>
      </c>
      <c r="D12" s="77" t="n">
        <v>12</v>
      </c>
      <c r="E12" s="77" t="inlineStr">
        <is>
          <t>GW</t>
        </is>
      </c>
      <c r="F12" s="77" t="inlineStr">
        <is>
          <t>SCENARIO</t>
        </is>
      </c>
      <c r="G12" s="77" t="inlineStr">
        <is>
          <t>grounded in NIC/CT DSR + FES flex ranges (this-decade firm reduction); editable</t>
        </is>
      </c>
    </row>
    <row r="13" ht="15" customHeight="1" s="78">
      <c r="A13" s="77" t="inlineStr">
        <is>
          <t>System load factor AFTER flexibility</t>
        </is>
      </c>
      <c r="B13" s="77">
        <f>$B$5/(($B$4-B12)*8.76)</f>
        <v/>
      </c>
      <c r="C13" s="77">
        <f>$B$5/(($B$4-C12)*8.76)</f>
        <v/>
      </c>
      <c r="D13" s="77">
        <f>$B$5/(($B$4-D12)*8.76)</f>
        <v/>
      </c>
      <c r="E13" s="77" t="inlineStr">
        <is>
          <t>ratio</t>
        </is>
      </c>
      <c r="F13" s="77" t="inlineStr">
        <is>
          <t>EST</t>
        </is>
      </c>
      <c r="G13" s="77" t="inlineStr">
        <is>
          <t>calc: supplied/((peak-reduction)*8.76), annual demand held</t>
        </is>
      </c>
    </row>
    <row r="14" ht="15" customHeight="1" s="78">
      <c r="A14" s="77" t="inlineStr">
        <is>
          <t>Avoided-reinforcement unit value (derived)</t>
        </is>
      </c>
      <c r="C14" s="77" t="n">
        <v>33</v>
      </c>
      <c r="E14" s="77" t="inlineStr">
        <is>
          <t>GBP/kW-yr</t>
        </is>
      </c>
      <c r="F14" s="77" t="inlineStr">
        <is>
          <t>EST</t>
        </is>
      </c>
      <c r="G14" s="77" t="inlineStr">
        <is>
          <t>ENA 2024: £300m saving / 9 GW contracted = ~£33/kW-yr (derived, not a published unit)</t>
        </is>
      </c>
    </row>
    <row r="15" ht="15" customHeight="1" s="78">
      <c r="A15" s="77" t="inlineStr">
        <is>
          <t>Avoided/deferred network reinforcement (annual)</t>
        </is>
      </c>
      <c r="B15" s="77">
        <f>B12*1000000*$C$14/1000000000</f>
        <v/>
      </c>
      <c r="C15" s="77">
        <f>C12*1000000*$C$14/1000000000</f>
        <v/>
      </c>
      <c r="D15" s="77">
        <f>D12*1000000*$C$14/1000000000</f>
        <v/>
      </c>
      <c r="E15" s="77" t="inlineStr">
        <is>
          <t>GBP bn/yr</t>
        </is>
      </c>
      <c r="F15" s="77" t="inlineStr">
        <is>
          <t>EST</t>
        </is>
      </c>
      <c r="G15" s="77" t="inlineStr">
        <is>
          <t>calc: peak reduction(GW)*1e6 kW *unit(£/kW-yr)/1e9</t>
        </is>
      </c>
    </row>
    <row r="16" ht="15" customHeight="1" s="78">
      <c r="A16" s="77" t="inlineStr">
        <is>
          <t>Avoided balancing/constraint cost (published)</t>
        </is>
      </c>
      <c r="B16" s="77" t="n">
        <v>1</v>
      </c>
      <c r="C16" s="77" t="n">
        <v>2.5</v>
      </c>
      <c r="D16" s="77" t="n">
        <v>4</v>
      </c>
      <c r="E16" s="77" t="inlineStr">
        <is>
          <t>GBP bn/yr</t>
        </is>
      </c>
      <c r="F16" s="77" t="inlineStr">
        <is>
          <t>OBS-anchor</t>
        </is>
      </c>
      <c r="G16" s="77" t="inlineStr">
        <is>
          <t>S143 NESO: &gt;£1bn realised (BP2) / ~£4bn avoidable 2030 (network-led, not flex-only)</t>
        </is>
      </c>
    </row>
    <row r="17" ht="15" customHeight="1" s="78">
      <c r="A17" s="77" t="inlineStr">
        <is>
          <t>Aggregate annual system benefit (published)</t>
        </is>
      </c>
      <c r="B17" s="77" t="n">
        <v>1.4</v>
      </c>
      <c r="C17" s="77" t="n">
        <v>4</v>
      </c>
      <c r="D17" s="77" t="n">
        <v>8.1</v>
      </c>
      <c r="E17" s="77" t="inlineStr">
        <is>
          <t>GBP bn/yr</t>
        </is>
      </c>
      <c r="F17" s="77" t="inlineStr">
        <is>
          <t>OBS-anchor</t>
        </is>
      </c>
      <c r="G17" s="77" t="inlineStr">
        <is>
          <t>S140/S141/S142: CT £1.4-2.4bn/yr(2030,net); NIC £2.9-8.1bn/yr(2030,gross); SSFP £6-10bn/yr(2050,net) — DIFFERENT studies/horizons/scopes</t>
        </is>
      </c>
    </row>
    <row r="19" ht="15" customHeight="1" s="78">
      <c r="A19" s="109" t="inlineStr">
        <is>
          <t>C. INDUSTRIAL CHARGE RELIEF — scenario, NOT automatic (TCR residual is fixed banded)</t>
        </is>
      </c>
    </row>
    <row r="20" ht="15" customHeight="1" s="78">
      <c r="A20" s="109" t="inlineStr">
        <is>
          <t>Line</t>
        </is>
      </c>
      <c r="B20" s="109" t="inlineStr">
        <is>
          <t>Low</t>
        </is>
      </c>
      <c r="C20" s="109" t="inlineStr">
        <is>
          <t>Central</t>
        </is>
      </c>
      <c r="D20" s="109" t="inlineStr">
        <is>
          <t>High</t>
        </is>
      </c>
      <c r="E20" s="109" t="inlineStr">
        <is>
          <t>Unit</t>
        </is>
      </c>
      <c r="F20" s="109" t="inlineStr">
        <is>
          <t>tag</t>
        </is>
      </c>
      <c r="G20" s="109" t="inlineStr">
        <is>
          <t>source/formula</t>
        </is>
      </c>
    </row>
    <row r="21" ht="15" customHeight="1" s="78">
      <c r="A21" s="77" t="inlineStr">
        <is>
          <t>Pass-through to industry (assumption)</t>
        </is>
      </c>
      <c r="B21" s="77" t="n">
        <v>0</v>
      </c>
      <c r="C21" s="77" t="n">
        <v>0.1</v>
      </c>
      <c r="D21" s="77" t="n">
        <v>0.25</v>
      </c>
      <c r="E21" s="77" t="inlineStr">
        <is>
          <t>share</t>
        </is>
      </c>
      <c r="F21" s="77" t="inlineStr">
        <is>
          <t>SCENARIO</t>
        </is>
      </c>
      <c r="G21" s="77" t="inlineStr">
        <is>
          <t>share of aggregate system benefit reaching industrial bills via wider costs; low=0 (TCR residual unchanged)</t>
        </is>
      </c>
    </row>
    <row r="22" ht="15" customHeight="1" s="78">
      <c r="A22" s="77" t="inlineStr">
        <is>
          <t>Industrial relief pool (annual)</t>
        </is>
      </c>
      <c r="B22" s="77">
        <f>B17*B21</f>
        <v/>
      </c>
      <c r="C22" s="77">
        <f>C17*C21</f>
        <v/>
      </c>
      <c r="D22" s="77">
        <f>D17*D21</f>
        <v/>
      </c>
      <c r="E22" s="77" t="inlineStr">
        <is>
          <t>GBP bn/yr</t>
        </is>
      </c>
      <c r="F22" s="77" t="inlineStr">
        <is>
          <t>EST</t>
        </is>
      </c>
      <c r="G22" s="77" t="inlineStr">
        <is>
          <t>calc: aggregate benefit * pass-through share</t>
        </is>
      </c>
    </row>
    <row r="23" ht="15" customHeight="1" s="78">
      <c r="A23" s="77" t="inlineStr">
        <is>
          <t>Industrial relief</t>
        </is>
      </c>
      <c r="B23" s="77">
        <f>B22*1000/$B$8</f>
        <v/>
      </c>
      <c r="C23" s="77">
        <f>C22*1000/$B$8</f>
        <v/>
      </c>
      <c r="D23" s="77">
        <f>D22*1000/$B$8</f>
        <v/>
      </c>
      <c r="E23" s="77" t="inlineStr">
        <is>
          <t>GBP/MWh</t>
        </is>
      </c>
      <c r="F23" s="77" t="inlineStr">
        <is>
          <t>EST</t>
        </is>
      </c>
      <c r="G23" s="77" t="inlineStr">
        <is>
          <t>calc: relief pool / UK industrial demand (82.2 TWh). SCENARIO — residual-charge relief specifically ~= £0 under TCR</t>
        </is>
      </c>
    </row>
    <row r="25" ht="15" customHeight="1" s="78">
      <c r="A25" s="146" t="inlineStr">
        <is>
          <t>D. READING: Firm peak reduction of 3-12 GW lifts GB load factor from ~0.67 to ~0.69-0.72 and could defer £0.1-0.4bn/yr reinforcement (at ~£33/kW-yr) plus contribute to £1-4bn/yr avoidable constraint costs. BUT gross system benefit (£1.4-8.1bn/yr, various studies) is NOT a budget and NOT automatic bill relief. Under TCR the fixed banded demand residual (£7.5bn) does not fall with flexibility, so industrial RESIDUAL relief ~= £0; any industrial relief (central ~£4.9/MWh at 10% pass-through) is scenario-dependent on charging methodology.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23.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78">
      <c r="A1" s="109" t="inlineStr">
        <is>
          <t>STAGE 8 SUMMARY — strategic supply-side options vs UK industrial ELECTRICITY competitiveness. EVIDENCE stage (not policy). Tags: OBS/MODELLED/EST/SCENARIO/VENDOR-TGT/GAP-BLANK.</t>
        </is>
      </c>
    </row>
    <row r="3" ht="15" customHeight="1" s="78">
      <c r="A3" s="109" t="inlineStr">
        <is>
          <t>Workstream</t>
        </is>
      </c>
      <c r="B3" s="109" t="inlineStr">
        <is>
          <t>Principal result</t>
        </is>
      </c>
      <c r="C3" s="109" t="inlineStr">
        <is>
          <t>Value</t>
        </is>
      </c>
      <c r="D3" s="109" t="inlineStr">
        <is>
          <t>Unit/basis</t>
        </is>
      </c>
      <c r="E3" s="109" t="inlineStr">
        <is>
          <t>tag</t>
        </is>
      </c>
      <c r="F3" s="109" t="inlineStr">
        <is>
          <t>Material to UK industrial ELECTRICITY price?</t>
        </is>
      </c>
      <c r="G3" s="109" t="inlineStr">
        <is>
          <t>key evidence boundary</t>
        </is>
      </c>
    </row>
    <row r="4" ht="15" customHeight="1" s="78">
      <c r="A4" s="77" t="inlineStr">
        <is>
          <t>8.1 North Sea O&amp;G</t>
        </is>
      </c>
      <c r="B4" s="77" t="inlineStr">
        <is>
          <t>UKCS gas = share of world traded gas (2024)</t>
        </is>
      </c>
      <c r="C4" s="77">
        <f>north_sea_og!R32</f>
        <v/>
      </c>
      <c r="D4" s="77" t="inlineStr">
        <is>
          <t>%</t>
        </is>
      </c>
      <c r="E4" s="77" t="inlineStr">
        <is>
          <t>EST</t>
        </is>
      </c>
      <c r="F4" s="77" t="inlineStr">
        <is>
          <t>NO — UK is a price-taker on internationally traded gas</t>
        </is>
      </c>
      <c r="G4" s="77" t="inlineStr">
        <is>
          <t>reserves 2010-14 GAP; oil-only USD/bbl not constructable (Q56)</t>
        </is>
      </c>
    </row>
    <row r="5" ht="15" customHeight="1" s="78">
      <c r="A5" s="77" t="inlineStr">
        <is>
          <t>8.1 North Sea O&amp;G</t>
        </is>
      </c>
      <c r="B5" s="77" t="inlineStr">
        <is>
          <t>UK gas production / UK consumption (2024)</t>
        </is>
      </c>
      <c r="C5" s="77">
        <f>north_sea_og!R26</f>
        <v/>
      </c>
      <c r="D5" s="77" t="inlineStr">
        <is>
          <t>%</t>
        </is>
      </c>
      <c r="E5" s="77" t="inlineStr">
        <is>
          <t>EST</t>
        </is>
      </c>
      <c r="F5" s="77" t="inlineStr">
        <is>
          <t>NO (falling ~50%); marginal gas sets power price regardless of volume</t>
        </is>
      </c>
      <c r="G5" s="77" t="inlineStr">
        <is>
          <t>mixed £/boe opex only; nominal capex series GAP</t>
        </is>
      </c>
    </row>
    <row r="6" ht="15" customHeight="1" s="78">
      <c r="A6" s="77" t="inlineStr">
        <is>
          <t>8.2 Nuclear (model)</t>
        </is>
      </c>
      <c r="B6" s="77" t="inlineStr">
        <is>
          <t>OECD/NEA US LWR LCOE @7% (real-2025 USD)</t>
        </is>
      </c>
      <c r="C6" s="77">
        <f>nuclear_global!H10</f>
        <v/>
      </c>
      <c r="D6" s="77" t="inlineStr">
        <is>
          <t>USD/MWh</t>
        </is>
      </c>
      <c r="E6" s="77" t="inlineStr">
        <is>
          <t>MODELLED</t>
        </is>
      </c>
      <c r="F6" s="77" t="inlineStr">
        <is>
          <t>context — NOT a near-term price lever; modelled</t>
        </is>
      </c>
      <c r="G6" s="77" t="inlineStr">
        <is>
          <t>UK/DE no OECD/NEA cells (blank)</t>
        </is>
      </c>
    </row>
    <row r="7" ht="15" customHeight="1" s="78">
      <c r="A7" s="77" t="inlineStr">
        <is>
          <t>8.2 Nuclear (realised)</t>
        </is>
      </c>
      <c r="B7" s="77" t="inlineStr">
        <is>
          <t>Flamanville cost requirement @7%/85% (real-2025 USD)</t>
        </is>
      </c>
      <c r="C7" s="77">
        <f>nuclear_global!C29</f>
        <v/>
      </c>
      <c r="D7" s="77" t="inlineStr">
        <is>
          <t>USD/MWh</t>
        </is>
      </c>
      <c r="E7" s="77" t="inlineStr">
        <is>
          <t>OBS-&gt;EST</t>
        </is>
      </c>
      <c r="F7" s="77" t="inlineStr">
        <is>
          <t>realised Western FOAK &gt;&gt; model; long-dated</t>
        </is>
      </c>
      <c r="G7" s="77" t="inlineStr">
        <is>
          <t>Vogtle LCOE = indicative proxy; OL3 LCOE GAP; HPC blank</t>
        </is>
      </c>
    </row>
    <row r="8" ht="15" customHeight="1" s="78">
      <c r="A8" s="77" t="inlineStr">
        <is>
          <t>8.2 Nuclear (delivery)</t>
        </is>
      </c>
      <c r="B8" s="77" t="inlineStr">
        <is>
          <t>Western FOAK EPR construction duration</t>
        </is>
      </c>
      <c r="C8" s="77" t="inlineStr">
        <is>
          <t>17.7</t>
        </is>
      </c>
      <c r="D8" s="77" t="inlineStr">
        <is>
          <t>years (OL3)</t>
        </is>
      </c>
      <c r="E8" s="77" t="inlineStr">
        <is>
          <t>OBS</t>
        </is>
      </c>
      <c r="F8" s="77" t="inlineStr">
        <is>
          <t>long lead time; no near-term effect</t>
        </is>
      </c>
      <c r="G8" s="77" t="inlineStr">
        <is>
          <t>serial Asian builds 5.7-10.8 yr (distinct)</t>
        </is>
      </c>
    </row>
    <row r="9" ht="15" customHeight="1" s="78">
      <c r="A9" s="77" t="inlineStr">
        <is>
          <t>8.3 Geothermal</t>
        </is>
      </c>
      <c r="B9" s="77" t="inlineStr">
        <is>
          <t>EGS granite FOAK LCOE (no heat), real-2025 USD</t>
        </is>
      </c>
      <c r="C9" s="77">
        <f>geothermal_uk!G10</f>
        <v/>
      </c>
      <c r="D9" s="77" t="inlineStr">
        <is>
          <t>USD/MWh</t>
        </is>
      </c>
      <c r="E9" s="77" t="inlineStr">
        <is>
          <t>MODELLED-UK</t>
        </is>
      </c>
      <c r="F9" s="77" t="inlineStr">
        <is>
          <t>NO near-term — FOAK, small per-site, granite-confined</t>
        </is>
      </c>
      <c r="G9" s="77" t="inlineStr">
        <is>
          <t>AGS UK cost BLANK; superhot GAP; IEA 2035 = global scenario</t>
        </is>
      </c>
    </row>
    <row r="10" ht="15" customHeight="1" s="78">
      <c r="A10" s="77" t="inlineStr">
        <is>
          <t>8.3 Geothermal</t>
        </is>
      </c>
      <c r="B10" s="77" t="inlineStr">
        <is>
          <t>United Downs (first UK geothermal power)</t>
        </is>
      </c>
      <c r="C10" s="77" t="inlineStr">
        <is>
          <t>3</t>
        </is>
      </c>
      <c r="D10" s="77" t="inlineStr">
        <is>
          <t>MWe (live 2026-02)</t>
        </is>
      </c>
      <c r="E10" s="77" t="inlineStr">
        <is>
          <t>OBS</t>
        </is>
      </c>
      <c r="F10" s="77" t="inlineStr">
        <is>
          <t>negligible scale for electricity prices</t>
        </is>
      </c>
      <c r="G10" s="77" t="inlineStr">
        <is>
          <t>audited LCOE GAP</t>
        </is>
      </c>
    </row>
    <row r="11" ht="15" customHeight="1" s="78">
      <c r="A11" s="77" t="inlineStr">
        <is>
          <t>8.4 Flexibility</t>
        </is>
      </c>
      <c r="B11" s="77" t="inlineStr">
        <is>
          <t>System load factor after 6 GW peak reduction (central)</t>
        </is>
      </c>
      <c r="C11" s="77">
        <f>flexibility_network!C13</f>
        <v/>
      </c>
      <c r="D11" s="77" t="inlineStr">
        <is>
          <t>ratio</t>
        </is>
      </c>
      <c r="E11" s="77" t="inlineStr">
        <is>
          <t>EST</t>
        </is>
      </c>
      <c r="F11" s="77" t="inlineStr">
        <is>
          <t>INDIRECT — system benefit real but not automatic bill relief</t>
        </is>
      </c>
      <c r="G11" s="77" t="inlineStr">
        <is>
          <t>TCR residual fixed =&gt; residual relief ~£0</t>
        </is>
      </c>
    </row>
    <row r="12" ht="15" customHeight="1" s="78">
      <c r="A12" s="77" t="inlineStr">
        <is>
          <t>8.4 Flexibility</t>
        </is>
      </c>
      <c r="B12" s="77" t="inlineStr">
        <is>
          <t>Industrial relief (central, 10% pass-through)</t>
        </is>
      </c>
      <c r="C12" s="77">
        <f>flexibility_network!C23</f>
        <v/>
      </c>
      <c r="D12" s="77" t="inlineStr">
        <is>
          <t>GBP/MWh</t>
        </is>
      </c>
      <c r="E12" s="77" t="inlineStr">
        <is>
          <t>SCENARIO</t>
        </is>
      </c>
      <c r="F12" s="77" t="inlineStr">
        <is>
          <t>scenario-dependent on charging methodology</t>
        </is>
      </c>
      <c r="G12" s="77" t="inlineStr">
        <is>
          <t>gross benefit £1.4-8.1bn/yr is NOT a budget</t>
        </is>
      </c>
    </row>
    <row r="14" ht="15" customHeight="1" s="78">
      <c r="A14" s="146" t="inlineStr">
        <is>
          <t>DECISION SUMMARY (see decisions D47-D50). Evidence status per finding is tagged above; blanks are unavailable, not zero.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I5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77" min="1" max="1"/>
    <col width="26" customWidth="1" style="77" min="2" max="2"/>
    <col width="15" customWidth="1" style="77" min="3" max="3"/>
    <col width="13" customWidth="1" style="77" min="4" max="5"/>
    <col width="40" customWidth="1" style="77" min="6" max="6"/>
    <col width="20" customWidth="1" style="77" min="7" max="7"/>
    <col width="44" customWidth="1" style="77" min="8" max="8"/>
    <col width="12" customWidth="1" style="77" min="9" max="9"/>
  </cols>
  <sheetData>
    <row r="1" ht="15.75" customHeight="1" s="78">
      <c r="A1" s="79" t="inlineStr">
        <is>
          <t>STAGE 9 — POLICY OPTIONS FOR UK INDUSTRIAL ELECTRICITY COMPETITIVENESS (evidence-linked; balanced; NOT this study's endorsements)</t>
        </is>
      </c>
    </row>
    <row r="2" ht="21.75" customHeight="1" s="78">
      <c r="A2" s="80" t="inlineStr">
        <is>
          <t>Every lever maps to a cost bucket quantified in Stage 6 and to the strategic evidence in Stages 7–8. For each: the mechanism, its CURRENT status (tag), WHO BEARS THE COST, the case for and against, and the DE/CN comparative lesson. Central frame: cost-SHIFTING (relocates who pays) vs cost-REDUCING (lowers the system cost). Status tags: IN-FORCE / ANNOUNCED / CONSULTATION / DRAFT / ADVOCACY. Values retrieved 2026-07-18; £/MWh savings are scheme ESTIMATES, not outturns. Blanks = unavailable (never zero).</t>
        </is>
      </c>
    </row>
    <row r="4" ht="15" customHeight="1" s="78">
      <c r="A4" s="81" t="inlineStr">
        <is>
          <t>A. THE UK COST STACK — what each lever targets (large E1 archetype; nominal GBP/MWh; source = stage6_decomp T4)</t>
        </is>
      </c>
    </row>
    <row r="5" ht="15" customHeight="1" s="78">
      <c r="B5" s="82" t="inlineStr">
        <is>
          <t>Cost bucket</t>
        </is>
      </c>
      <c r="C5" s="82" t="inlineStr">
        <is>
          <t>2025 £/MWh</t>
        </is>
      </c>
      <c r="D5" s="82" t="inlineStr">
        <is>
          <t>2026 £/MWh</t>
        </is>
      </c>
      <c r="E5" s="82" t="inlineStr">
        <is>
          <t>Δ %</t>
        </is>
      </c>
      <c r="F5" s="82" t="inlineStr">
        <is>
          <t>UK policy instruments on this bucket</t>
        </is>
      </c>
      <c r="G5" s="82" t="inlineStr">
        <is>
          <t>Frame</t>
        </is>
      </c>
      <c r="H5" s="82" t="inlineStr">
        <is>
          <t>Source</t>
        </is>
      </c>
    </row>
    <row r="6" ht="27.75" customHeight="1" s="78">
      <c r="B6" s="83" t="inlineStr">
        <is>
          <t>1 Commodity (wholesale)</t>
        </is>
      </c>
      <c r="C6" s="84">
        <f>stage6_decomp!E161</f>
        <v/>
      </c>
      <c r="D6" s="84">
        <f>stage6_decomp!F161</f>
        <v/>
      </c>
      <c r="E6" s="147">
        <f>IF(stage6_decomp!E161=0,"n/a",stage6_decomp!F161/stage6_decomp!E161-1)</f>
        <v/>
      </c>
      <c r="F6" s="83" t="inlineStr">
        <is>
          <t>REMA (national pricing retained); CfD build-out; Wholesale CfDs; PPAs</t>
        </is>
      </c>
      <c r="G6" s="83" t="inlineStr">
        <is>
          <t>cost-reducing (structural)</t>
        </is>
      </c>
      <c r="H6" s="87" t="inlineStr">
        <is>
          <t>stage6 r161 / S153,S156,S163</t>
        </is>
      </c>
    </row>
    <row r="7" ht="27.75" customHeight="1" s="78">
      <c r="B7" s="83" t="inlineStr">
        <is>
          <t>2 Gen capital (RO+CfD+CM)</t>
        </is>
      </c>
      <c r="C7" s="84">
        <f>stage6_decomp!E162</f>
        <v/>
      </c>
      <c r="D7" s="84">
        <f>stage6_decomp!F162</f>
        <v/>
      </c>
      <c r="E7" s="147">
        <f>IF(stage6_decomp!E162=0,"n/a",stage6_decomp!F162/stage6_decomp!E162-1)</f>
        <v/>
      </c>
      <c r="F7" s="83" t="inlineStr">
        <is>
          <t>BICS (RO/FiT/CM exempt); Supercharger; rebalance to gas/tax</t>
        </is>
      </c>
      <c r="G7" s="83" t="inlineStr">
        <is>
          <t>cost-shifting (relief)</t>
        </is>
      </c>
      <c r="H7" s="87" t="inlineStr">
        <is>
          <t>stage6 r162 / S146,S149,S164</t>
        </is>
      </c>
    </row>
    <row r="8" ht="27.75" customHeight="1" s="78">
      <c r="B8" s="83" t="inlineStr">
        <is>
          <t>3 Network (TNUoS+AAHEDC)</t>
        </is>
      </c>
      <c r="C8" s="84">
        <f>stage6_decomp!E163</f>
        <v/>
      </c>
      <c r="D8" s="84">
        <f>stage6_decomp!F163</f>
        <v/>
      </c>
      <c r="E8" s="147">
        <f>IF(stage6_decomp!E163=0,"n/a",stage6_decomp!F163/stage6_decomp!E163-1)</f>
        <v/>
      </c>
      <c r="F8" s="83" t="inlineStr">
        <is>
          <t>Supercharger NCC 90%; DE-style network subsidy; TCR</t>
        </is>
      </c>
      <c r="G8" s="83" t="inlineStr">
        <is>
          <t>cost-shifting (relief)</t>
        </is>
      </c>
      <c r="H8" s="87" t="inlineStr">
        <is>
          <t>stage6 r163 / S149,S171</t>
        </is>
      </c>
    </row>
    <row r="9" ht="15" customHeight="1" s="78">
      <c r="B9" s="83" t="inlineStr">
        <is>
          <t>4 System (BSUoS)</t>
        </is>
      </c>
      <c r="C9" s="84">
        <f>stage6_decomp!E164</f>
        <v/>
      </c>
      <c r="D9" s="84">
        <f>stage6_decomp!F164</f>
        <v/>
      </c>
      <c r="E9" s="147">
        <f>IF(stage6_decomp!E164=0,"n/a",stage6_decomp!F164/stage6_decomp!E164-1)</f>
        <v/>
      </c>
      <c r="F9" s="83" t="inlineStr">
        <is>
          <t>BSUoS fixed/capped; flexibility (indirect)</t>
        </is>
      </c>
      <c r="G9" s="83" t="inlineStr">
        <is>
          <t>mixed</t>
        </is>
      </c>
      <c r="H9" s="87" t="inlineStr">
        <is>
          <t>stage6 r164 / stage8.4</t>
        </is>
      </c>
    </row>
    <row r="10" ht="15" customHeight="1" s="78">
      <c r="B10" s="83" t="inlineStr">
        <is>
          <t>5 Taxes+ESL (CCL+ESL)</t>
        </is>
      </c>
      <c r="C10" s="84">
        <f>stage6_decomp!E165</f>
        <v/>
      </c>
      <c r="D10" s="84">
        <f>stage6_decomp!F165</f>
        <v/>
      </c>
      <c r="E10" s="147">
        <f>IF(stage6_decomp!E165=0,"n/a",stage6_decomp!F165/stage6_decomp!E165-1)</f>
        <v/>
      </c>
      <c r="F10" s="83" t="inlineStr">
        <is>
          <t>CCL relief via CCAs; electricity/gas rebalancing</t>
        </is>
      </c>
      <c r="G10" s="83" t="inlineStr">
        <is>
          <t>cost-shifting</t>
        </is>
      </c>
      <c r="H10" s="87" t="inlineStr">
        <is>
          <t>stage6 r165 / S165</t>
        </is>
      </c>
    </row>
    <row r="11" ht="21.75" customHeight="1" s="78">
      <c r="B11" s="148" t="inlineStr">
        <is>
          <t>E1 TOTAL</t>
        </is>
      </c>
      <c r="C11" s="149">
        <f>stage6_decomp!E166</f>
        <v/>
      </c>
      <c r="D11" s="149">
        <f>stage6_decomp!F166</f>
        <v/>
      </c>
      <c r="E11" s="150">
        <f>stage6_decomp!F166/stage6_decomp!E166-1</f>
        <v/>
      </c>
      <c r="F11" s="87" t="inlineStr">
        <is>
          <t>Network +60% is the single biggest 25→26 mover; wholesale is the biggest level.</t>
        </is>
      </c>
    </row>
    <row r="13" ht="15" customHeight="1" s="78">
      <c r="A13" s="81" t="inlineStr">
        <is>
          <t>B. WHO PAYS vs WHAT IT COSTS — relief relocates cost, it does not delete it (real-2025 USD/MWh; source = stage6_decomp T3, 2025) — MODELLED statutory stacks (supply margin excluded; stage6 memo r121). CN incl VAT as published (Q84); DE E2 keeps non-privileged KWKG/Offshore (no published privileged rate — EnFG 15%-cap memo stage6 r192, Q85)</t>
        </is>
      </c>
    </row>
    <row r="14" ht="27.75" customHeight="1" s="78">
      <c r="B14" s="82" t="inlineStr">
        <is>
          <t>Country / case</t>
        </is>
      </c>
      <c r="C14" s="82" t="inlineStr">
        <is>
          <t>On-bill (modelled)</t>
        </is>
      </c>
      <c r="D14" s="82" t="inlineStr">
        <is>
          <t>+ other users (ii)</t>
        </is>
      </c>
      <c r="E14" s="82" t="inlineStr">
        <is>
          <t>+ taxpayer (iii)</t>
        </is>
      </c>
      <c r="F14" s="82" t="inlineStr">
        <is>
          <t>Total system cost</t>
        </is>
      </c>
      <c r="G14" s="82" t="inlineStr">
        <is>
          <t>Relief channel</t>
        </is>
      </c>
      <c r="H14" s="82" t="inlineStr">
        <is>
          <t>Source</t>
        </is>
      </c>
    </row>
    <row r="15" ht="27.75" customHeight="1" s="78">
      <c r="B15" s="83" t="inlineStr">
        <is>
          <t>UK large E1 (unrelieved)</t>
        </is>
      </c>
      <c r="C15" s="84">
        <f>stage6_decomp!D148</f>
        <v/>
      </c>
      <c r="D15" s="84">
        <f>stage6_decomp!E148</f>
        <v/>
      </c>
      <c r="E15" s="84">
        <f>stage6_decomp!F148</f>
        <v/>
      </c>
      <c r="F15" s="84">
        <f>stage6_decomp!G148</f>
        <v/>
      </c>
      <c r="G15" s="83" t="inlineStr">
        <is>
          <t>none — pays full system cost</t>
        </is>
      </c>
      <c r="H15" s="87" t="inlineStr">
        <is>
          <t>stage6 T3 r148</t>
        </is>
      </c>
    </row>
    <row r="16" ht="27.75" customHeight="1" s="78">
      <c r="B16" s="83" t="inlineStr">
        <is>
          <t>UK large E2 (relieved)</t>
        </is>
      </c>
      <c r="C16" s="84">
        <f>stage6_decomp!D149</f>
        <v/>
      </c>
      <c r="D16" s="84">
        <f>stage6_decomp!E149</f>
        <v/>
      </c>
      <c r="E16" s="84">
        <f>stage6_decomp!F149</f>
        <v/>
      </c>
      <c r="F16" s="84">
        <f>stage6_decomp!G149</f>
        <v/>
      </c>
      <c r="G16" s="83" t="inlineStr">
        <is>
          <t>CROSS-SUBSIDY onto other bill-payers</t>
        </is>
      </c>
      <c r="H16" s="87" t="inlineStr">
        <is>
          <t>stage6 T3 r149</t>
        </is>
      </c>
    </row>
    <row r="17" ht="27.75" customHeight="1" s="78">
      <c r="B17" s="83" t="inlineStr">
        <is>
          <t>DE large E1</t>
        </is>
      </c>
      <c r="C17" s="84">
        <f>stage6_decomp!D152</f>
        <v/>
      </c>
      <c r="D17" s="84">
        <f>stage6_decomp!E152</f>
        <v/>
      </c>
      <c r="E17" s="84">
        <f>stage6_decomp!F152</f>
        <v/>
      </c>
      <c r="F17" s="84">
        <f>stage6_decomp!G152</f>
        <v/>
      </c>
      <c r="G17" s="83" t="inlineStr">
        <is>
          <t>TAXPAYER (federal budget/KTF)</t>
        </is>
      </c>
      <c r="H17" s="87" t="inlineStr">
        <is>
          <t>stage6 T3 r152</t>
        </is>
      </c>
    </row>
    <row r="18" ht="27.75" customHeight="1" s="78">
      <c r="B18" s="83" t="inlineStr">
        <is>
          <t>DE large E2</t>
        </is>
      </c>
      <c r="C18" s="84">
        <f>stage6_decomp!D153</f>
        <v/>
      </c>
      <c r="D18" s="84">
        <f>stage6_decomp!E153</f>
        <v/>
      </c>
      <c r="E18" s="84">
        <f>stage6_decomp!F153</f>
        <v/>
      </c>
      <c r="F18" s="84">
        <f>stage6_decomp!G153</f>
        <v/>
      </c>
      <c r="G18" s="83" t="inlineStr">
        <is>
          <t>TAXPAYER + some cross-subsidy</t>
        </is>
      </c>
      <c r="H18" s="87" t="inlineStr">
        <is>
          <t>stage6 T3 r153</t>
        </is>
      </c>
    </row>
    <row r="19" ht="54.75" customHeight="1" s="78">
      <c r="B19" s="83" t="inlineStr">
        <is>
          <t>CN large (E1=E2)</t>
        </is>
      </c>
      <c r="C19" s="84">
        <f>stage6_decomp!D156</f>
        <v/>
      </c>
      <c r="D19" s="151" t="n"/>
      <c r="E19" s="151" t="n"/>
      <c r="F19" s="151" t="n"/>
      <c r="G19" s="83" t="inlineStr">
        <is>
          <t>REVERSE: industry pays cross-subsidy to residential (administrative)</t>
        </is>
      </c>
      <c r="H19" s="87" t="inlineStr">
        <is>
          <t>stage6 T3 r156</t>
        </is>
      </c>
    </row>
    <row r="20" ht="21.75" customHeight="1" s="78">
      <c r="B20" s="80" t="inlineStr">
        <is>
          <t>READING: UK/DE system cost is similar (~$206–231/MWh); the difference is WHO PAYS. UK historically relieved industry via cross-subsidy onto other bill-payers; DE via the taxpayer. The UK 2025–26 turn (Section C, Lever B) shifts UK relief toward the DE taxpayer model. CN on-bill is 含税 as published (~$77 ex-VAT 2025 large, Q84).</t>
        </is>
      </c>
    </row>
    <row r="22" ht="15" customHeight="1" s="78">
      <c r="A22" s="81" t="inlineStr">
        <is>
          <t>C. LEVER-BY-LEVER OPTIONS (mechanism · status · who bears cost · case for / against · comparative lesson)</t>
        </is>
      </c>
    </row>
    <row r="23" ht="27.75" customHeight="1" s="78">
      <c r="B23" s="82" t="inlineStr">
        <is>
          <t>Lever</t>
        </is>
      </c>
      <c r="C23" s="82" t="inlineStr">
        <is>
          <t>Mechanism / instrument</t>
        </is>
      </c>
      <c r="D23" s="82" t="inlineStr">
        <is>
          <t>Value (native)</t>
        </is>
      </c>
      <c r="E23" s="82" t="inlineStr">
        <is>
          <t>Status</t>
        </is>
      </c>
      <c r="F23" s="82" t="inlineStr">
        <is>
          <t>Case FOR</t>
        </is>
      </c>
      <c r="G23" s="82" t="inlineStr">
        <is>
          <t>Case AGAINST / who bears cost</t>
        </is>
      </c>
      <c r="H23" s="82" t="inlineStr">
        <is>
          <t>Source / tag</t>
        </is>
      </c>
    </row>
    <row r="24" ht="175.5" customHeight="1" s="78">
      <c r="B24" s="85" t="inlineStr">
        <is>
          <t>A. Wholesale / gas dependence</t>
        </is>
      </c>
      <c r="C24" s="83" t="inlineStr">
        <is>
          <t>REMA: retain national marginal (gas-set) pricing; decouple industrial cost via growing CfD-contracted low-carbon share + Wholesale CfDs + corporate/private-wire PPAs</t>
        </is>
      </c>
      <c r="D24" s="83" t="inlineStr">
        <is>
          <t>wholesale ≈ £81/MWh (2026, largest bucket)</t>
        </is>
      </c>
      <c r="E24" s="83" t="inlineStr">
        <is>
          <t>REMA decided 10 Jul 2025 (IN-FORCE direction); WCfD ANNOUNCED (alloc 2027); PPA CONSULTATION (closed Mar 2026)</t>
        </is>
      </c>
      <c r="F24" s="83" t="inlineStr">
        <is>
          <t>Attacks the biggest single cost; more firm low-carbon under long contracts insulates industry from gas spikes; Stage-8 shows domestic drilling cannot (UK is a gas price-taker).</t>
        </is>
      </c>
      <c r="G24" s="83" t="inlineStr">
        <is>
          <t>Marginal pricing retained, so spot exposure persists for uncontracted volume; CfD/WCfD shift volume/price risk to consumers &amp; Exchequer; cannibalisation risk; benefits are structural/slow, not near-term.</t>
        </is>
      </c>
      <c r="H24" s="87" t="inlineStr">
        <is>
          <t>S153,S156,S163 / Stage 8.1</t>
        </is>
      </c>
    </row>
    <row r="25" ht="175.5" customHeight="1" s="78">
      <c r="B25" s="85" t="inlineStr">
        <is>
          <t>B. Policy costs on bills (RO/CfD/CM/FiT)</t>
        </is>
      </c>
      <c r="C25" s="83" t="inlineStr">
        <is>
          <t>Exempt EIIs (BICS: RO+FiT+CM; Supercharger: +CfD 100%); and/or move policy costs to general taxation (DE model); and/or rebalance electricity↔gas levies</t>
        </is>
      </c>
      <c r="D25" s="83" t="inlineStr">
        <is>
          <t>bucket ≈ £48/MWh; BICS saving £35–40/MWh (est); Supercharger levy exemption £24–31/MWh (est)</t>
        </is>
      </c>
      <c r="E25" s="83" t="inlineStr">
        <is>
          <t>BICS ANNOUNCED (RO+FiT Apr 2027, CM Oct 2027; ~10,000 firms; ~£600m/yr; Exchequer+energy-system funded); Supercharger IN-FORCE (levy 2024)</t>
        </is>
      </c>
      <c r="F25" s="83" t="inlineStr">
        <is>
          <t>Largest UK-specific, near-term lever; BICS moves relief OFF the bill base to the Exchequer (unlike old cross-subsidy) — genuine reduction for eligible firms; aligns UK with DE.</t>
        </is>
      </c>
      <c r="G25" s="83" t="inlineStr">
        <is>
          <t>Fiscal cost (~£600m/yr); eligibility thresholds exclude many users; leaves non-eligible users &amp; underlying system cost unchanged; rebalancing to gas raises heating bills / hits gas users.</t>
        </is>
      </c>
      <c r="H25" s="87" t="inlineStr">
        <is>
          <t>S146,S147,S148,S149,S164,S165 / Stage 6 T3</t>
        </is>
      </c>
    </row>
    <row r="26" ht="162" customHeight="1" s="78">
      <c r="B26" s="85" t="inlineStr">
        <is>
          <t>C. Network charges</t>
        </is>
      </c>
      <c r="C26" s="83" t="inlineStr">
        <is>
          <t>Supercharger Network Charging Compensation 60%→90%; DE-style federal subsidy to transmission charges; TCR residual reform</t>
        </is>
      </c>
      <c r="D26" s="83" t="inlineStr">
        <is>
          <t>network £9.75→£15.65/MWh (+60%); NCC uplift +£7–10/MWh (est, ≤£420m/yr); DE 2026 subsidy €6.5bn ≈ halves HöS charge</t>
        </is>
      </c>
      <c r="E26" s="83" t="inlineStr">
        <is>
          <t>Supercharger NCC IN-FORCE (90% from 1 Apr 2026); DE subsidy IN-FORCE 2026</t>
        </is>
      </c>
      <c r="F26" s="83" t="inlineStr">
        <is>
          <t>Directly offsets the fastest-rising bucket (network +60% in 25→26); NCC already in force at 90%; DE precedent shows a transmission subsidy can roughly halve the charge.</t>
        </is>
      </c>
      <c r="G26" s="83" t="inlineStr">
        <is>
          <t>Relief cost borne by Exchequer/others (NCC) or taxpayer (DE €6.5bn→€5.53bn 2027 draft); Stage 8.4 shows the fixed TCR demand residual does NOT fall with flexibility (residual relief ≈£0).</t>
        </is>
      </c>
      <c r="H26" s="87" t="inlineStr">
        <is>
          <t>S149,S171,S172 / Stage 7, Stage 8.4</t>
        </is>
      </c>
    </row>
    <row r="27" ht="95.25" customHeight="1" s="78">
      <c r="B27" s="85" t="inlineStr">
        <is>
          <t>D. System / balancing (BSUoS)</t>
        </is>
      </c>
      <c r="C27" s="83" t="inlineStr">
        <is>
          <t>BSUoS fixed ex-ante &amp; capped; demand flexibility for system benefit</t>
        </is>
      </c>
      <c r="D27" s="83" t="inlineStr">
        <is>
          <t>BSUoS ≈ £13/MWh (flat 25→26); flex system benefit £1.4–8.1bn/yr (gross)</t>
        </is>
      </c>
      <c r="E27" s="83" t="inlineStr">
        <is>
          <t>BSUoS reform IN-FORCE; flexibility = Stage 8.4 scenario</t>
        </is>
      </c>
      <c r="F27" s="83" t="inlineStr">
        <is>
          <t>BSUoS reform improves predictability; flexibility yields real gross system benefit (avoided reinforcement + balancing).</t>
        </is>
      </c>
      <c r="G27" s="83" t="inlineStr">
        <is>
          <t>Smallest lever; flex benefit is a SYSTEM benefit, not an automatic industrial bill cut (Stage 8.4); relief a pass-through scenario.</t>
        </is>
      </c>
      <c r="H27" s="87" t="inlineStr">
        <is>
          <t>stage6 r164 / Stage 8.4</t>
        </is>
      </c>
    </row>
    <row r="28" ht="162" customHeight="1" s="78">
      <c r="B28" s="85" t="inlineStr">
        <is>
          <t>E. Carbon (UK ETS + CPS; CBAM; ETS linkage)</t>
        </is>
      </c>
      <c r="C28" s="83" t="inlineStr">
        <is>
          <t>CPS £18 floor (to be abolished Apr 2028); UK ETS free allocation + EII indirect-cost compensation; UK CBAM (Jan 2027); UK–EU ETS linkage</t>
        </is>
      </c>
      <c r="D28" s="83" t="inlineStr">
        <is>
          <t>embedded carbon memo ≈ $18/MWh+; UKA 2026 £49.41; CPS £18 (to 2027/28); EU EUA ≈ €80</t>
        </is>
      </c>
      <c r="E28" s="83" t="inlineStr">
        <is>
          <t>CPS abolition ANNOUNCED (Apr 2028); UK CBAM LEGISLATED (Jan 2027); ETS linkage IN-NEGOTIATION</t>
        </is>
      </c>
      <c r="F28" s="83" t="inlineStr">
        <is>
          <t>CPS removal (Apr 2028) cuts the gas-generation carbon adder; free allocation + compensation shield EIIs; CBAM curbs leakage; ETS linkage removes EU-CBAM friction.</t>
        </is>
      </c>
      <c r="G28" s="83" t="inlineStr">
        <is>
          <t>Linkage would RAISE UK carbon price toward EU (≈€80) — near-term cost up even as friction falls; CBAM raises import costs/trade friction; decarbonisation vs competitiveness tension; linkage NOT concluded (in negotiation).</t>
        </is>
      </c>
      <c r="H28" s="87" t="inlineStr">
        <is>
          <t>S158,S159,S160,S161,S162,S166,S167,S168 / carbon tab</t>
        </is>
      </c>
    </row>
    <row r="29" ht="149.25" customHeight="1" s="78">
      <c r="B29" s="85" t="inlineStr">
        <is>
          <t>F. Supply-side &amp; flexibility (structural)</t>
        </is>
      </c>
      <c r="C29" s="83" t="inlineStr">
        <is>
          <t>New nuclear; scalable geothermal; demand flexibility</t>
        </is>
      </c>
      <c r="D29" s="83" t="inlineStr">
        <is>
          <t>nuclear modelled $91/MWh @7% vs realised $176–201; geothermal FOAK ~£311/MWh; flex LF 0.67→0.77</t>
        </is>
      </c>
      <c r="E29" s="83" t="inlineStr">
        <is>
          <t>ANNOUNCED/long-horizon; adds firm low-carbon capacity over 2030s+</t>
        </is>
      </c>
      <c r="F29" s="83" t="inlineStr">
        <is>
          <t>Diversifies firm supply; flexibility raises system load factor and defers reinforcement.</t>
        </is>
      </c>
      <c r="G29" s="83" t="inlineStr">
        <is>
          <t>Stage 8: none is a NEAR-TERM price lever — nuclear 10+ yr lead &amp; high realised FOAK cost; geothermal pre-commercial (3 MWe live); flex benefit indirect. Long-run only.</t>
        </is>
      </c>
      <c r="H29" s="87" t="inlineStr">
        <is>
          <t>Stage 8.2/8.3/8.4</t>
        </is>
      </c>
    </row>
    <row r="31" ht="15" customHeight="1" s="78">
      <c r="A31" s="81" t="inlineStr">
        <is>
          <t>D. THREE POLICY MODELS — the same relief, three funding routes</t>
        </is>
      </c>
    </row>
    <row r="32" ht="41.25" customHeight="1" s="78">
      <c r="B32" s="82" t="inlineStr">
        <is>
          <t>Model</t>
        </is>
      </c>
      <c r="C32" s="82" t="inlineStr">
        <is>
          <t>How industry is relieved</t>
        </is>
      </c>
      <c r="D32" s="82" t="inlineStr">
        <is>
          <t>Who ultimately pays</t>
        </is>
      </c>
      <c r="E32" s="82" t="inlineStr">
        <is>
          <t>Fiscal / legal frame</t>
        </is>
      </c>
      <c r="F32" s="82" t="inlineStr">
        <is>
          <t>Transferability to UK</t>
        </is>
      </c>
      <c r="G32" s="82" t="n"/>
      <c r="H32" s="82" t="inlineStr">
        <is>
          <t>Source</t>
        </is>
      </c>
    </row>
    <row r="33" ht="122.25" customHeight="1" s="78">
      <c r="B33" s="85" t="inlineStr">
        <is>
          <t>UK (transition)</t>
        </is>
      </c>
      <c r="C33" s="83" t="inlineStr">
        <is>
          <t>Levy exemptions (BICS, Supercharger) + network compensation; historically bill cross-subsidy, now moving toward Exchequer + energy-system funding (BICS; final split at Budget 2026)</t>
        </is>
      </c>
      <c r="D33" s="83" t="inlineStr">
        <is>
          <t>Other bill-payers (legacy) → Exchequer + energy-system changes (BICS; final design at Budget 2026)</t>
        </is>
      </c>
      <c r="E33" s="83" t="inlineStr">
        <is>
          <t>Subsidy-control cleared; CPS abolition funds part</t>
        </is>
      </c>
      <c r="F33" s="83" t="inlineStr">
        <is>
          <t>— (this is the UK)</t>
        </is>
      </c>
      <c r="H33" s="87" t="inlineStr">
        <is>
          <t>S146,S149,S164</t>
        </is>
      </c>
    </row>
    <row r="34" ht="122.25" customHeight="1" s="78">
      <c r="B34" s="85" t="inlineStr">
        <is>
          <t>Germany</t>
        </is>
      </c>
      <c r="C34" s="83" t="inlineStr">
        <is>
          <t>Stromsteuer cut to EU minimum + Industriestrompreis (5 ct/kWh on 50% load) + €6.5bn network subsidy + §19/AgNes</t>
        </is>
      </c>
      <c r="D34" s="83" t="inlineStr">
        <is>
          <t>Taxpayer (federal budget / KTF)</t>
        </is>
      </c>
      <c r="E34" s="83" t="inlineStr">
        <is>
          <t>EU CISAF (to 2030); EEG-Umlage off bills since 2022</t>
        </is>
      </c>
      <c r="F34" s="83" t="inlineStr">
        <is>
          <t>High conceptually; needs fiscal headroom &amp; state-aid cover</t>
        </is>
      </c>
      <c r="H34" s="87" t="inlineStr">
        <is>
          <t>S169,S170,S171,S172,S174,S175</t>
        </is>
      </c>
    </row>
    <row r="35" ht="81.75" customHeight="1" s="78">
      <c r="B35" s="85" t="inlineStr">
        <is>
          <t>China</t>
        </is>
      </c>
      <c r="C35" s="83" t="inlineStr">
        <is>
          <t>Flat regulated T&amp;D + system-operation fee; administratively low industrial price</t>
        </is>
      </c>
      <c r="D35" s="83" t="inlineStr">
        <is>
          <t>Industry cross-subsidises RESIDENTIAL (reverse); state directs</t>
        </is>
      </c>
      <c r="E35" s="83" t="inlineStr">
        <is>
          <t>State-set tariff bands; not a liberalized market</t>
        </is>
      </c>
      <c r="F35" s="83" t="inlineStr">
        <is>
          <t>Low — different market structure</t>
        </is>
      </c>
      <c r="H35" s="87" t="inlineStr">
        <is>
          <t>stage6 T3, Stage 7</t>
        </is>
      </c>
    </row>
    <row r="37" ht="15" customHeight="1" s="78">
      <c r="A37" s="81" t="inlineStr">
        <is>
          <t>E. RELIEF PER MWh — UK vs DE mechanisms (native units; SCHEME ESTIMATES, not outturns; chart source table)</t>
        </is>
      </c>
    </row>
    <row r="38" ht="27.75" customHeight="1" s="78">
      <c r="B38" s="152" t="inlineStr">
        <is>
          <t>Mechanism</t>
        </is>
      </c>
      <c r="C38" s="82" t="inlineStr">
        <is>
          <t>Relief (native /MWh)</t>
        </is>
      </c>
      <c r="D38" s="152" t="inlineStr">
        <is>
          <t>Unit</t>
        </is>
      </c>
      <c r="E38" s="152" t="inlineStr">
        <is>
          <t>Status</t>
        </is>
      </c>
      <c r="F38" s="82" t="inlineStr">
        <is>
          <t>Note</t>
        </is>
      </c>
    </row>
    <row r="39" ht="27.75" customHeight="1" s="78">
      <c r="B39" s="83" t="inlineStr">
        <is>
          <t>UK BICS (RO/FiT/CM)</t>
        </is>
      </c>
      <c r="C39" s="84" t="n">
        <v>37.5</v>
      </c>
      <c r="D39" s="151" t="inlineStr">
        <is>
          <t>GBP/MWh</t>
        </is>
      </c>
      <c r="E39" s="83" t="inlineStr">
        <is>
          <t>ANNOUNCED 2027</t>
        </is>
      </c>
      <c r="F39" s="87" t="inlineStr">
        <is>
          <t>midpoint of £35–40 est; ~10,000 firms; Exchequer + energy-system funded, final split at Budget 2026 [S146]</t>
        </is>
      </c>
    </row>
    <row r="40" ht="27.75" customHeight="1" s="78">
      <c r="B40" s="83" t="inlineStr">
        <is>
          <t>UK Supercharger levy</t>
        </is>
      </c>
      <c r="C40" s="84" t="n">
        <v>27.5</v>
      </c>
      <c r="D40" s="151" t="inlineStr">
        <is>
          <t>GBP/MWh</t>
        </is>
      </c>
      <c r="E40" s="83" t="inlineStr">
        <is>
          <t>IN-FORCE 2024</t>
        </is>
      </c>
      <c r="F40" s="87" t="inlineStr">
        <is>
          <t>midpoint £24–31 est; 100% RO/CfD/FiT/CM; ~500 EIIs [S149]</t>
        </is>
      </c>
    </row>
    <row r="41" ht="27.75" customHeight="1" s="78">
      <c r="B41" s="83" t="inlineStr">
        <is>
          <t>UK Supercharger network</t>
        </is>
      </c>
      <c r="C41" s="84" t="n">
        <v>8.5</v>
      </c>
      <c r="D41" s="151" t="inlineStr">
        <is>
          <t>GBP/MWh</t>
        </is>
      </c>
      <c r="E41" s="83" t="inlineStr">
        <is>
          <t>IN-FORCE 2026</t>
        </is>
      </c>
      <c r="F41" s="87" t="inlineStr">
        <is>
          <t>midpoint £7–10 est; NCC 60%→90% [S149]</t>
        </is>
      </c>
    </row>
    <row r="42" ht="27.75" customHeight="1" s="78">
      <c r="B42" s="83" t="inlineStr">
        <is>
          <t>DE Stromsteuer cut</t>
        </is>
      </c>
      <c r="C42" s="84" t="n">
        <v>20</v>
      </c>
      <c r="D42" s="151" t="inlineStr">
        <is>
          <t>EUR/MWh</t>
        </is>
      </c>
      <c r="E42" s="83" t="inlineStr">
        <is>
          <t>IN-FORCE 2026</t>
        </is>
      </c>
      <c r="F42" s="87" t="inlineStr">
        <is>
          <t>2.05→0.05 ct/kWh, permanent, manufacturing [S169]</t>
        </is>
      </c>
    </row>
    <row r="43" ht="27.75" customHeight="1" s="78">
      <c r="B43" s="83" t="inlineStr">
        <is>
          <t>DE network subsidy</t>
        </is>
      </c>
      <c r="C43" s="84" t="n">
        <v>17.3</v>
      </c>
      <c r="D43" s="151" t="inlineStr">
        <is>
          <t>EUR/MWh</t>
        </is>
      </c>
      <c r="E43" s="83" t="inlineStr">
        <is>
          <t>IN-FORCE 2026</t>
        </is>
      </c>
      <c r="F43" s="87" t="inlineStr">
        <is>
          <t>HöS 30.84→13.53 €/MWh, €6.5bn KTF [S171/stage6 r176-177]</t>
        </is>
      </c>
    </row>
    <row r="45" ht="45" customHeight="1" s="78">
      <c r="A45" s="155" t="inlineStr">
        <is>
          <t>CAVEAT: native-unit relief is NOT directly comparable (GBP vs EUR; different bases/eligibility). Chart compares magnitude &amp; funding route, not a converted like-for-like. UK BICS &amp; Supercharger are mutually exclusive per firm.</t>
        </is>
      </c>
    </row>
    <row r="47" ht="15" customHeight="1" s="78">
      <c r="A47" s="81" t="inlineStr">
        <is>
          <t>F. SYNTHESIS (evidence-linked; balanced — not this study's recommendation)</t>
        </is>
      </c>
    </row>
    <row r="48" ht="27.75" customHeight="1" s="78">
      <c r="B48" s="92" t="inlineStr">
        <is>
          <t>1. Separate cost-SHIFTING from cost-REDUCING. Exemptions (BICS, Supercharger) SHIFT who pays; they relieve eligible firms but leave the ~$206/MWh system cost intact and are borne by the Exchequer or other users. Genuine cost-REDUCTION needs the wholesale/gas, network-growth and carbon-design levers — which are structural and slower.</t>
        </is>
      </c>
    </row>
    <row r="49" ht="27.75" customHeight="1" s="78">
      <c r="B49" s="92" t="inlineStr">
        <is>
          <t>2. The biggest LEVEL is wholesale (~£81/MWh, gas-set); the biggest 25→26 MOVE is network (+60%). Stage 8 shows the supply-side (drilling, nuclear, geothermal, flex) offers little near-term relief on either.</t>
        </is>
      </c>
    </row>
    <row r="50" ht="27.75" customHeight="1" s="78">
      <c r="B50" s="92" t="inlineStr">
        <is>
          <t>3. The UK is converging on the German model: BICS moves industrial relief OFF the bill base toward Exchequer + energy-system funding (final split at Budget 2026; households protected per the Apr-2026 response), and CPS abolition (Apr 2028) part-funds it — a shift from cross-subsidy toward taxpayer funding, but a fiscal transfer, not a fall in system cost.</t>
        </is>
      </c>
    </row>
    <row r="51" ht="27.75" customHeight="1" s="78">
      <c r="B51" s="92" t="inlineStr">
        <is>
          <t>4. Carbon policy pulls both ways: CPS removal (2028) lowers the gas-generation adder, but UK–EU ETS linkage (in negotiation) would raise the UK carbon price toward the EU (~€80) even as it removes CBAM friction.</t>
        </is>
      </c>
    </row>
    <row r="52" ht="27.75" customHeight="1" s="78">
      <c r="B52" s="92" t="inlineStr">
        <is>
          <t>5. Every option trades off against WHO PAYS (Section B), fiscal space, decarbonisation, and eligibility fairness. The evidence base narrows the menu; it does not, by itself, choose among these normative trade-offs.</t>
        </is>
      </c>
    </row>
    <row r="54" ht="60" customHeight="1" s="78">
      <c r="A54" s="155" t="inlineStr">
        <is>
          <t>DECISION SUMMARY: see decisions D51–D56. QC: Q63–Q72. Sources: S146–S175. Status tags separate announced/in-force/consultation/draft/advocacy from estimate/legislated. This tab presents OPTIONS with trade-offs; it does not endorse a policy.</t>
        </is>
      </c>
    </row>
  </sheetData>
  <mergeCells count="9">
    <mergeCell ref="B50:H50"/>
    <mergeCell ref="A2:I2"/>
    <mergeCell ref="B52:H52"/>
    <mergeCell ref="B49:H49"/>
    <mergeCell ref="A54:H54"/>
    <mergeCell ref="B48:H48"/>
    <mergeCell ref="A45:H45"/>
    <mergeCell ref="B51:H51"/>
    <mergeCell ref="B20:H2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2026-07-15T19:55:38Z</dcterms:created>
  <dcterms:modified xmlns:dcterms="http://purl.org/dc/terms/" xmlns:xsi="http://www.w3.org/2001/XMLSchema-instance" xsi:type="dcterms:W3CDTF">2026-07-26T19:59:15Z</dcterms:modified>
  <cp:revision>0</cp:revision>
</cp:coreProperties>
</file>